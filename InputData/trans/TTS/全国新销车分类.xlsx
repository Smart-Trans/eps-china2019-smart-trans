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file\EPS China 3.3.1\InputData\trans\TTS\"/>
    </mc:Choice>
  </mc:AlternateContent>
  <xr:revisionPtr revIDLastSave="0" documentId="8_{D38D65B8-F857-4B46-A49A-8F3739FC2AFE}" xr6:coauthVersionLast="47" xr6:coauthVersionMax="47" xr10:uidLastSave="{00000000-0000-0000-0000-000000000000}"/>
  <bookViews>
    <workbookView xWindow="735" yWindow="735" windowWidth="19245" windowHeight="14325" xr2:uid="{00000000-000D-0000-FFFF-FFFF00000000}"/>
  </bookViews>
  <sheets>
    <sheet name="Vehicle Sales Database" sheetId="1" r:id="rId1"/>
    <sheet name="Pivot Table" sheetId="3" r:id="rId2"/>
    <sheet name="Electric Ratio" sheetId="4" r:id="rId3"/>
    <sheet name="Hydrogen" sheetId="7" r:id="rId4"/>
    <sheet name="Projection" sheetId="6" r:id="rId5"/>
    <sheet name="TTS-LDVs-psgr" sheetId="5" r:id="rId6"/>
  </sheets>
  <externalReferences>
    <externalReference r:id="rId7"/>
  </externalReferences>
  <definedNames>
    <definedName name="_xlnm._FilterDatabase" localSheetId="0" hidden="1">'Vehicle Sales Database'!$P$2:$V$2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6" l="1" a="1"/>
  <c r="J8" i="6" s="1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AL15" i="6"/>
  <c r="AM15" i="6"/>
  <c r="AN15" i="6"/>
  <c r="AO15" i="6"/>
  <c r="AP15" i="6"/>
  <c r="AQ15" i="6"/>
  <c r="AR15" i="6"/>
  <c r="AS15" i="6"/>
  <c r="AT15" i="6"/>
  <c r="AU15" i="6"/>
  <c r="AV15" i="6"/>
  <c r="J15" i="6"/>
  <c r="J22" i="6" a="1"/>
  <c r="J22" i="6" s="1"/>
  <c r="K29" i="6"/>
  <c r="L29" i="6"/>
  <c r="J29" i="6"/>
  <c r="M29" i="6" a="1"/>
  <c r="M29" i="6" s="1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17" i="7"/>
  <c r="AH18" i="7"/>
  <c r="AH19" i="7"/>
  <c r="AH20" i="7"/>
  <c r="AI32" i="7" s="1"/>
  <c r="AH21" i="7"/>
  <c r="AI35" i="7" s="1"/>
  <c r="AH22" i="7"/>
  <c r="AI36" i="7" s="1"/>
  <c r="AH23" i="7"/>
  <c r="AH24" i="7"/>
  <c r="AH25" i="7"/>
  <c r="AH26" i="7"/>
  <c r="AH27" i="7"/>
  <c r="AH28" i="7"/>
  <c r="AH29" i="7"/>
  <c r="AI43" i="7" s="1"/>
  <c r="AH30" i="7"/>
  <c r="AI41" i="7" s="1"/>
  <c r="AH31" i="7"/>
  <c r="AI45" i="7" s="1"/>
  <c r="AH32" i="7"/>
  <c r="AH33" i="7"/>
  <c r="AH34" i="7"/>
  <c r="AH35" i="7"/>
  <c r="AH36" i="7"/>
  <c r="AI50" i="7" s="1"/>
  <c r="AH37" i="7"/>
  <c r="AI51" i="7" s="1"/>
  <c r="AH38" i="7"/>
  <c r="AI52" i="7" s="1"/>
  <c r="AH39" i="7"/>
  <c r="AI53" i="7" s="1"/>
  <c r="AH40" i="7"/>
  <c r="AH41" i="7"/>
  <c r="AI54" i="7" s="1"/>
  <c r="AH42" i="7"/>
  <c r="AH43" i="7"/>
  <c r="AI55" i="7" s="1"/>
  <c r="AH44" i="7"/>
  <c r="AH45" i="7"/>
  <c r="AH46" i="7"/>
  <c r="AH47" i="7"/>
  <c r="AH48" i="7"/>
  <c r="AH49" i="7"/>
  <c r="AH50" i="7"/>
  <c r="AH51" i="7"/>
  <c r="AH52" i="7"/>
  <c r="AH53" i="7"/>
  <c r="AH54" i="7"/>
  <c r="AH55" i="7"/>
  <c r="AH17" i="7"/>
  <c r="AI46" i="7"/>
  <c r="AI38" i="7"/>
  <c r="AI39" i="7"/>
  <c r="AI40" i="7"/>
  <c r="AE11" i="7"/>
  <c r="AF11" i="7"/>
  <c r="AE12" i="7"/>
  <c r="AF12" i="7"/>
  <c r="AE13" i="7"/>
  <c r="AF13" i="7"/>
  <c r="AE14" i="7"/>
  <c r="AF14" i="7"/>
  <c r="AE15" i="7"/>
  <c r="AF15" i="7"/>
  <c r="AE16" i="7"/>
  <c r="AF16" i="7"/>
  <c r="AE17" i="7"/>
  <c r="AF17" i="7"/>
  <c r="AE18" i="7"/>
  <c r="AF18" i="7"/>
  <c r="AE19" i="7"/>
  <c r="AF19" i="7"/>
  <c r="AE20" i="7"/>
  <c r="AF20" i="7"/>
  <c r="AE21" i="7"/>
  <c r="AF21" i="7"/>
  <c r="AE22" i="7"/>
  <c r="AF22" i="7"/>
  <c r="AE23" i="7"/>
  <c r="AF23" i="7"/>
  <c r="AE24" i="7"/>
  <c r="AF24" i="7"/>
  <c r="AE25" i="7"/>
  <c r="AF25" i="7"/>
  <c r="AE26" i="7"/>
  <c r="AF26" i="7"/>
  <c r="AE27" i="7"/>
  <c r="AF27" i="7"/>
  <c r="AE28" i="7"/>
  <c r="AF28" i="7"/>
  <c r="AE29" i="7"/>
  <c r="AF29" i="7"/>
  <c r="AE30" i="7"/>
  <c r="AF30" i="7"/>
  <c r="AE31" i="7"/>
  <c r="AF31" i="7"/>
  <c r="AE32" i="7"/>
  <c r="AF32" i="7"/>
  <c r="AE33" i="7"/>
  <c r="AF33" i="7"/>
  <c r="AE34" i="7"/>
  <c r="AF34" i="7"/>
  <c r="AE35" i="7"/>
  <c r="AF35" i="7"/>
  <c r="AE36" i="7"/>
  <c r="AF36" i="7"/>
  <c r="AE37" i="7"/>
  <c r="AF37" i="7"/>
  <c r="AE38" i="7"/>
  <c r="AF38" i="7"/>
  <c r="AE39" i="7"/>
  <c r="AF39" i="7"/>
  <c r="AE40" i="7"/>
  <c r="AF40" i="7"/>
  <c r="AE41" i="7"/>
  <c r="AF41" i="7"/>
  <c r="AE42" i="7"/>
  <c r="AF42" i="7"/>
  <c r="AE43" i="7"/>
  <c r="AF43" i="7"/>
  <c r="AE44" i="7"/>
  <c r="AF44" i="7"/>
  <c r="AE45" i="7"/>
  <c r="AF45" i="7"/>
  <c r="AE46" i="7"/>
  <c r="AF46" i="7"/>
  <c r="AE47" i="7"/>
  <c r="AF47" i="7"/>
  <c r="AE48" i="7"/>
  <c r="AF48" i="7"/>
  <c r="AE49" i="7"/>
  <c r="AF49" i="7"/>
  <c r="AE50" i="7"/>
  <c r="AF50" i="7"/>
  <c r="AE51" i="7"/>
  <c r="AF51" i="7"/>
  <c r="AE52" i="7"/>
  <c r="AF52" i="7"/>
  <c r="AE53" i="7"/>
  <c r="AF53" i="7"/>
  <c r="AE54" i="7"/>
  <c r="AF54" i="7"/>
  <c r="AE55" i="7"/>
  <c r="AF55" i="7"/>
  <c r="AF10" i="7"/>
  <c r="AE10" i="7"/>
  <c r="AH11" i="7"/>
  <c r="AH12" i="7"/>
  <c r="AH13" i="7"/>
  <c r="AH14" i="7"/>
  <c r="AH15" i="7"/>
  <c r="AH16" i="7"/>
  <c r="AH10" i="7"/>
  <c r="AI10" i="7"/>
  <c r="Y18" i="7"/>
  <c r="Y19" i="7"/>
  <c r="Y20" i="7"/>
  <c r="Y21" i="7"/>
  <c r="Y22" i="7"/>
  <c r="Y23" i="7"/>
  <c r="Y24" i="7"/>
  <c r="Y25" i="7"/>
  <c r="Y26" i="7"/>
  <c r="Y27" i="7"/>
  <c r="Y28" i="7"/>
  <c r="Y29" i="7"/>
  <c r="Y30" i="7"/>
  <c r="Y31" i="7"/>
  <c r="Y32" i="7"/>
  <c r="Y33" i="7"/>
  <c r="Y34" i="7"/>
  <c r="Y35" i="7"/>
  <c r="Y36" i="7"/>
  <c r="Y37" i="7"/>
  <c r="Y38" i="7"/>
  <c r="Y39" i="7"/>
  <c r="Y40" i="7"/>
  <c r="Y41" i="7"/>
  <c r="Y42" i="7"/>
  <c r="Y43" i="7"/>
  <c r="Y44" i="7"/>
  <c r="Y45" i="7"/>
  <c r="Y46" i="7"/>
  <c r="Y47" i="7"/>
  <c r="Y48" i="7"/>
  <c r="Y49" i="7"/>
  <c r="Y50" i="7"/>
  <c r="Y51" i="7"/>
  <c r="Y52" i="7"/>
  <c r="Y53" i="7"/>
  <c r="Y54" i="7"/>
  <c r="Y55" i="7"/>
  <c r="Y17" i="7"/>
  <c r="V18" i="7"/>
  <c r="V19" i="7"/>
  <c r="W27" i="7" s="1"/>
  <c r="V20" i="7"/>
  <c r="W28" i="7" s="1"/>
  <c r="V21" i="7"/>
  <c r="W26" i="7" s="1"/>
  <c r="V22" i="7"/>
  <c r="W30" i="7" s="1"/>
  <c r="V23" i="7"/>
  <c r="W31" i="7" s="1"/>
  <c r="V24" i="7"/>
  <c r="V25" i="7"/>
  <c r="V26" i="7"/>
  <c r="V27" i="7"/>
  <c r="W35" i="7" s="1"/>
  <c r="V28" i="7"/>
  <c r="W36" i="7" s="1"/>
  <c r="V29" i="7"/>
  <c r="V30" i="7"/>
  <c r="W37" i="7" s="1"/>
  <c r="V31" i="7"/>
  <c r="W38" i="7" s="1"/>
  <c r="V32" i="7"/>
  <c r="W32" i="7" s="1"/>
  <c r="V33" i="7"/>
  <c r="W41" i="7" s="1"/>
  <c r="V34" i="7"/>
  <c r="V35" i="7"/>
  <c r="W43" i="7" s="1"/>
  <c r="V36" i="7"/>
  <c r="W44" i="7" s="1"/>
  <c r="V37" i="7"/>
  <c r="W42" i="7" s="1"/>
  <c r="V38" i="7"/>
  <c r="W46" i="7" s="1"/>
  <c r="V39" i="7"/>
  <c r="W39" i="7" s="1"/>
  <c r="V40" i="7"/>
  <c r="V41" i="7"/>
  <c r="V42" i="7"/>
  <c r="V43" i="7"/>
  <c r="W51" i="7" s="1"/>
  <c r="V44" i="7"/>
  <c r="W52" i="7" s="1"/>
  <c r="V45" i="7"/>
  <c r="V46" i="7"/>
  <c r="W53" i="7" s="1"/>
  <c r="V47" i="7"/>
  <c r="W54" i="7" s="1"/>
  <c r="V48" i="7"/>
  <c r="W49" i="7" s="1"/>
  <c r="V49" i="7"/>
  <c r="V50" i="7"/>
  <c r="V51" i="7"/>
  <c r="V52" i="7"/>
  <c r="V53" i="7"/>
  <c r="W55" i="7" s="1"/>
  <c r="V54" i="7"/>
  <c r="V55" i="7"/>
  <c r="V17" i="7"/>
  <c r="W17" i="7" s="1"/>
  <c r="W34" i="7"/>
  <c r="W40" i="7"/>
  <c r="W50" i="7"/>
  <c r="AI42" i="7" l="1"/>
  <c r="AI19" i="7"/>
  <c r="AI22" i="7"/>
  <c r="AI21" i="7"/>
  <c r="AI20" i="7"/>
  <c r="AI34" i="7"/>
  <c r="AI49" i="7"/>
  <c r="AI33" i="7"/>
  <c r="AI48" i="7"/>
  <c r="AI47" i="7"/>
  <c r="AI24" i="7"/>
  <c r="AI23" i="7"/>
  <c r="AI44" i="7"/>
  <c r="AI25" i="7"/>
  <c r="AI37" i="7"/>
  <c r="AI17" i="7"/>
  <c r="AI31" i="7"/>
  <c r="AI29" i="7"/>
  <c r="AI28" i="7"/>
  <c r="AI27" i="7"/>
  <c r="AI30" i="7"/>
  <c r="AI26" i="7"/>
  <c r="AI18" i="7"/>
  <c r="AJ11" i="7"/>
  <c r="AJ10" i="7"/>
  <c r="AG11" i="7"/>
  <c r="W33" i="7"/>
  <c r="W45" i="7"/>
  <c r="W47" i="7"/>
  <c r="W48" i="7"/>
  <c r="W29" i="7"/>
  <c r="W25" i="7"/>
  <c r="W24" i="7"/>
  <c r="W23" i="7"/>
  <c r="W22" i="7"/>
  <c r="W21" i="7"/>
  <c r="W19" i="7"/>
  <c r="W18" i="7"/>
  <c r="W20" i="7"/>
  <c r="X31" i="7"/>
  <c r="X46" i="7"/>
  <c r="X55" i="7"/>
  <c r="V11" i="7"/>
  <c r="V12" i="7"/>
  <c r="V13" i="7"/>
  <c r="V14" i="7"/>
  <c r="V15" i="7"/>
  <c r="V16" i="7"/>
  <c r="V10" i="7"/>
  <c r="T11" i="7"/>
  <c r="T12" i="7"/>
  <c r="T13" i="7"/>
  <c r="T14" i="7"/>
  <c r="T15" i="7"/>
  <c r="T16" i="7"/>
  <c r="T17" i="7"/>
  <c r="T18" i="7"/>
  <c r="T19" i="7"/>
  <c r="X19" i="7" s="1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X44" i="7" s="1"/>
  <c r="T45" i="7"/>
  <c r="T46" i="7"/>
  <c r="T47" i="7"/>
  <c r="T48" i="7"/>
  <c r="T49" i="7"/>
  <c r="T50" i="7"/>
  <c r="T51" i="7"/>
  <c r="X51" i="7" s="1"/>
  <c r="T52" i="7"/>
  <c r="T53" i="7"/>
  <c r="T54" i="7"/>
  <c r="T55" i="7"/>
  <c r="T10" i="7"/>
  <c r="S11" i="7"/>
  <c r="S12" i="7"/>
  <c r="S13" i="7"/>
  <c r="S14" i="7"/>
  <c r="S15" i="7"/>
  <c r="S16" i="7"/>
  <c r="S17" i="7"/>
  <c r="S18" i="7"/>
  <c r="S19" i="7"/>
  <c r="S20" i="7"/>
  <c r="S21" i="7"/>
  <c r="S22" i="7"/>
  <c r="S23" i="7"/>
  <c r="S24" i="7"/>
  <c r="S25" i="7"/>
  <c r="S26" i="7"/>
  <c r="S27" i="7"/>
  <c r="S28" i="7"/>
  <c r="S29" i="7"/>
  <c r="S30" i="7"/>
  <c r="S31" i="7"/>
  <c r="S32" i="7"/>
  <c r="S33" i="7"/>
  <c r="S34" i="7"/>
  <c r="S35" i="7"/>
  <c r="S36" i="7"/>
  <c r="S37" i="7"/>
  <c r="S38" i="7"/>
  <c r="S39" i="7"/>
  <c r="S40" i="7"/>
  <c r="S41" i="7"/>
  <c r="S42" i="7"/>
  <c r="S43" i="7"/>
  <c r="S44" i="7"/>
  <c r="S45" i="7"/>
  <c r="S46" i="7"/>
  <c r="S47" i="7"/>
  <c r="S48" i="7"/>
  <c r="S49" i="7"/>
  <c r="S50" i="7"/>
  <c r="S51" i="7"/>
  <c r="S52" i="7"/>
  <c r="S53" i="7"/>
  <c r="S54" i="7"/>
  <c r="S55" i="7"/>
  <c r="S10" i="7"/>
  <c r="X52" i="7"/>
  <c r="X50" i="7"/>
  <c r="X48" i="7"/>
  <c r="X35" i="7"/>
  <c r="W10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17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19" i="7"/>
  <c r="J20" i="7"/>
  <c r="J21" i="7"/>
  <c r="J22" i="7"/>
  <c r="J23" i="7"/>
  <c r="J24" i="7"/>
  <c r="J25" i="7"/>
  <c r="J26" i="7"/>
  <c r="J27" i="7"/>
  <c r="J28" i="7"/>
  <c r="J29" i="7"/>
  <c r="J30" i="7"/>
  <c r="J17" i="7"/>
  <c r="J18" i="7"/>
  <c r="K10" i="7"/>
  <c r="J10" i="7"/>
  <c r="J11" i="7"/>
  <c r="I11" i="7" s="1"/>
  <c r="K11" i="7" s="1"/>
  <c r="J12" i="7"/>
  <c r="J13" i="7"/>
  <c r="J14" i="7"/>
  <c r="J16" i="7"/>
  <c r="J15" i="7"/>
  <c r="G10" i="7"/>
  <c r="G11" i="7"/>
  <c r="G12" i="7"/>
  <c r="G13" i="7"/>
  <c r="G14" i="7"/>
  <c r="G15" i="7"/>
  <c r="G16" i="7"/>
  <c r="H17" i="7"/>
  <c r="H18" i="7"/>
  <c r="H19" i="7"/>
  <c r="H20" i="7"/>
  <c r="L20" i="7" s="1"/>
  <c r="H21" i="7"/>
  <c r="H22" i="7"/>
  <c r="H23" i="7"/>
  <c r="H24" i="7"/>
  <c r="H25" i="7"/>
  <c r="H26" i="7"/>
  <c r="H27" i="7"/>
  <c r="L27" i="7" s="1"/>
  <c r="H28" i="7"/>
  <c r="H29" i="7"/>
  <c r="H30" i="7"/>
  <c r="H31" i="7"/>
  <c r="H32" i="7"/>
  <c r="L32" i="7" s="1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L48" i="7" s="1"/>
  <c r="H49" i="7"/>
  <c r="H50" i="7"/>
  <c r="H51" i="7"/>
  <c r="H52" i="7"/>
  <c r="H53" i="7"/>
  <c r="H54" i="7"/>
  <c r="H55" i="7"/>
  <c r="D15" i="7"/>
  <c r="H15" i="7" s="1"/>
  <c r="D16" i="7"/>
  <c r="H16" i="7" s="1"/>
  <c r="D11" i="7"/>
  <c r="D12" i="7"/>
  <c r="D13" i="7"/>
  <c r="H13" i="7" s="1"/>
  <c r="D14" i="7"/>
  <c r="H14" i="7" s="1"/>
  <c r="F11" i="7"/>
  <c r="F12" i="7"/>
  <c r="F13" i="7"/>
  <c r="F14" i="7"/>
  <c r="F10" i="7"/>
  <c r="D10" i="7"/>
  <c r="H10" i="7" s="1"/>
  <c r="AJ12" i="7" l="1"/>
  <c r="AI11" i="7"/>
  <c r="AG12" i="7"/>
  <c r="L49" i="7"/>
  <c r="L33" i="7"/>
  <c r="X25" i="7"/>
  <c r="X10" i="7"/>
  <c r="X49" i="7"/>
  <c r="X33" i="7"/>
  <c r="X17" i="7"/>
  <c r="L22" i="7"/>
  <c r="L17" i="7"/>
  <c r="X43" i="7"/>
  <c r="X27" i="7"/>
  <c r="X45" i="7"/>
  <c r="X42" i="7"/>
  <c r="X13" i="7"/>
  <c r="X54" i="7"/>
  <c r="X53" i="7"/>
  <c r="X15" i="7"/>
  <c r="U11" i="7"/>
  <c r="U12" i="7" s="1"/>
  <c r="U13" i="7" s="1"/>
  <c r="X23" i="7"/>
  <c r="X47" i="7"/>
  <c r="X39" i="7"/>
  <c r="X41" i="7"/>
  <c r="X14" i="7"/>
  <c r="X18" i="7"/>
  <c r="X26" i="7"/>
  <c r="X34" i="7"/>
  <c r="X11" i="7"/>
  <c r="X21" i="7"/>
  <c r="X29" i="7"/>
  <c r="X37" i="7"/>
  <c r="X16" i="7"/>
  <c r="X24" i="7"/>
  <c r="X32" i="7"/>
  <c r="X40" i="7"/>
  <c r="X12" i="7"/>
  <c r="X22" i="7"/>
  <c r="X30" i="7"/>
  <c r="X38" i="7"/>
  <c r="X28" i="7"/>
  <c r="X20" i="7"/>
  <c r="X36" i="7"/>
  <c r="L53" i="7"/>
  <c r="L37" i="7"/>
  <c r="L43" i="7"/>
  <c r="L19" i="7"/>
  <c r="H12" i="7"/>
  <c r="L12" i="7" s="1"/>
  <c r="L18" i="7"/>
  <c r="L55" i="7"/>
  <c r="L45" i="7"/>
  <c r="L26" i="7"/>
  <c r="L50" i="7"/>
  <c r="L34" i="7"/>
  <c r="K39" i="7"/>
  <c r="I12" i="7"/>
  <c r="I13" i="7" s="1"/>
  <c r="I14" i="7" s="1"/>
  <c r="I15" i="7" s="1"/>
  <c r="I16" i="7" s="1"/>
  <c r="K16" i="7" s="1"/>
  <c r="L25" i="7"/>
  <c r="K55" i="7"/>
  <c r="L44" i="7"/>
  <c r="K31" i="7"/>
  <c r="K54" i="7"/>
  <c r="K44" i="7"/>
  <c r="K53" i="7"/>
  <c r="L16" i="7"/>
  <c r="L42" i="7"/>
  <c r="K41" i="7"/>
  <c r="L54" i="7"/>
  <c r="L38" i="7"/>
  <c r="K42" i="7"/>
  <c r="L52" i="7"/>
  <c r="L36" i="7"/>
  <c r="H11" i="7"/>
  <c r="L11" i="7" s="1"/>
  <c r="M12" i="7" s="1"/>
  <c r="L15" i="7"/>
  <c r="K40" i="7"/>
  <c r="L51" i="7"/>
  <c r="L35" i="7"/>
  <c r="K37" i="7"/>
  <c r="L47" i="7"/>
  <c r="L31" i="7"/>
  <c r="K38" i="7"/>
  <c r="L21" i="7"/>
  <c r="L46" i="7"/>
  <c r="L14" i="7"/>
  <c r="L10" i="7"/>
  <c r="K32" i="7"/>
  <c r="L13" i="7"/>
  <c r="K52" i="7"/>
  <c r="K35" i="7"/>
  <c r="L41" i="7"/>
  <c r="K50" i="7"/>
  <c r="K34" i="7"/>
  <c r="L40" i="7"/>
  <c r="K49" i="7"/>
  <c r="K33" i="7"/>
  <c r="K51" i="7"/>
  <c r="L39" i="7"/>
  <c r="K36" i="7"/>
  <c r="K48" i="7"/>
  <c r="K47" i="7"/>
  <c r="L30" i="7"/>
  <c r="K46" i="7"/>
  <c r="K45" i="7"/>
  <c r="L29" i="7"/>
  <c r="L28" i="7"/>
  <c r="K14" i="7"/>
  <c r="K17" i="7"/>
  <c r="K43" i="7"/>
  <c r="L24" i="7"/>
  <c r="L23" i="7"/>
  <c r="K27" i="7"/>
  <c r="K28" i="7"/>
  <c r="K30" i="7"/>
  <c r="K26" i="7"/>
  <c r="K23" i="7"/>
  <c r="K25" i="7"/>
  <c r="K24" i="7"/>
  <c r="K22" i="7"/>
  <c r="K21" i="7"/>
  <c r="K20" i="7"/>
  <c r="K19" i="7"/>
  <c r="K18" i="7"/>
  <c r="K29" i="7"/>
  <c r="AJ13" i="7" l="1"/>
  <c r="AG13" i="7"/>
  <c r="AI12" i="7"/>
  <c r="K13" i="7"/>
  <c r="W11" i="7"/>
  <c r="W12" i="7"/>
  <c r="Y14" i="7"/>
  <c r="Y15" i="7"/>
  <c r="Y10" i="7"/>
  <c r="Y11" i="7"/>
  <c r="Y13" i="7"/>
  <c r="Y16" i="7"/>
  <c r="W13" i="7"/>
  <c r="U14" i="7"/>
  <c r="Y12" i="7"/>
  <c r="M14" i="7"/>
  <c r="M13" i="7"/>
  <c r="K12" i="7"/>
  <c r="K15" i="7"/>
  <c r="M16" i="7"/>
  <c r="M15" i="7"/>
  <c r="M11" i="7"/>
  <c r="M10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AH5" i="6"/>
  <c r="AI5" i="6"/>
  <c r="AJ5" i="6" s="1"/>
  <c r="AK5" i="6" s="1"/>
  <c r="AH11" i="6"/>
  <c r="AI11" i="6"/>
  <c r="AJ11" i="6" s="1"/>
  <c r="AK11" i="6" s="1"/>
  <c r="AH12" i="6"/>
  <c r="AI12" i="6" s="1"/>
  <c r="AJ12" i="6" s="1"/>
  <c r="AK12" i="6" s="1"/>
  <c r="AM12" i="6" s="1"/>
  <c r="AN12" i="6" s="1"/>
  <c r="AO12" i="6" s="1"/>
  <c r="AP12" i="6" s="1"/>
  <c r="AH19" i="6"/>
  <c r="AI19" i="6"/>
  <c r="AJ19" i="6" s="1"/>
  <c r="AK19" i="6" s="1"/>
  <c r="AH25" i="6"/>
  <c r="AI25" i="6"/>
  <c r="AJ25" i="6" s="1"/>
  <c r="AK25" i="6" s="1"/>
  <c r="AR5" i="6"/>
  <c r="AS5" i="6"/>
  <c r="AT5" i="6" s="1"/>
  <c r="AU5" i="6" s="1"/>
  <c r="AR11" i="6"/>
  <c r="AS11" i="6"/>
  <c r="AT11" i="6" s="1"/>
  <c r="AU11" i="6" s="1"/>
  <c r="AR12" i="6"/>
  <c r="AS12" i="6" s="1"/>
  <c r="AT12" i="6" s="1"/>
  <c r="AU12" i="6" s="1"/>
  <c r="AR19" i="6"/>
  <c r="AS19" i="6"/>
  <c r="AT19" i="6" s="1"/>
  <c r="AU19" i="6" s="1"/>
  <c r="AR25" i="6"/>
  <c r="AS25" i="6"/>
  <c r="AT25" i="6" s="1"/>
  <c r="AU25" i="6" s="1"/>
  <c r="AC5" i="6"/>
  <c r="AD5" i="6"/>
  <c r="AE5" i="6" s="1"/>
  <c r="AF5" i="6" s="1"/>
  <c r="AC11" i="6"/>
  <c r="AD11" i="6"/>
  <c r="AE11" i="6" s="1"/>
  <c r="AF11" i="6" s="1"/>
  <c r="AC12" i="6"/>
  <c r="AD12" i="6" s="1"/>
  <c r="AE12" i="6" s="1"/>
  <c r="AF12" i="6" s="1"/>
  <c r="AC16" i="6"/>
  <c r="AD16" i="6" s="1"/>
  <c r="AE16" i="6" s="1"/>
  <c r="AF16" i="6" s="1"/>
  <c r="AC19" i="6"/>
  <c r="AD19" i="6"/>
  <c r="AE19" i="6" s="1"/>
  <c r="AF19" i="6" s="1"/>
  <c r="AC25" i="6"/>
  <c r="AD25" i="6"/>
  <c r="AE25" i="6" s="1"/>
  <c r="AF25" i="6" s="1"/>
  <c r="X5" i="6"/>
  <c r="Y5" i="6" s="1"/>
  <c r="Z5" i="6" s="1"/>
  <c r="AA5" i="6" s="1"/>
  <c r="X11" i="6"/>
  <c r="Y11" i="6" s="1"/>
  <c r="Z11" i="6" s="1"/>
  <c r="AA11" i="6" s="1"/>
  <c r="X12" i="6"/>
  <c r="Y12" i="6" s="1"/>
  <c r="Z12" i="6" s="1"/>
  <c r="AA12" i="6" s="1"/>
  <c r="X16" i="6"/>
  <c r="Y16" i="6" s="1"/>
  <c r="Z16" i="6" s="1"/>
  <c r="AA16" i="6" s="1"/>
  <c r="X19" i="6"/>
  <c r="Y19" i="6" s="1"/>
  <c r="Z19" i="6" s="1"/>
  <c r="AA19" i="6" s="1"/>
  <c r="X25" i="6"/>
  <c r="Y25" i="6" s="1"/>
  <c r="Z25" i="6" s="1"/>
  <c r="AA25" i="6" s="1"/>
  <c r="S5" i="6"/>
  <c r="T5" i="6" s="1"/>
  <c r="U5" i="6" s="1"/>
  <c r="V5" i="6" s="1"/>
  <c r="S11" i="6"/>
  <c r="T11" i="6" s="1"/>
  <c r="U11" i="6" s="1"/>
  <c r="V11" i="6" s="1"/>
  <c r="S12" i="6"/>
  <c r="T12" i="6" s="1"/>
  <c r="U12" i="6" s="1"/>
  <c r="V12" i="6" s="1"/>
  <c r="S19" i="6"/>
  <c r="T19" i="6" s="1"/>
  <c r="U19" i="6" s="1"/>
  <c r="V19" i="6" s="1"/>
  <c r="S23" i="6"/>
  <c r="T23" i="6" s="1"/>
  <c r="U23" i="6" s="1"/>
  <c r="V23" i="6" s="1"/>
  <c r="S25" i="6"/>
  <c r="T25" i="6" s="1"/>
  <c r="U25" i="6" s="1"/>
  <c r="V25" i="6" s="1"/>
  <c r="N5" i="6"/>
  <c r="O5" i="6"/>
  <c r="P5" i="6"/>
  <c r="Q5" i="6" s="1"/>
  <c r="N11" i="6"/>
  <c r="O11" i="6" s="1"/>
  <c r="P11" i="6" s="1"/>
  <c r="Q11" i="6" s="1"/>
  <c r="N12" i="6"/>
  <c r="O12" i="6" s="1"/>
  <c r="P12" i="6" s="1"/>
  <c r="Q12" i="6" s="1"/>
  <c r="N19" i="6"/>
  <c r="O19" i="6" s="1"/>
  <c r="P19" i="6" s="1"/>
  <c r="Q19" i="6" s="1"/>
  <c r="N25" i="6"/>
  <c r="O25" i="6"/>
  <c r="P25" i="6"/>
  <c r="Q25" i="6" s="1"/>
  <c r="AV27" i="6"/>
  <c r="AR27" i="6" s="1"/>
  <c r="AQ27" i="6"/>
  <c r="AL27" i="6"/>
  <c r="AH27" i="6" s="1"/>
  <c r="AG27" i="6"/>
  <c r="AB27" i="6"/>
  <c r="X27" i="6" s="1"/>
  <c r="Y27" i="6" s="1"/>
  <c r="Z27" i="6" s="1"/>
  <c r="AA27" i="6" s="1"/>
  <c r="W27" i="6"/>
  <c r="R27" i="6"/>
  <c r="R23" i="6"/>
  <c r="N23" i="6" s="1"/>
  <c r="O23" i="6" s="1"/>
  <c r="P23" i="6" s="1"/>
  <c r="Q23" i="6" s="1"/>
  <c r="M27" i="6"/>
  <c r="J27" i="6" s="1"/>
  <c r="M23" i="6"/>
  <c r="AV23" i="6"/>
  <c r="AR23" i="6" s="1"/>
  <c r="AQ23" i="6"/>
  <c r="AL23" i="6"/>
  <c r="AG23" i="6"/>
  <c r="AB23" i="6"/>
  <c r="W23" i="6"/>
  <c r="M16" i="6"/>
  <c r="J16" i="6" s="1"/>
  <c r="AV16" i="6"/>
  <c r="AV20" i="6" s="1"/>
  <c r="AR20" i="6" s="1"/>
  <c r="AS20" i="6" s="1"/>
  <c r="AT20" i="6" s="1"/>
  <c r="AU20" i="6" s="1"/>
  <c r="AL16" i="6"/>
  <c r="AH16" i="6" s="1"/>
  <c r="AI16" i="6" s="1"/>
  <c r="AJ16" i="6" s="1"/>
  <c r="AK16" i="6" s="1"/>
  <c r="AM16" i="6" s="1"/>
  <c r="AN16" i="6" s="1"/>
  <c r="AO16" i="6" s="1"/>
  <c r="AP16" i="6" s="1"/>
  <c r="AG16" i="6"/>
  <c r="AB16" i="6"/>
  <c r="W16" i="6"/>
  <c r="W20" i="6" s="1"/>
  <c r="R16" i="6"/>
  <c r="S16" i="6" s="1"/>
  <c r="T16" i="6" s="1"/>
  <c r="U16" i="6" s="1"/>
  <c r="V16" i="6" s="1"/>
  <c r="AQ20" i="6"/>
  <c r="AG20" i="6"/>
  <c r="AC20" i="6" s="1"/>
  <c r="AD20" i="6" s="1"/>
  <c r="AE20" i="6" s="1"/>
  <c r="AF20" i="6" s="1"/>
  <c r="AB20" i="6"/>
  <c r="AV13" i="6"/>
  <c r="AR13" i="6" s="1"/>
  <c r="AQ13" i="6"/>
  <c r="AL13" i="6"/>
  <c r="AG13" i="6"/>
  <c r="AB13" i="6"/>
  <c r="X13" i="6" s="1"/>
  <c r="Y13" i="6" s="1"/>
  <c r="Z13" i="6" s="1"/>
  <c r="AA13" i="6" s="1"/>
  <c r="W13" i="6"/>
  <c r="S13" i="6" s="1"/>
  <c r="T13" i="6" s="1"/>
  <c r="U13" i="6" s="1"/>
  <c r="V13" i="6" s="1"/>
  <c r="R13" i="6"/>
  <c r="M13" i="6"/>
  <c r="AV9" i="6"/>
  <c r="AQ9" i="6"/>
  <c r="AL9" i="6"/>
  <c r="AG9" i="6"/>
  <c r="AH9" i="6" s="1"/>
  <c r="AB9" i="6"/>
  <c r="W9" i="6"/>
  <c r="S9" i="6" s="1"/>
  <c r="T9" i="6" s="1"/>
  <c r="U9" i="6" s="1"/>
  <c r="V9" i="6" s="1"/>
  <c r="R9" i="6"/>
  <c r="M9" i="6"/>
  <c r="J9" i="6" s="1"/>
  <c r="AV6" i="6"/>
  <c r="AV2" i="6"/>
  <c r="AQ6" i="6"/>
  <c r="AQ2" i="6"/>
  <c r="AL6" i="6"/>
  <c r="AH6" i="6" s="1"/>
  <c r="AI6" i="6" s="1"/>
  <c r="AJ6" i="6" s="1"/>
  <c r="AK6" i="6" s="1"/>
  <c r="AM6" i="6" s="1"/>
  <c r="AN6" i="6" s="1"/>
  <c r="AO6" i="6" s="1"/>
  <c r="AP6" i="6" s="1"/>
  <c r="AL2" i="6"/>
  <c r="AG6" i="6"/>
  <c r="AC6" i="6" s="1"/>
  <c r="AD6" i="6" s="1"/>
  <c r="AE6" i="6" s="1"/>
  <c r="AF6" i="6" s="1"/>
  <c r="AG2" i="6"/>
  <c r="AB6" i="6"/>
  <c r="AB2" i="6"/>
  <c r="W6" i="6"/>
  <c r="W2" i="6"/>
  <c r="X2" i="6" s="1"/>
  <c r="R6" i="6"/>
  <c r="N6" i="6" s="1"/>
  <c r="R2" i="6"/>
  <c r="M6" i="6"/>
  <c r="M2" i="6"/>
  <c r="J2" i="6" s="1"/>
  <c r="C23" i="6" a="1"/>
  <c r="C23" i="6" s="1"/>
  <c r="C16" i="6" a="1"/>
  <c r="C16" i="6" s="1"/>
  <c r="C9" i="6" a="1"/>
  <c r="C9" i="6" s="1"/>
  <c r="C2" i="6" a="1"/>
  <c r="C2" i="6" s="1"/>
  <c r="P4" i="3"/>
  <c r="C1" i="5"/>
  <c r="B8" i="5" s="1"/>
  <c r="D1" i="5"/>
  <c r="E1" i="5"/>
  <c r="F1" i="5"/>
  <c r="G1" i="5"/>
  <c r="H1" i="5"/>
  <c r="I1" i="5"/>
  <c r="J1" i="5"/>
  <c r="K1" i="5"/>
  <c r="L1" i="5"/>
  <c r="M1" i="5"/>
  <c r="N1" i="5"/>
  <c r="O1" i="5"/>
  <c r="P1" i="5"/>
  <c r="Q1" i="5"/>
  <c r="R1" i="5"/>
  <c r="S1" i="5"/>
  <c r="T1" i="5"/>
  <c r="U1" i="5"/>
  <c r="V1" i="5"/>
  <c r="W1" i="5"/>
  <c r="X1" i="5"/>
  <c r="Y1" i="5"/>
  <c r="Z1" i="5"/>
  <c r="AA1" i="5"/>
  <c r="AB1" i="5"/>
  <c r="AC1" i="5"/>
  <c r="AD1" i="5"/>
  <c r="AE1" i="5"/>
  <c r="AF1" i="5"/>
  <c r="AG1" i="5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H2" i="5"/>
  <c r="AI2" i="5"/>
  <c r="AJ2" i="5"/>
  <c r="AK2" i="5"/>
  <c r="AL2" i="5"/>
  <c r="AM2" i="5"/>
  <c r="AN2" i="5"/>
  <c r="AO2" i="5"/>
  <c r="AP2" i="5"/>
  <c r="AQ2" i="5"/>
  <c r="C3" i="5"/>
  <c r="D3" i="5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H3" i="5"/>
  <c r="AI3" i="5"/>
  <c r="AJ3" i="5"/>
  <c r="AK3" i="5"/>
  <c r="AL3" i="5"/>
  <c r="AM3" i="5"/>
  <c r="AN3" i="5"/>
  <c r="AO3" i="5"/>
  <c r="AP3" i="5"/>
  <c r="AQ3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J13" i="6" l="1"/>
  <c r="K13" i="6" s="1"/>
  <c r="L13" i="6" s="1"/>
  <c r="N27" i="6"/>
  <c r="O27" i="6" s="1"/>
  <c r="P27" i="6" s="1"/>
  <c r="Q27" i="6" s="1"/>
  <c r="AH13" i="6"/>
  <c r="AI13" i="6" s="1"/>
  <c r="AJ13" i="6" s="1"/>
  <c r="AK13" i="6" s="1"/>
  <c r="AM13" i="6" s="1"/>
  <c r="AN13" i="6" s="1"/>
  <c r="AO13" i="6" s="1"/>
  <c r="AP13" i="6" s="1"/>
  <c r="X23" i="6"/>
  <c r="Y23" i="6" s="1"/>
  <c r="Z23" i="6" s="1"/>
  <c r="AA23" i="6" s="1"/>
  <c r="AH23" i="6"/>
  <c r="AI23" i="6" s="1"/>
  <c r="AJ23" i="6" s="1"/>
  <c r="AK23" i="6" s="1"/>
  <c r="AM23" i="6" s="1"/>
  <c r="AN23" i="6" s="1"/>
  <c r="AO23" i="6" s="1"/>
  <c r="AP23" i="6" s="1"/>
  <c r="AR6" i="6"/>
  <c r="AS6" i="6" s="1"/>
  <c r="AT6" i="6" s="1"/>
  <c r="AU6" i="6" s="1"/>
  <c r="AC13" i="6"/>
  <c r="AD13" i="6" s="1"/>
  <c r="AE13" i="6" s="1"/>
  <c r="AF13" i="6" s="1"/>
  <c r="X20" i="6"/>
  <c r="Y20" i="6" s="1"/>
  <c r="Z20" i="6" s="1"/>
  <c r="AA20" i="6" s="1"/>
  <c r="S6" i="6"/>
  <c r="T6" i="6" s="1"/>
  <c r="U6" i="6" s="1"/>
  <c r="V6" i="6" s="1"/>
  <c r="S27" i="6"/>
  <c r="T27" i="6" s="1"/>
  <c r="U27" i="6" s="1"/>
  <c r="V27" i="6" s="1"/>
  <c r="X9" i="6"/>
  <c r="Y9" i="6" s="1"/>
  <c r="Z9" i="6" s="1"/>
  <c r="AA9" i="6" s="1"/>
  <c r="N13" i="6"/>
  <c r="O13" i="6" s="1"/>
  <c r="P13" i="6" s="1"/>
  <c r="Q13" i="6" s="1"/>
  <c r="N16" i="6"/>
  <c r="O16" i="6" s="1"/>
  <c r="P16" i="6" s="1"/>
  <c r="Q16" i="6" s="1"/>
  <c r="Y2" i="6"/>
  <c r="AS13" i="6"/>
  <c r="AT13" i="6" s="1"/>
  <c r="AU13" i="6" s="1"/>
  <c r="X6" i="6"/>
  <c r="Y6" i="6" s="1"/>
  <c r="Z6" i="6" s="1"/>
  <c r="AA6" i="6" s="1"/>
  <c r="J23" i="6"/>
  <c r="K23" i="6" s="1"/>
  <c r="L23" i="6" s="1"/>
  <c r="S20" i="6"/>
  <c r="T20" i="6" s="1"/>
  <c r="U20" i="6" s="1"/>
  <c r="V20" i="6" s="1"/>
  <c r="AI9" i="6"/>
  <c r="AJ9" i="6" s="1"/>
  <c r="AK9" i="6" s="1"/>
  <c r="AM9" i="6" s="1"/>
  <c r="AN9" i="6" s="1"/>
  <c r="AO9" i="6" s="1"/>
  <c r="AP9" i="6" s="1"/>
  <c r="AC2" i="6"/>
  <c r="AD2" i="6" s="1"/>
  <c r="AE2" i="6" s="1"/>
  <c r="AF2" i="6" s="1"/>
  <c r="O9" i="6"/>
  <c r="P9" i="6" s="1"/>
  <c r="Q9" i="6" s="1"/>
  <c r="AS27" i="6"/>
  <c r="AT27" i="6" s="1"/>
  <c r="AU27" i="6" s="1"/>
  <c r="AR9" i="6"/>
  <c r="AS9" i="6" s="1"/>
  <c r="AT9" i="6" s="1"/>
  <c r="AU9" i="6" s="1"/>
  <c r="J6" i="6"/>
  <c r="K6" i="6" s="1"/>
  <c r="L6" i="6" s="1"/>
  <c r="N9" i="6"/>
  <c r="AC9" i="6"/>
  <c r="AD9" i="6" s="1"/>
  <c r="AE9" i="6" s="1"/>
  <c r="AF9" i="6" s="1"/>
  <c r="K2" i="6"/>
  <c r="L2" i="6" s="1"/>
  <c r="AC27" i="6"/>
  <c r="AD27" i="6" s="1"/>
  <c r="AE27" i="6" s="1"/>
  <c r="AF27" i="6" s="1"/>
  <c r="K27" i="6"/>
  <c r="L27" i="6" s="1"/>
  <c r="O6" i="6"/>
  <c r="P6" i="6" s="1"/>
  <c r="Q6" i="6" s="1"/>
  <c r="AS23" i="6"/>
  <c r="AT23" i="6" s="1"/>
  <c r="AU23" i="6" s="1"/>
  <c r="AI27" i="6"/>
  <c r="AJ27" i="6" s="1"/>
  <c r="AK27" i="6" s="1"/>
  <c r="AM27" i="6" s="1"/>
  <c r="AN27" i="6" s="1"/>
  <c r="AO27" i="6" s="1"/>
  <c r="AP27" i="6" s="1"/>
  <c r="AH2" i="6"/>
  <c r="AI2" i="6" s="1"/>
  <c r="AJ2" i="6" s="1"/>
  <c r="AK2" i="6" s="1"/>
  <c r="K16" i="6"/>
  <c r="AC23" i="6"/>
  <c r="AD23" i="6" s="1"/>
  <c r="AE23" i="6" s="1"/>
  <c r="AF23" i="6" s="1"/>
  <c r="K9" i="6"/>
  <c r="L9" i="6" s="1"/>
  <c r="M20" i="6"/>
  <c r="S2" i="6"/>
  <c r="T2" i="6" s="1"/>
  <c r="U2" i="6" s="1"/>
  <c r="V2" i="6" s="1"/>
  <c r="N2" i="6"/>
  <c r="O2" i="6" s="1"/>
  <c r="P2" i="6" s="1"/>
  <c r="Q2" i="6" s="1"/>
  <c r="R20" i="6"/>
  <c r="AR16" i="6"/>
  <c r="AS16" i="6" s="1"/>
  <c r="AT16" i="6" s="1"/>
  <c r="AU16" i="6" s="1"/>
  <c r="AR2" i="6"/>
  <c r="AS2" i="6" s="1"/>
  <c r="AT2" i="6" s="1"/>
  <c r="AU2" i="6" s="1"/>
  <c r="L16" i="6"/>
  <c r="AL20" i="6"/>
  <c r="AH20" i="6" s="1"/>
  <c r="AI20" i="6" s="1"/>
  <c r="AJ20" i="6" s="1"/>
  <c r="AK20" i="6" s="1"/>
  <c r="AM20" i="6" s="1"/>
  <c r="AN20" i="6" s="1"/>
  <c r="AO20" i="6" s="1"/>
  <c r="AP20" i="6" s="1"/>
  <c r="Z2" i="6"/>
  <c r="AA2" i="6" s="1"/>
  <c r="AJ14" i="7"/>
  <c r="AI13" i="7"/>
  <c r="AG14" i="7"/>
  <c r="U15" i="7"/>
  <c r="U16" i="7" s="1"/>
  <c r="W14" i="7"/>
  <c r="AM11" i="6"/>
  <c r="AN11" i="6"/>
  <c r="AO11" i="6" s="1"/>
  <c r="AP11" i="6" s="1"/>
  <c r="AM19" i="6"/>
  <c r="AN19" i="6" s="1"/>
  <c r="AO19" i="6" s="1"/>
  <c r="AP19" i="6" s="1"/>
  <c r="AM5" i="6"/>
  <c r="AN5" i="6" s="1"/>
  <c r="AO5" i="6" s="1"/>
  <c r="AP5" i="6" s="1"/>
  <c r="AM25" i="6"/>
  <c r="AN25" i="6" s="1"/>
  <c r="AO25" i="6" s="1"/>
  <c r="AP25" i="6" s="1"/>
  <c r="B7" i="5"/>
  <c r="B4" i="5"/>
  <c r="B3" i="5"/>
  <c r="B6" i="5"/>
  <c r="B5" i="5"/>
  <c r="B2" i="5"/>
  <c r="AY14" i="4"/>
  <c r="AY15" i="4"/>
  <c r="AY16" i="4"/>
  <c r="AY17" i="4"/>
  <c r="AY18" i="4"/>
  <c r="AY19" i="4"/>
  <c r="AY20" i="4"/>
  <c r="AY13" i="4"/>
  <c r="AU14" i="4"/>
  <c r="AU15" i="4"/>
  <c r="AU16" i="4"/>
  <c r="AU17" i="4"/>
  <c r="AU18" i="4"/>
  <c r="AU19" i="4"/>
  <c r="AU20" i="4"/>
  <c r="AU13" i="4"/>
  <c r="AQ13" i="4"/>
  <c r="AQ14" i="4"/>
  <c r="AQ15" i="4"/>
  <c r="AQ16" i="4"/>
  <c r="AQ17" i="4"/>
  <c r="AQ18" i="4"/>
  <c r="AQ19" i="4"/>
  <c r="AQ20" i="4"/>
  <c r="AM13" i="4"/>
  <c r="AM14" i="4"/>
  <c r="AM15" i="4"/>
  <c r="AM16" i="4"/>
  <c r="AM17" i="4"/>
  <c r="AM18" i="4"/>
  <c r="AM19" i="4"/>
  <c r="AM20" i="4"/>
  <c r="AI20" i="4" s="1"/>
  <c r="AE14" i="4"/>
  <c r="AE15" i="4"/>
  <c r="AE16" i="4"/>
  <c r="AE17" i="4"/>
  <c r="AE18" i="4"/>
  <c r="AE19" i="4"/>
  <c r="AE20" i="4"/>
  <c r="AE13" i="4"/>
  <c r="AA14" i="4"/>
  <c r="AA15" i="4"/>
  <c r="AA16" i="4"/>
  <c r="AA17" i="4"/>
  <c r="AA18" i="4"/>
  <c r="AA19" i="4"/>
  <c r="W19" i="4" s="1"/>
  <c r="AA20" i="4"/>
  <c r="AA13" i="4"/>
  <c r="W13" i="4" s="1"/>
  <c r="S14" i="4"/>
  <c r="S15" i="4"/>
  <c r="S16" i="4"/>
  <c r="S17" i="4"/>
  <c r="S18" i="4"/>
  <c r="S19" i="4"/>
  <c r="S20" i="4"/>
  <c r="S13" i="4"/>
  <c r="AZ20" i="4"/>
  <c r="AZ19" i="4"/>
  <c r="AZ18" i="4"/>
  <c r="AZ17" i="4"/>
  <c r="AZ16" i="4"/>
  <c r="AZ15" i="4"/>
  <c r="AZ14" i="4"/>
  <c r="AZ13" i="4"/>
  <c r="AV20" i="4"/>
  <c r="AV19" i="4"/>
  <c r="AV18" i="4"/>
  <c r="AV17" i="4"/>
  <c r="AV16" i="4"/>
  <c r="AV15" i="4"/>
  <c r="AV14" i="4"/>
  <c r="AV13" i="4"/>
  <c r="AR20" i="4"/>
  <c r="AR19" i="4"/>
  <c r="AR18" i="4"/>
  <c r="AR17" i="4"/>
  <c r="AR16" i="4"/>
  <c r="AR15" i="4"/>
  <c r="AR14" i="4"/>
  <c r="AR13" i="4"/>
  <c r="AN20" i="4"/>
  <c r="AN19" i="4"/>
  <c r="AN18" i="4"/>
  <c r="AN17" i="4"/>
  <c r="AN16" i="4"/>
  <c r="AN15" i="4"/>
  <c r="AN14" i="4"/>
  <c r="AN13" i="4"/>
  <c r="AF20" i="4"/>
  <c r="AF19" i="4"/>
  <c r="AF18" i="4"/>
  <c r="AF17" i="4"/>
  <c r="AF16" i="4"/>
  <c r="AF15" i="4"/>
  <c r="AF14" i="4"/>
  <c r="AF13" i="4"/>
  <c r="AB20" i="4"/>
  <c r="X20" i="4" s="1"/>
  <c r="AB19" i="4"/>
  <c r="AB18" i="4"/>
  <c r="AB17" i="4"/>
  <c r="Y17" i="4" s="1"/>
  <c r="AB16" i="4"/>
  <c r="X16" i="4" s="1"/>
  <c r="AB15" i="4"/>
  <c r="AB14" i="4"/>
  <c r="AB13" i="4"/>
  <c r="T20" i="4"/>
  <c r="T19" i="4"/>
  <c r="T18" i="4"/>
  <c r="T17" i="4"/>
  <c r="T16" i="4"/>
  <c r="T15" i="4"/>
  <c r="T14" i="4"/>
  <c r="T13" i="4"/>
  <c r="P14" i="4"/>
  <c r="P15" i="4"/>
  <c r="P16" i="4"/>
  <c r="P17" i="4"/>
  <c r="P18" i="4"/>
  <c r="P19" i="4"/>
  <c r="P20" i="4"/>
  <c r="P13" i="4"/>
  <c r="BA6" i="4"/>
  <c r="BA8" i="4"/>
  <c r="BA9" i="4"/>
  <c r="BA10" i="4"/>
  <c r="BA11" i="4"/>
  <c r="BA12" i="4"/>
  <c r="BA5" i="4"/>
  <c r="BA13" i="4" s="1"/>
  <c r="BA14" i="4" s="1"/>
  <c r="BA15" i="4" s="1"/>
  <c r="BA16" i="4" s="1"/>
  <c r="BA17" i="4" s="1"/>
  <c r="BA18" i="4" s="1"/>
  <c r="BA19" i="4" s="1"/>
  <c r="BA20" i="4" s="1"/>
  <c r="AW6" i="4"/>
  <c r="AX6" i="4"/>
  <c r="AW7" i="4"/>
  <c r="AX7" i="4"/>
  <c r="AW8" i="4"/>
  <c r="AX8" i="4"/>
  <c r="AW9" i="4"/>
  <c r="AX9" i="4"/>
  <c r="AW10" i="4"/>
  <c r="AX10" i="4"/>
  <c r="AW11" i="4"/>
  <c r="AX11" i="4"/>
  <c r="AW12" i="4"/>
  <c r="AX12" i="4"/>
  <c r="AW5" i="4"/>
  <c r="AW13" i="4" s="1"/>
  <c r="AW14" i="4" s="1"/>
  <c r="AW15" i="4" s="1"/>
  <c r="AW16" i="4" s="1"/>
  <c r="AW17" i="4" s="1"/>
  <c r="AW18" i="4" s="1"/>
  <c r="AW19" i="4" s="1"/>
  <c r="AW20" i="4" s="1"/>
  <c r="AS6" i="4"/>
  <c r="AS7" i="4"/>
  <c r="AS8" i="4"/>
  <c r="AS9" i="4"/>
  <c r="AS10" i="4"/>
  <c r="AS11" i="4"/>
  <c r="AS12" i="4"/>
  <c r="AS5" i="4"/>
  <c r="AS13" i="4" s="1"/>
  <c r="AS14" i="4" s="1"/>
  <c r="AS15" i="4" s="1"/>
  <c r="AS16" i="4" s="1"/>
  <c r="AS17" i="4" s="1"/>
  <c r="AS18" i="4" s="1"/>
  <c r="AS19" i="4" s="1"/>
  <c r="AS20" i="4" s="1"/>
  <c r="AA5" i="4"/>
  <c r="AU5" i="4"/>
  <c r="AU6" i="4"/>
  <c r="AZ5" i="4"/>
  <c r="AY6" i="4"/>
  <c r="AY7" i="4"/>
  <c r="AY8" i="4"/>
  <c r="AY9" i="4"/>
  <c r="AY10" i="4"/>
  <c r="AY11" i="4"/>
  <c r="AY12" i="4"/>
  <c r="AY5" i="4"/>
  <c r="BB12" i="4"/>
  <c r="AZ12" i="4"/>
  <c r="BB11" i="4"/>
  <c r="AZ11" i="4"/>
  <c r="BB10" i="4"/>
  <c r="AZ10" i="4"/>
  <c r="BB9" i="4"/>
  <c r="AZ9" i="4"/>
  <c r="BB8" i="4"/>
  <c r="AZ8" i="4"/>
  <c r="AZ7" i="4"/>
  <c r="BB6" i="4"/>
  <c r="AZ6" i="4"/>
  <c r="BB5" i="4"/>
  <c r="BB13" i="4" s="1"/>
  <c r="BB14" i="4" s="1"/>
  <c r="BB15" i="4" s="1"/>
  <c r="BB16" i="4" s="1"/>
  <c r="BB17" i="4" s="1"/>
  <c r="BB18" i="4" s="1"/>
  <c r="BB19" i="4" s="1"/>
  <c r="BB20" i="4" s="1"/>
  <c r="AU7" i="4"/>
  <c r="AU8" i="4"/>
  <c r="AU9" i="4"/>
  <c r="AU10" i="4"/>
  <c r="AU11" i="4"/>
  <c r="AU12" i="4"/>
  <c r="AM5" i="4"/>
  <c r="AV12" i="4"/>
  <c r="AV11" i="4"/>
  <c r="AV10" i="4"/>
  <c r="AV9" i="4"/>
  <c r="AV8" i="4"/>
  <c r="AV7" i="4"/>
  <c r="AV6" i="4"/>
  <c r="AX5" i="4"/>
  <c r="AX13" i="4" s="1"/>
  <c r="AX14" i="4" s="1"/>
  <c r="AX15" i="4" s="1"/>
  <c r="AX16" i="4" s="1"/>
  <c r="AX17" i="4" s="1"/>
  <c r="AX18" i="4" s="1"/>
  <c r="AX19" i="4" s="1"/>
  <c r="AX20" i="4" s="1"/>
  <c r="AV5" i="4"/>
  <c r="AQ6" i="4"/>
  <c r="AQ7" i="4"/>
  <c r="AQ8" i="4"/>
  <c r="AQ9" i="4"/>
  <c r="AQ10" i="4"/>
  <c r="AQ11" i="4"/>
  <c r="AQ12" i="4"/>
  <c r="AQ5" i="4"/>
  <c r="AM6" i="4"/>
  <c r="AM7" i="4"/>
  <c r="AM8" i="4"/>
  <c r="AM9" i="4"/>
  <c r="AM10" i="4"/>
  <c r="AM11" i="4"/>
  <c r="AM12" i="4"/>
  <c r="AT12" i="4"/>
  <c r="AR12" i="4"/>
  <c r="AT11" i="4"/>
  <c r="AR11" i="4"/>
  <c r="AT10" i="4"/>
  <c r="AR10" i="4"/>
  <c r="AT9" i="4"/>
  <c r="AR9" i="4"/>
  <c r="AT8" i="4"/>
  <c r="AR8" i="4"/>
  <c r="AT7" i="4"/>
  <c r="AR7" i="4"/>
  <c r="AT6" i="4"/>
  <c r="AR6" i="4"/>
  <c r="AT5" i="4"/>
  <c r="AT13" i="4" s="1"/>
  <c r="AT14" i="4" s="1"/>
  <c r="AT15" i="4" s="1"/>
  <c r="AT16" i="4" s="1"/>
  <c r="AT17" i="4" s="1"/>
  <c r="AT18" i="4" s="1"/>
  <c r="AT19" i="4" s="1"/>
  <c r="AT20" i="4" s="1"/>
  <c r="AR5" i="4"/>
  <c r="AP12" i="4"/>
  <c r="AO12" i="4"/>
  <c r="AN12" i="4"/>
  <c r="AP11" i="4"/>
  <c r="AO11" i="4"/>
  <c r="AN11" i="4"/>
  <c r="AP10" i="4"/>
  <c r="AO10" i="4"/>
  <c r="AN10" i="4"/>
  <c r="AP9" i="4"/>
  <c r="AO9" i="4"/>
  <c r="AN9" i="4"/>
  <c r="AP8" i="4"/>
  <c r="AO8" i="4"/>
  <c r="AN8" i="4"/>
  <c r="AP7" i="4"/>
  <c r="AO7" i="4"/>
  <c r="AN7" i="4"/>
  <c r="AP6" i="4"/>
  <c r="AO6" i="4"/>
  <c r="AN6" i="4"/>
  <c r="AP5" i="4"/>
  <c r="AP13" i="4" s="1"/>
  <c r="AP14" i="4" s="1"/>
  <c r="AP15" i="4" s="1"/>
  <c r="AP16" i="4" s="1"/>
  <c r="AP17" i="4" s="1"/>
  <c r="AP18" i="4" s="1"/>
  <c r="AP19" i="4" s="1"/>
  <c r="AP20" i="4" s="1"/>
  <c r="AO5" i="4"/>
  <c r="AO13" i="4" s="1"/>
  <c r="AO14" i="4" s="1"/>
  <c r="AO15" i="4" s="1"/>
  <c r="AO16" i="4" s="1"/>
  <c r="AO17" i="4" s="1"/>
  <c r="AO18" i="4" s="1"/>
  <c r="AO19" i="4" s="1"/>
  <c r="AO20" i="4" s="1"/>
  <c r="AN5" i="4"/>
  <c r="AG6" i="4"/>
  <c r="AH6" i="4"/>
  <c r="AG7" i="4"/>
  <c r="AH7" i="4"/>
  <c r="AG8" i="4"/>
  <c r="AH8" i="4"/>
  <c r="AG9" i="4"/>
  <c r="AH9" i="4"/>
  <c r="AG10" i="4"/>
  <c r="AH10" i="4"/>
  <c r="AG11" i="4"/>
  <c r="AH11" i="4"/>
  <c r="AG12" i="4"/>
  <c r="AH12" i="4"/>
  <c r="AH5" i="4"/>
  <c r="AH13" i="4" s="1"/>
  <c r="AH14" i="4" s="1"/>
  <c r="AH15" i="4" s="1"/>
  <c r="AH16" i="4" s="1"/>
  <c r="AH17" i="4" s="1"/>
  <c r="AH18" i="4" s="1"/>
  <c r="AH19" i="4" s="1"/>
  <c r="AH20" i="4" s="1"/>
  <c r="AG5" i="4"/>
  <c r="AG13" i="4" s="1"/>
  <c r="AG14" i="4" s="1"/>
  <c r="AG15" i="4" s="1"/>
  <c r="AG16" i="4" s="1"/>
  <c r="AG17" i="4" s="1"/>
  <c r="AG18" i="4" s="1"/>
  <c r="AG19" i="4" s="1"/>
  <c r="AG20" i="4" s="1"/>
  <c r="AF6" i="4"/>
  <c r="AF7" i="4"/>
  <c r="AF8" i="4"/>
  <c r="AF9" i="4"/>
  <c r="AF10" i="4"/>
  <c r="AF11" i="4"/>
  <c r="AF12" i="4"/>
  <c r="AF5" i="4"/>
  <c r="P6" i="4"/>
  <c r="O6" i="4"/>
  <c r="AE6" i="4"/>
  <c r="AE7" i="4"/>
  <c r="AE8" i="4"/>
  <c r="AE9" i="4"/>
  <c r="AE10" i="4"/>
  <c r="AE11" i="4"/>
  <c r="AE12" i="4"/>
  <c r="AE5" i="4"/>
  <c r="AA6" i="4"/>
  <c r="W6" i="4" s="1"/>
  <c r="AA7" i="4"/>
  <c r="AA8" i="4"/>
  <c r="AA9" i="4"/>
  <c r="AA10" i="4"/>
  <c r="AA11" i="4"/>
  <c r="AA12" i="4"/>
  <c r="AD12" i="4"/>
  <c r="AC12" i="4"/>
  <c r="AB12" i="4"/>
  <c r="AD11" i="4"/>
  <c r="AC11" i="4"/>
  <c r="AB11" i="4"/>
  <c r="AD10" i="4"/>
  <c r="AC10" i="4"/>
  <c r="AB10" i="4"/>
  <c r="AD9" i="4"/>
  <c r="AC9" i="4"/>
  <c r="AB9" i="4"/>
  <c r="AD8" i="4"/>
  <c r="AC8" i="4"/>
  <c r="AB8" i="4"/>
  <c r="AD7" i="4"/>
  <c r="AC7" i="4"/>
  <c r="AB7" i="4"/>
  <c r="AD6" i="4"/>
  <c r="AC6" i="4"/>
  <c r="AB6" i="4"/>
  <c r="AD5" i="4"/>
  <c r="AD13" i="4" s="1"/>
  <c r="AD14" i="4" s="1"/>
  <c r="AD15" i="4" s="1"/>
  <c r="AD16" i="4" s="1"/>
  <c r="AD17" i="4" s="1"/>
  <c r="AD18" i="4" s="1"/>
  <c r="AD19" i="4" s="1"/>
  <c r="AD20" i="4" s="1"/>
  <c r="AC5" i="4"/>
  <c r="AC13" i="4" s="1"/>
  <c r="AC14" i="4" s="1"/>
  <c r="AC15" i="4" s="1"/>
  <c r="AC16" i="4" s="1"/>
  <c r="AC17" i="4" s="1"/>
  <c r="AC18" i="4" s="1"/>
  <c r="AC19" i="4" s="1"/>
  <c r="AC20" i="4" s="1"/>
  <c r="AB5" i="4"/>
  <c r="V12" i="4"/>
  <c r="U12" i="4"/>
  <c r="T12" i="4"/>
  <c r="S12" i="4"/>
  <c r="V11" i="4"/>
  <c r="U11" i="4"/>
  <c r="T11" i="4"/>
  <c r="S11" i="4"/>
  <c r="V10" i="4"/>
  <c r="U10" i="4"/>
  <c r="T10" i="4"/>
  <c r="S10" i="4"/>
  <c r="V9" i="4"/>
  <c r="U9" i="4"/>
  <c r="T9" i="4"/>
  <c r="S9" i="4"/>
  <c r="V8" i="4"/>
  <c r="U8" i="4"/>
  <c r="T8" i="4"/>
  <c r="S8" i="4"/>
  <c r="V7" i="4"/>
  <c r="U7" i="4"/>
  <c r="T7" i="4"/>
  <c r="S7" i="4"/>
  <c r="V6" i="4"/>
  <c r="U6" i="4"/>
  <c r="T6" i="4"/>
  <c r="S6" i="4"/>
  <c r="V5" i="4"/>
  <c r="V13" i="4" s="1"/>
  <c r="V14" i="4" s="1"/>
  <c r="V15" i="4" s="1"/>
  <c r="V16" i="4" s="1"/>
  <c r="V17" i="4" s="1"/>
  <c r="V18" i="4" s="1"/>
  <c r="V19" i="4" s="1"/>
  <c r="V20" i="4" s="1"/>
  <c r="U5" i="4"/>
  <c r="U13" i="4" s="1"/>
  <c r="U14" i="4" s="1"/>
  <c r="U15" i="4" s="1"/>
  <c r="U16" i="4" s="1"/>
  <c r="U17" i="4" s="1"/>
  <c r="U18" i="4" s="1"/>
  <c r="U19" i="4" s="1"/>
  <c r="U20" i="4" s="1"/>
  <c r="T5" i="4"/>
  <c r="S5" i="4"/>
  <c r="R6" i="4"/>
  <c r="R7" i="4"/>
  <c r="R8" i="4"/>
  <c r="R9" i="4"/>
  <c r="R10" i="4"/>
  <c r="R11" i="4"/>
  <c r="R12" i="4"/>
  <c r="R5" i="4"/>
  <c r="R13" i="4" s="1"/>
  <c r="R14" i="4" s="1"/>
  <c r="R15" i="4" s="1"/>
  <c r="R16" i="4" s="1"/>
  <c r="R17" i="4" s="1"/>
  <c r="R18" i="4" s="1"/>
  <c r="R19" i="4" s="1"/>
  <c r="R20" i="4" s="1"/>
  <c r="P7" i="4"/>
  <c r="P8" i="4"/>
  <c r="P9" i="4"/>
  <c r="P10" i="4"/>
  <c r="P11" i="4"/>
  <c r="P12" i="4"/>
  <c r="P5" i="4"/>
  <c r="Q6" i="4"/>
  <c r="Q7" i="4"/>
  <c r="Q8" i="4"/>
  <c r="Q9" i="4"/>
  <c r="Q10" i="4"/>
  <c r="Q11" i="4"/>
  <c r="Q12" i="4"/>
  <c r="Q5" i="4"/>
  <c r="Q13" i="4" s="1"/>
  <c r="Q14" i="4" s="1"/>
  <c r="Q15" i="4" s="1"/>
  <c r="Q16" i="4" s="1"/>
  <c r="Q17" i="4" s="1"/>
  <c r="Q18" i="4" s="1"/>
  <c r="Q19" i="4" s="1"/>
  <c r="Q20" i="4" s="1"/>
  <c r="O5" i="4"/>
  <c r="O7" i="4"/>
  <c r="O8" i="4"/>
  <c r="O9" i="4"/>
  <c r="O10" i="4"/>
  <c r="O11" i="4"/>
  <c r="O12" i="4"/>
  <c r="R6" i="3"/>
  <c r="S34" i="3"/>
  <c r="W34" i="3"/>
  <c r="P34" i="3"/>
  <c r="T34" i="3"/>
  <c r="U34" i="3"/>
  <c r="V34" i="3"/>
  <c r="Q34" i="3"/>
  <c r="R34" i="3"/>
  <c r="O34" i="3"/>
  <c r="S33" i="3"/>
  <c r="W33" i="3"/>
  <c r="P33" i="3"/>
  <c r="T33" i="3"/>
  <c r="U33" i="3"/>
  <c r="V33" i="3"/>
  <c r="Q33" i="3"/>
  <c r="R33" i="3"/>
  <c r="O33" i="3"/>
  <c r="S32" i="3"/>
  <c r="W32" i="3"/>
  <c r="P32" i="3"/>
  <c r="T32" i="3"/>
  <c r="U32" i="3"/>
  <c r="V32" i="3"/>
  <c r="Q32" i="3"/>
  <c r="R32" i="3"/>
  <c r="O32" i="3"/>
  <c r="S31" i="3"/>
  <c r="W31" i="3"/>
  <c r="P31" i="3"/>
  <c r="T31" i="3"/>
  <c r="U31" i="3"/>
  <c r="V31" i="3"/>
  <c r="Q31" i="3"/>
  <c r="R31" i="3"/>
  <c r="O31" i="3"/>
  <c r="S30" i="3"/>
  <c r="W30" i="3"/>
  <c r="P30" i="3"/>
  <c r="T30" i="3"/>
  <c r="U30" i="3"/>
  <c r="V30" i="3"/>
  <c r="Q30" i="3"/>
  <c r="R30" i="3"/>
  <c r="O30" i="3"/>
  <c r="S29" i="3"/>
  <c r="W29" i="3"/>
  <c r="P29" i="3"/>
  <c r="T29" i="3"/>
  <c r="U29" i="3"/>
  <c r="V29" i="3"/>
  <c r="Q29" i="3"/>
  <c r="R29" i="3"/>
  <c r="O29" i="3"/>
  <c r="S28" i="3"/>
  <c r="W28" i="3"/>
  <c r="P28" i="3"/>
  <c r="T28" i="3"/>
  <c r="U28" i="3"/>
  <c r="V28" i="3"/>
  <c r="Q28" i="3"/>
  <c r="R28" i="3"/>
  <c r="O28" i="3"/>
  <c r="S26" i="3"/>
  <c r="W26" i="3"/>
  <c r="P26" i="3"/>
  <c r="T26" i="3"/>
  <c r="U26" i="3"/>
  <c r="V26" i="3"/>
  <c r="Q26" i="3"/>
  <c r="R26" i="3"/>
  <c r="O26" i="3"/>
  <c r="S25" i="3"/>
  <c r="W25" i="3"/>
  <c r="P25" i="3"/>
  <c r="T25" i="3"/>
  <c r="U25" i="3"/>
  <c r="V25" i="3"/>
  <c r="Q25" i="3"/>
  <c r="R25" i="3"/>
  <c r="O25" i="3"/>
  <c r="S24" i="3"/>
  <c r="W24" i="3"/>
  <c r="P24" i="3"/>
  <c r="T24" i="3"/>
  <c r="U24" i="3"/>
  <c r="V24" i="3"/>
  <c r="Q24" i="3"/>
  <c r="R24" i="3"/>
  <c r="O24" i="3"/>
  <c r="S23" i="3"/>
  <c r="W23" i="3"/>
  <c r="P23" i="3"/>
  <c r="T23" i="3"/>
  <c r="U23" i="3"/>
  <c r="V23" i="3"/>
  <c r="Q23" i="3"/>
  <c r="R23" i="3"/>
  <c r="O23" i="3"/>
  <c r="S22" i="3"/>
  <c r="W22" i="3"/>
  <c r="P22" i="3"/>
  <c r="T22" i="3"/>
  <c r="U22" i="3"/>
  <c r="V22" i="3"/>
  <c r="Q22" i="3"/>
  <c r="R22" i="3"/>
  <c r="O22" i="3"/>
  <c r="S21" i="3"/>
  <c r="W21" i="3"/>
  <c r="P21" i="3"/>
  <c r="T21" i="3"/>
  <c r="U21" i="3"/>
  <c r="V21" i="3"/>
  <c r="Q21" i="3"/>
  <c r="R21" i="3"/>
  <c r="O21" i="3"/>
  <c r="S20" i="3"/>
  <c r="W20" i="3"/>
  <c r="P20" i="3"/>
  <c r="T20" i="3"/>
  <c r="U20" i="3"/>
  <c r="V20" i="3"/>
  <c r="Q20" i="3"/>
  <c r="R20" i="3"/>
  <c r="O20" i="3"/>
  <c r="S18" i="3"/>
  <c r="W18" i="3"/>
  <c r="P18" i="3"/>
  <c r="T18" i="3"/>
  <c r="U18" i="3"/>
  <c r="V18" i="3"/>
  <c r="Q18" i="3"/>
  <c r="R18" i="3"/>
  <c r="O18" i="3"/>
  <c r="S17" i="3"/>
  <c r="W17" i="3"/>
  <c r="P17" i="3"/>
  <c r="T17" i="3"/>
  <c r="U17" i="3"/>
  <c r="V17" i="3"/>
  <c r="Q17" i="3"/>
  <c r="R17" i="3"/>
  <c r="O17" i="3"/>
  <c r="S16" i="3"/>
  <c r="W16" i="3"/>
  <c r="P16" i="3"/>
  <c r="T16" i="3"/>
  <c r="U16" i="3"/>
  <c r="V16" i="3"/>
  <c r="Q16" i="3"/>
  <c r="R16" i="3"/>
  <c r="O16" i="3"/>
  <c r="S15" i="3"/>
  <c r="W15" i="3"/>
  <c r="P15" i="3"/>
  <c r="T15" i="3"/>
  <c r="U15" i="3"/>
  <c r="V15" i="3"/>
  <c r="Q15" i="3"/>
  <c r="R15" i="3"/>
  <c r="O15" i="3"/>
  <c r="S14" i="3"/>
  <c r="W14" i="3"/>
  <c r="P14" i="3"/>
  <c r="T14" i="3"/>
  <c r="U14" i="3"/>
  <c r="V14" i="3"/>
  <c r="Q14" i="3"/>
  <c r="R14" i="3"/>
  <c r="O14" i="3"/>
  <c r="S13" i="3"/>
  <c r="W13" i="3"/>
  <c r="P13" i="3"/>
  <c r="T13" i="3"/>
  <c r="U13" i="3"/>
  <c r="V13" i="3"/>
  <c r="Q13" i="3"/>
  <c r="R13" i="3"/>
  <c r="O13" i="3"/>
  <c r="S12" i="3"/>
  <c r="W12" i="3"/>
  <c r="P12" i="3"/>
  <c r="T12" i="3"/>
  <c r="U12" i="3"/>
  <c r="V12" i="3"/>
  <c r="Q12" i="3"/>
  <c r="R12" i="3"/>
  <c r="O12" i="3"/>
  <c r="O5" i="3"/>
  <c r="R5" i="3"/>
  <c r="Q5" i="3"/>
  <c r="V5" i="3"/>
  <c r="U5" i="3"/>
  <c r="T5" i="3"/>
  <c r="P5" i="3"/>
  <c r="W5" i="3"/>
  <c r="S5" i="3"/>
  <c r="O6" i="3"/>
  <c r="Q6" i="3"/>
  <c r="V6" i="3"/>
  <c r="U6" i="3"/>
  <c r="T6" i="3"/>
  <c r="P6" i="3"/>
  <c r="W6" i="3"/>
  <c r="S6" i="3"/>
  <c r="O7" i="3"/>
  <c r="R7" i="3"/>
  <c r="Q7" i="3"/>
  <c r="V7" i="3"/>
  <c r="U7" i="3"/>
  <c r="T7" i="3"/>
  <c r="P7" i="3"/>
  <c r="W7" i="3"/>
  <c r="S7" i="3"/>
  <c r="O8" i="3"/>
  <c r="R8" i="3"/>
  <c r="Q8" i="3"/>
  <c r="V8" i="3"/>
  <c r="U8" i="3"/>
  <c r="T8" i="3"/>
  <c r="P8" i="3"/>
  <c r="W8" i="3"/>
  <c r="S8" i="3"/>
  <c r="O9" i="3"/>
  <c r="R9" i="3"/>
  <c r="Q9" i="3"/>
  <c r="V9" i="3"/>
  <c r="U9" i="3"/>
  <c r="T9" i="3"/>
  <c r="P9" i="3"/>
  <c r="W9" i="3"/>
  <c r="S9" i="3"/>
  <c r="O10" i="3"/>
  <c r="R10" i="3"/>
  <c r="Q10" i="3"/>
  <c r="V10" i="3"/>
  <c r="U10" i="3"/>
  <c r="T10" i="3"/>
  <c r="P10" i="3"/>
  <c r="W10" i="3"/>
  <c r="S10" i="3"/>
  <c r="O4" i="3"/>
  <c r="S4" i="3"/>
  <c r="R4" i="3"/>
  <c r="Q4" i="3"/>
  <c r="V4" i="3"/>
  <c r="U4" i="3"/>
  <c r="T4" i="3"/>
  <c r="W4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2" i="1"/>
  <c r="I2" i="1"/>
  <c r="V50" i="1"/>
  <c r="V47" i="1"/>
  <c r="V19" i="1"/>
  <c r="V13" i="1"/>
  <c r="V22" i="1"/>
  <c r="V11" i="1"/>
  <c r="V14" i="1"/>
  <c r="V5" i="1"/>
  <c r="V49" i="1"/>
  <c r="V4" i="1"/>
  <c r="V42" i="1"/>
  <c r="V15" i="1"/>
  <c r="V53" i="1"/>
  <c r="V6" i="1"/>
  <c r="V52" i="1"/>
  <c r="V65" i="1"/>
  <c r="V59" i="1"/>
  <c r="V61" i="1"/>
  <c r="V32" i="1"/>
  <c r="V55" i="1"/>
  <c r="V60" i="1"/>
  <c r="V64" i="1"/>
  <c r="V12" i="1"/>
  <c r="V48" i="1"/>
  <c r="V51" i="1"/>
  <c r="V28" i="1"/>
  <c r="V43" i="1"/>
  <c r="V31" i="1"/>
  <c r="V46" i="1"/>
  <c r="V41" i="1"/>
  <c r="V16" i="1"/>
  <c r="V21" i="1"/>
  <c r="V17" i="1"/>
  <c r="V57" i="1"/>
  <c r="V27" i="1"/>
  <c r="V54" i="1"/>
  <c r="V35" i="1"/>
  <c r="V33" i="1"/>
  <c r="V40" i="1"/>
  <c r="V44" i="1"/>
  <c r="V39" i="1"/>
  <c r="V29" i="1"/>
  <c r="V7" i="1"/>
  <c r="V9" i="1"/>
  <c r="V3" i="1"/>
  <c r="V25" i="1"/>
  <c r="V45" i="1"/>
  <c r="V37" i="1"/>
  <c r="V66" i="1"/>
  <c r="V24" i="1"/>
  <c r="V38" i="1"/>
  <c r="V36" i="1"/>
  <c r="V58" i="1"/>
  <c r="V63" i="1"/>
  <c r="V30" i="1"/>
  <c r="V62" i="1"/>
  <c r="V26" i="1"/>
  <c r="V67" i="1"/>
  <c r="V23" i="1"/>
  <c r="V56" i="1"/>
  <c r="V18" i="1"/>
  <c r="V68" i="1"/>
  <c r="V8" i="1"/>
  <c r="V34" i="1"/>
  <c r="V20" i="1"/>
  <c r="V10" i="1"/>
  <c r="N20" i="6" l="1"/>
  <c r="O20" i="6" s="1"/>
  <c r="P20" i="6" s="1"/>
  <c r="Q20" i="6" s="1"/>
  <c r="AM2" i="6"/>
  <c r="AN2" i="6" s="1"/>
  <c r="AO2" i="6" s="1"/>
  <c r="AP2" i="6" s="1"/>
  <c r="J20" i="6"/>
  <c r="K20" i="6"/>
  <c r="L20" i="6" s="1"/>
  <c r="AJ15" i="7"/>
  <c r="AG15" i="7"/>
  <c r="AI14" i="7"/>
  <c r="W15" i="7"/>
  <c r="W16" i="7"/>
  <c r="Z17" i="4"/>
  <c r="AJ17" i="4"/>
  <c r="AK16" i="4"/>
  <c r="AI15" i="4"/>
  <c r="Y15" i="4"/>
  <c r="AL14" i="4"/>
  <c r="AL13" i="4"/>
  <c r="AL17" i="4"/>
  <c r="Y14" i="4"/>
  <c r="W14" i="4"/>
  <c r="Y20" i="4"/>
  <c r="AJ19" i="4"/>
  <c r="AI19" i="4"/>
  <c r="AI18" i="4"/>
  <c r="X18" i="4"/>
  <c r="AI17" i="4"/>
  <c r="W17" i="4"/>
  <c r="AI16" i="4"/>
  <c r="W16" i="4"/>
  <c r="AJ15" i="4"/>
  <c r="AJ16" i="4"/>
  <c r="W15" i="4"/>
  <c r="AI14" i="4"/>
  <c r="AK14" i="4"/>
  <c r="X14" i="4"/>
  <c r="Z20" i="4"/>
  <c r="X13" i="4"/>
  <c r="AK20" i="4"/>
  <c r="W20" i="4"/>
  <c r="AK19" i="4"/>
  <c r="Z18" i="4"/>
  <c r="W18" i="4"/>
  <c r="AI13" i="4"/>
  <c r="AL18" i="4"/>
  <c r="AK18" i="4"/>
  <c r="AJ18" i="4"/>
  <c r="AJ14" i="4"/>
  <c r="X17" i="4"/>
  <c r="Z16" i="4"/>
  <c r="AK17" i="4"/>
  <c r="Y16" i="4"/>
  <c r="AL20" i="4"/>
  <c r="AL16" i="4"/>
  <c r="Z19" i="4"/>
  <c r="Z15" i="4"/>
  <c r="Y19" i="4"/>
  <c r="AJ20" i="4"/>
  <c r="X19" i="4"/>
  <c r="X15" i="4"/>
  <c r="Z13" i="4"/>
  <c r="AL19" i="4"/>
  <c r="AL15" i="4"/>
  <c r="Z14" i="4"/>
  <c r="Y13" i="4"/>
  <c r="AK15" i="4"/>
  <c r="Y18" i="4"/>
  <c r="AK13" i="4"/>
  <c r="AJ13" i="4"/>
  <c r="W10" i="4"/>
  <c r="AI11" i="4"/>
  <c r="X6" i="4"/>
  <c r="W12" i="4"/>
  <c r="AI12" i="4"/>
  <c r="AK10" i="4"/>
  <c r="AI9" i="4"/>
  <c r="AI8" i="4"/>
  <c r="AI7" i="4"/>
  <c r="X10" i="4"/>
  <c r="AK6" i="4"/>
  <c r="AL5" i="4"/>
  <c r="Y5" i="4"/>
  <c r="X11" i="4"/>
  <c r="AI5" i="4"/>
  <c r="BA7" i="4"/>
  <c r="AK7" i="4" s="1"/>
  <c r="AJ10" i="4"/>
  <c r="AJ5" i="4"/>
  <c r="BB7" i="4"/>
  <c r="AL7" i="4" s="1"/>
  <c r="AL9" i="4"/>
  <c r="Z5" i="4"/>
  <c r="X12" i="4"/>
  <c r="AJ6" i="4"/>
  <c r="AI6" i="4"/>
  <c r="W11" i="4"/>
  <c r="AI10" i="4"/>
  <c r="X7" i="4"/>
  <c r="AK9" i="4"/>
  <c r="AK5" i="4"/>
  <c r="AJ9" i="4"/>
  <c r="X8" i="4"/>
  <c r="AL12" i="4"/>
  <c r="AL8" i="4"/>
  <c r="AK12" i="4"/>
  <c r="AK8" i="4"/>
  <c r="Z8" i="4"/>
  <c r="Y9" i="4"/>
  <c r="Z11" i="4"/>
  <c r="AJ12" i="4"/>
  <c r="AJ8" i="4"/>
  <c r="X9" i="4"/>
  <c r="W8" i="4"/>
  <c r="W7" i="4"/>
  <c r="AL11" i="4"/>
  <c r="AK11" i="4"/>
  <c r="AJ11" i="4"/>
  <c r="AJ7" i="4"/>
  <c r="Z12" i="4"/>
  <c r="AL10" i="4"/>
  <c r="AL6" i="4"/>
  <c r="Z10" i="4"/>
  <c r="Z9" i="4"/>
  <c r="Z7" i="4"/>
  <c r="Z6" i="4"/>
  <c r="W5" i="4"/>
  <c r="Y12" i="4"/>
  <c r="Y11" i="4"/>
  <c r="Y10" i="4"/>
  <c r="W9" i="4"/>
  <c r="Y8" i="4"/>
  <c r="Y7" i="4"/>
  <c r="Y6" i="4"/>
  <c r="X5" i="4"/>
  <c r="AK13" i="7" l="1"/>
  <c r="AJ16" i="7"/>
  <c r="AK12" i="7" s="1"/>
  <c r="AI15" i="7"/>
  <c r="AG16" i="7"/>
  <c r="AI16" i="7" s="1"/>
  <c r="S18" i="1"/>
  <c r="S68" i="1"/>
  <c r="S12" i="1"/>
  <c r="S31" i="1"/>
  <c r="S16" i="1"/>
  <c r="S17" i="1"/>
  <c r="S35" i="1"/>
  <c r="S40" i="1"/>
  <c r="S65" i="1"/>
  <c r="S61" i="1"/>
  <c r="S49" i="1"/>
  <c r="S4" i="1"/>
  <c r="S63" i="1"/>
  <c r="S15" i="1"/>
  <c r="S6" i="1"/>
  <c r="S42" i="1"/>
  <c r="S53" i="1"/>
  <c r="S52" i="1"/>
  <c r="S58" i="1"/>
  <c r="S62" i="1"/>
  <c r="S67" i="1"/>
  <c r="S29" i="1"/>
  <c r="S9" i="1"/>
  <c r="S45" i="1"/>
  <c r="S66" i="1"/>
  <c r="S48" i="1"/>
  <c r="S46" i="1"/>
  <c r="S8" i="1"/>
  <c r="S34" i="1"/>
  <c r="S20" i="1"/>
  <c r="S38" i="1"/>
  <c r="S36" i="1"/>
  <c r="S10" i="1"/>
  <c r="S30" i="1"/>
  <c r="S26" i="1"/>
  <c r="S23" i="1"/>
  <c r="S39" i="1"/>
  <c r="S7" i="1"/>
  <c r="S3" i="1"/>
  <c r="S25" i="1"/>
  <c r="S37" i="1"/>
  <c r="S24" i="1"/>
  <c r="S51" i="1"/>
  <c r="S50" i="1"/>
  <c r="S19" i="1"/>
  <c r="S57" i="1"/>
  <c r="S22" i="1"/>
  <c r="S14" i="1"/>
  <c r="S28" i="1"/>
  <c r="S41" i="1"/>
  <c r="S21" i="1"/>
  <c r="S27" i="1"/>
  <c r="S33" i="1"/>
  <c r="S44" i="1"/>
  <c r="S59" i="1"/>
  <c r="S32" i="1"/>
  <c r="S55" i="1"/>
  <c r="S60" i="1"/>
  <c r="S64" i="1"/>
  <c r="S43" i="1"/>
  <c r="S47" i="1"/>
  <c r="S13" i="1"/>
  <c r="S54" i="1"/>
  <c r="S11" i="1"/>
  <c r="S5" i="1"/>
  <c r="S56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2" i="1"/>
  <c r="AK10" i="7" l="1"/>
  <c r="AK16" i="7"/>
  <c r="AK14" i="7"/>
  <c r="AK11" i="7"/>
  <c r="AK15" i="7"/>
  <c r="AJ17" i="7"/>
  <c r="I3" i="1"/>
  <c r="I1154" i="1"/>
  <c r="I1138" i="1"/>
  <c r="I1122" i="1"/>
  <c r="I1106" i="1"/>
  <c r="I1090" i="1"/>
  <c r="I1074" i="1"/>
  <c r="I1058" i="1"/>
  <c r="I1042" i="1"/>
  <c r="I1026" i="1"/>
  <c r="I1010" i="1"/>
  <c r="I994" i="1"/>
  <c r="I978" i="1"/>
  <c r="I962" i="1"/>
  <c r="I946" i="1"/>
  <c r="I930" i="1"/>
  <c r="I914" i="1"/>
  <c r="I898" i="1"/>
  <c r="I882" i="1"/>
  <c r="I866" i="1"/>
  <c r="I850" i="1"/>
  <c r="I834" i="1"/>
  <c r="I818" i="1"/>
  <c r="I802" i="1"/>
  <c r="I786" i="1"/>
  <c r="I770" i="1"/>
  <c r="I754" i="1"/>
  <c r="I738" i="1"/>
  <c r="I722" i="1"/>
  <c r="I706" i="1"/>
  <c r="I690" i="1"/>
  <c r="I674" i="1"/>
  <c r="I658" i="1"/>
  <c r="I642" i="1"/>
  <c r="I626" i="1"/>
  <c r="I610" i="1"/>
  <c r="I594" i="1"/>
  <c r="I578" i="1"/>
  <c r="I562" i="1"/>
  <c r="I546" i="1"/>
  <c r="I530" i="1"/>
  <c r="I514" i="1"/>
  <c r="I498" i="1"/>
  <c r="I482" i="1"/>
  <c r="I466" i="1"/>
  <c r="I450" i="1"/>
  <c r="I434" i="1"/>
  <c r="I418" i="1"/>
  <c r="I402" i="1"/>
  <c r="I386" i="1"/>
  <c r="I370" i="1"/>
  <c r="I354" i="1"/>
  <c r="I338" i="1"/>
  <c r="I322" i="1"/>
  <c r="I306" i="1"/>
  <c r="I290" i="1"/>
  <c r="I274" i="1"/>
  <c r="I258" i="1"/>
  <c r="I242" i="1"/>
  <c r="I226" i="1"/>
  <c r="I210" i="1"/>
  <c r="I194" i="1"/>
  <c r="I178" i="1"/>
  <c r="I162" i="1"/>
  <c r="I146" i="1"/>
  <c r="I130" i="1"/>
  <c r="I114" i="1"/>
  <c r="I98" i="1"/>
  <c r="I82" i="1"/>
  <c r="I66" i="1"/>
  <c r="I50" i="1"/>
  <c r="I34" i="1"/>
  <c r="I18" i="1"/>
  <c r="I1153" i="1"/>
  <c r="I1137" i="1"/>
  <c r="I1121" i="1"/>
  <c r="I1105" i="1"/>
  <c r="I1089" i="1"/>
  <c r="I1073" i="1"/>
  <c r="I1057" i="1"/>
  <c r="I1041" i="1"/>
  <c r="I1025" i="1"/>
  <c r="I1009" i="1"/>
  <c r="I993" i="1"/>
  <c r="I977" i="1"/>
  <c r="I961" i="1"/>
  <c r="I945" i="1"/>
  <c r="I929" i="1"/>
  <c r="I913" i="1"/>
  <c r="I897" i="1"/>
  <c r="I881" i="1"/>
  <c r="I865" i="1"/>
  <c r="I849" i="1"/>
  <c r="I833" i="1"/>
  <c r="I817" i="1"/>
  <c r="I801" i="1"/>
  <c r="I785" i="1"/>
  <c r="I769" i="1"/>
  <c r="I753" i="1"/>
  <c r="I737" i="1"/>
  <c r="I721" i="1"/>
  <c r="I705" i="1"/>
  <c r="I689" i="1"/>
  <c r="I673" i="1"/>
  <c r="I657" i="1"/>
  <c r="I641" i="1"/>
  <c r="I625" i="1"/>
  <c r="I609" i="1"/>
  <c r="I593" i="1"/>
  <c r="I577" i="1"/>
  <c r="I561" i="1"/>
  <c r="I545" i="1"/>
  <c r="I529" i="1"/>
  <c r="I513" i="1"/>
  <c r="I497" i="1"/>
  <c r="I481" i="1"/>
  <c r="I465" i="1"/>
  <c r="I449" i="1"/>
  <c r="I433" i="1"/>
  <c r="I417" i="1"/>
  <c r="I401" i="1"/>
  <c r="I385" i="1"/>
  <c r="I369" i="1"/>
  <c r="I353" i="1"/>
  <c r="I337" i="1"/>
  <c r="I321" i="1"/>
  <c r="I305" i="1"/>
  <c r="I289" i="1"/>
  <c r="I273" i="1"/>
  <c r="I257" i="1"/>
  <c r="I241" i="1"/>
  <c r="I225" i="1"/>
  <c r="I209" i="1"/>
  <c r="I193" i="1"/>
  <c r="I177" i="1"/>
  <c r="I161" i="1"/>
  <c r="I145" i="1"/>
  <c r="I129" i="1"/>
  <c r="I113" i="1"/>
  <c r="I97" i="1"/>
  <c r="I81" i="1"/>
  <c r="I65" i="1"/>
  <c r="I49" i="1"/>
  <c r="I33" i="1"/>
  <c r="I17" i="1"/>
  <c r="I1152" i="1"/>
  <c r="I1136" i="1"/>
  <c r="I1120" i="1"/>
  <c r="I1104" i="1"/>
  <c r="I1088" i="1"/>
  <c r="I1072" i="1"/>
  <c r="I1056" i="1"/>
  <c r="I1040" i="1"/>
  <c r="I1024" i="1"/>
  <c r="I1008" i="1"/>
  <c r="I992" i="1"/>
  <c r="I976" i="1"/>
  <c r="I960" i="1"/>
  <c r="I944" i="1"/>
  <c r="I928" i="1"/>
  <c r="I912" i="1"/>
  <c r="I896" i="1"/>
  <c r="I880" i="1"/>
  <c r="I864" i="1"/>
  <c r="I848" i="1"/>
  <c r="I832" i="1"/>
  <c r="I816" i="1"/>
  <c r="I800" i="1"/>
  <c r="I784" i="1"/>
  <c r="I768" i="1"/>
  <c r="I752" i="1"/>
  <c r="I736" i="1"/>
  <c r="I720" i="1"/>
  <c r="I704" i="1"/>
  <c r="I688" i="1"/>
  <c r="I672" i="1"/>
  <c r="I656" i="1"/>
  <c r="I640" i="1"/>
  <c r="I624" i="1"/>
  <c r="I608" i="1"/>
  <c r="I592" i="1"/>
  <c r="I576" i="1"/>
  <c r="I560" i="1"/>
  <c r="I544" i="1"/>
  <c r="I528" i="1"/>
  <c r="I512" i="1"/>
  <c r="I496" i="1"/>
  <c r="I480" i="1"/>
  <c r="I464" i="1"/>
  <c r="I448" i="1"/>
  <c r="I432" i="1"/>
  <c r="I416" i="1"/>
  <c r="I400" i="1"/>
  <c r="I384" i="1"/>
  <c r="I368" i="1"/>
  <c r="I352" i="1"/>
  <c r="I336" i="1"/>
  <c r="I320" i="1"/>
  <c r="I304" i="1"/>
  <c r="I288" i="1"/>
  <c r="I272" i="1"/>
  <c r="I256" i="1"/>
  <c r="I240" i="1"/>
  <c r="I224" i="1"/>
  <c r="I208" i="1"/>
  <c r="I192" i="1"/>
  <c r="I176" i="1"/>
  <c r="I160" i="1"/>
  <c r="I144" i="1"/>
  <c r="I128" i="1"/>
  <c r="I112" i="1"/>
  <c r="I96" i="1"/>
  <c r="I80" i="1"/>
  <c r="I64" i="1"/>
  <c r="I48" i="1"/>
  <c r="I32" i="1"/>
  <c r="I16" i="1"/>
  <c r="I1151" i="1"/>
  <c r="I1135" i="1"/>
  <c r="I1119" i="1"/>
  <c r="I1103" i="1"/>
  <c r="I1087" i="1"/>
  <c r="I1071" i="1"/>
  <c r="I1055" i="1"/>
  <c r="I1039" i="1"/>
  <c r="I1023" i="1"/>
  <c r="I1007" i="1"/>
  <c r="I991" i="1"/>
  <c r="I975" i="1"/>
  <c r="I959" i="1"/>
  <c r="I943" i="1"/>
  <c r="I927" i="1"/>
  <c r="I911" i="1"/>
  <c r="I895" i="1"/>
  <c r="I879" i="1"/>
  <c r="I863" i="1"/>
  <c r="I847" i="1"/>
  <c r="I831" i="1"/>
  <c r="I815" i="1"/>
  <c r="I799" i="1"/>
  <c r="I783" i="1"/>
  <c r="I767" i="1"/>
  <c r="I751" i="1"/>
  <c r="I735" i="1"/>
  <c r="I719" i="1"/>
  <c r="I703" i="1"/>
  <c r="I687" i="1"/>
  <c r="I671" i="1"/>
  <c r="I655" i="1"/>
  <c r="I639" i="1"/>
  <c r="I623" i="1"/>
  <c r="I607" i="1"/>
  <c r="I591" i="1"/>
  <c r="I575" i="1"/>
  <c r="I559" i="1"/>
  <c r="I543" i="1"/>
  <c r="I527" i="1"/>
  <c r="I511" i="1"/>
  <c r="I495" i="1"/>
  <c r="I479" i="1"/>
  <c r="I463" i="1"/>
  <c r="I447" i="1"/>
  <c r="I431" i="1"/>
  <c r="I415" i="1"/>
  <c r="I399" i="1"/>
  <c r="I383" i="1"/>
  <c r="I367" i="1"/>
  <c r="I351" i="1"/>
  <c r="I335" i="1"/>
  <c r="I319" i="1"/>
  <c r="I303" i="1"/>
  <c r="I287" i="1"/>
  <c r="I271" i="1"/>
  <c r="I255" i="1"/>
  <c r="I239" i="1"/>
  <c r="I223" i="1"/>
  <c r="I207" i="1"/>
  <c r="I191" i="1"/>
  <c r="I175" i="1"/>
  <c r="I159" i="1"/>
  <c r="I143" i="1"/>
  <c r="I127" i="1"/>
  <c r="I111" i="1"/>
  <c r="I95" i="1"/>
  <c r="I79" i="1"/>
  <c r="I63" i="1"/>
  <c r="I47" i="1"/>
  <c r="I31" i="1"/>
  <c r="I15" i="1"/>
  <c r="I1150" i="1"/>
  <c r="I1134" i="1"/>
  <c r="I1118" i="1"/>
  <c r="I1102" i="1"/>
  <c r="I1086" i="1"/>
  <c r="I1070" i="1"/>
  <c r="I1054" i="1"/>
  <c r="I1038" i="1"/>
  <c r="I1022" i="1"/>
  <c r="I1006" i="1"/>
  <c r="I990" i="1"/>
  <c r="I974" i="1"/>
  <c r="I958" i="1"/>
  <c r="I942" i="1"/>
  <c r="I926" i="1"/>
  <c r="I910" i="1"/>
  <c r="I894" i="1"/>
  <c r="I878" i="1"/>
  <c r="I862" i="1"/>
  <c r="I846" i="1"/>
  <c r="I830" i="1"/>
  <c r="I814" i="1"/>
  <c r="I798" i="1"/>
  <c r="I782" i="1"/>
  <c r="I766" i="1"/>
  <c r="I750" i="1"/>
  <c r="I734" i="1"/>
  <c r="I718" i="1"/>
  <c r="I702" i="1"/>
  <c r="I686" i="1"/>
  <c r="I670" i="1"/>
  <c r="I654" i="1"/>
  <c r="I638" i="1"/>
  <c r="I622" i="1"/>
  <c r="I606" i="1"/>
  <c r="I590" i="1"/>
  <c r="I574" i="1"/>
  <c r="I558" i="1"/>
  <c r="I542" i="1"/>
  <c r="I526" i="1"/>
  <c r="I510" i="1"/>
  <c r="I494" i="1"/>
  <c r="I478" i="1"/>
  <c r="I462" i="1"/>
  <c r="I446" i="1"/>
  <c r="I430" i="1"/>
  <c r="I414" i="1"/>
  <c r="I398" i="1"/>
  <c r="I382" i="1"/>
  <c r="I366" i="1"/>
  <c r="I350" i="1"/>
  <c r="I334" i="1"/>
  <c r="I318" i="1"/>
  <c r="I302" i="1"/>
  <c r="I286" i="1"/>
  <c r="I270" i="1"/>
  <c r="I254" i="1"/>
  <c r="I238" i="1"/>
  <c r="I222" i="1"/>
  <c r="I206" i="1"/>
  <c r="I190" i="1"/>
  <c r="I174" i="1"/>
  <c r="I158" i="1"/>
  <c r="I142" i="1"/>
  <c r="I126" i="1"/>
  <c r="I110" i="1"/>
  <c r="I94" i="1"/>
  <c r="I78" i="1"/>
  <c r="I62" i="1"/>
  <c r="I46" i="1"/>
  <c r="I30" i="1"/>
  <c r="I14" i="1"/>
  <c r="I1149" i="1"/>
  <c r="I1133" i="1"/>
  <c r="I1117" i="1"/>
  <c r="I1101" i="1"/>
  <c r="I1085" i="1"/>
  <c r="I1069" i="1"/>
  <c r="I1053" i="1"/>
  <c r="I1037" i="1"/>
  <c r="I1021" i="1"/>
  <c r="I1005" i="1"/>
  <c r="I989" i="1"/>
  <c r="I973" i="1"/>
  <c r="I957" i="1"/>
  <c r="I941" i="1"/>
  <c r="I925" i="1"/>
  <c r="I909" i="1"/>
  <c r="I893" i="1"/>
  <c r="I877" i="1"/>
  <c r="I861" i="1"/>
  <c r="I845" i="1"/>
  <c r="I829" i="1"/>
  <c r="I813" i="1"/>
  <c r="I797" i="1"/>
  <c r="I781" i="1"/>
  <c r="I765" i="1"/>
  <c r="I749" i="1"/>
  <c r="I733" i="1"/>
  <c r="I717" i="1"/>
  <c r="I701" i="1"/>
  <c r="I685" i="1"/>
  <c r="I669" i="1"/>
  <c r="I653" i="1"/>
  <c r="I637" i="1"/>
  <c r="I621" i="1"/>
  <c r="I605" i="1"/>
  <c r="I589" i="1"/>
  <c r="I573" i="1"/>
  <c r="I557" i="1"/>
  <c r="I541" i="1"/>
  <c r="I525" i="1"/>
  <c r="I509" i="1"/>
  <c r="I493" i="1"/>
  <c r="I477" i="1"/>
  <c r="I461" i="1"/>
  <c r="I445" i="1"/>
  <c r="I429" i="1"/>
  <c r="I413" i="1"/>
  <c r="I397" i="1"/>
  <c r="I381" i="1"/>
  <c r="I365" i="1"/>
  <c r="I349" i="1"/>
  <c r="I333" i="1"/>
  <c r="I317" i="1"/>
  <c r="I301" i="1"/>
  <c r="I285" i="1"/>
  <c r="I269" i="1"/>
  <c r="I253" i="1"/>
  <c r="I237" i="1"/>
  <c r="I221" i="1"/>
  <c r="I205" i="1"/>
  <c r="I189" i="1"/>
  <c r="I173" i="1"/>
  <c r="I157" i="1"/>
  <c r="I141" i="1"/>
  <c r="I125" i="1"/>
  <c r="I109" i="1"/>
  <c r="I93" i="1"/>
  <c r="I77" i="1"/>
  <c r="I61" i="1"/>
  <c r="I45" i="1"/>
  <c r="I29" i="1"/>
  <c r="I13" i="1"/>
  <c r="I1148" i="1"/>
  <c r="I1132" i="1"/>
  <c r="I1116" i="1"/>
  <c r="I1100" i="1"/>
  <c r="I1084" i="1"/>
  <c r="I1068" i="1"/>
  <c r="I1052" i="1"/>
  <c r="I1036" i="1"/>
  <c r="I1020" i="1"/>
  <c r="I1004" i="1"/>
  <c r="I988" i="1"/>
  <c r="I972" i="1"/>
  <c r="I956" i="1"/>
  <c r="I940" i="1"/>
  <c r="I924" i="1"/>
  <c r="I908" i="1"/>
  <c r="I892" i="1"/>
  <c r="I876" i="1"/>
  <c r="I860" i="1"/>
  <c r="I844" i="1"/>
  <c r="I828" i="1"/>
  <c r="I812" i="1"/>
  <c r="I796" i="1"/>
  <c r="I780" i="1"/>
  <c r="I764" i="1"/>
  <c r="I748" i="1"/>
  <c r="I732" i="1"/>
  <c r="I716" i="1"/>
  <c r="I700" i="1"/>
  <c r="I684" i="1"/>
  <c r="I668" i="1"/>
  <c r="I652" i="1"/>
  <c r="I636" i="1"/>
  <c r="I620" i="1"/>
  <c r="I604" i="1"/>
  <c r="I588" i="1"/>
  <c r="I572" i="1"/>
  <c r="I556" i="1"/>
  <c r="I540" i="1"/>
  <c r="I524" i="1"/>
  <c r="I508" i="1"/>
  <c r="I492" i="1"/>
  <c r="I476" i="1"/>
  <c r="I460" i="1"/>
  <c r="I444" i="1"/>
  <c r="I428" i="1"/>
  <c r="I412" i="1"/>
  <c r="I396" i="1"/>
  <c r="I380" i="1"/>
  <c r="I364" i="1"/>
  <c r="I348" i="1"/>
  <c r="I332" i="1"/>
  <c r="I316" i="1"/>
  <c r="I300" i="1"/>
  <c r="I284" i="1"/>
  <c r="I268" i="1"/>
  <c r="I252" i="1"/>
  <c r="I236" i="1"/>
  <c r="I220" i="1"/>
  <c r="I204" i="1"/>
  <c r="I188" i="1"/>
  <c r="I172" i="1"/>
  <c r="I156" i="1"/>
  <c r="I140" i="1"/>
  <c r="I124" i="1"/>
  <c r="I108" i="1"/>
  <c r="I92" i="1"/>
  <c r="I76" i="1"/>
  <c r="I60" i="1"/>
  <c r="I44" i="1"/>
  <c r="I28" i="1"/>
  <c r="I12" i="1"/>
  <c r="I1147" i="1"/>
  <c r="I1131" i="1"/>
  <c r="I1115" i="1"/>
  <c r="I1099" i="1"/>
  <c r="I1083" i="1"/>
  <c r="I1067" i="1"/>
  <c r="I1051" i="1"/>
  <c r="I1035" i="1"/>
  <c r="I1019" i="1"/>
  <c r="I1003" i="1"/>
  <c r="I987" i="1"/>
  <c r="I971" i="1"/>
  <c r="I955" i="1"/>
  <c r="I939" i="1"/>
  <c r="I923" i="1"/>
  <c r="I907" i="1"/>
  <c r="I891" i="1"/>
  <c r="I875" i="1"/>
  <c r="I859" i="1"/>
  <c r="I843" i="1"/>
  <c r="I827" i="1"/>
  <c r="I811" i="1"/>
  <c r="I795" i="1"/>
  <c r="I779" i="1"/>
  <c r="I763" i="1"/>
  <c r="I747" i="1"/>
  <c r="I731" i="1"/>
  <c r="I715" i="1"/>
  <c r="I699" i="1"/>
  <c r="I683" i="1"/>
  <c r="I667" i="1"/>
  <c r="I651" i="1"/>
  <c r="I635" i="1"/>
  <c r="I619" i="1"/>
  <c r="I603" i="1"/>
  <c r="I587" i="1"/>
  <c r="I571" i="1"/>
  <c r="I555" i="1"/>
  <c r="I539" i="1"/>
  <c r="I523" i="1"/>
  <c r="I507" i="1"/>
  <c r="I491" i="1"/>
  <c r="I475" i="1"/>
  <c r="I459" i="1"/>
  <c r="I443" i="1"/>
  <c r="I427" i="1"/>
  <c r="I411" i="1"/>
  <c r="I395" i="1"/>
  <c r="I379" i="1"/>
  <c r="I363" i="1"/>
  <c r="I347" i="1"/>
  <c r="I331" i="1"/>
  <c r="I315" i="1"/>
  <c r="I299" i="1"/>
  <c r="I283" i="1"/>
  <c r="I267" i="1"/>
  <c r="I251" i="1"/>
  <c r="I235" i="1"/>
  <c r="I219" i="1"/>
  <c r="I203" i="1"/>
  <c r="I187" i="1"/>
  <c r="I171" i="1"/>
  <c r="I155" i="1"/>
  <c r="I139" i="1"/>
  <c r="I123" i="1"/>
  <c r="I107" i="1"/>
  <c r="I91" i="1"/>
  <c r="I75" i="1"/>
  <c r="I59" i="1"/>
  <c r="I43" i="1"/>
  <c r="I27" i="1"/>
  <c r="I11" i="1"/>
  <c r="I1146" i="1"/>
  <c r="I1130" i="1"/>
  <c r="I1114" i="1"/>
  <c r="I1098" i="1"/>
  <c r="I1082" i="1"/>
  <c r="I1066" i="1"/>
  <c r="I1050" i="1"/>
  <c r="I1034" i="1"/>
  <c r="I1018" i="1"/>
  <c r="I1002" i="1"/>
  <c r="I986" i="1"/>
  <c r="I970" i="1"/>
  <c r="I954" i="1"/>
  <c r="I938" i="1"/>
  <c r="I922" i="1"/>
  <c r="I906" i="1"/>
  <c r="I890" i="1"/>
  <c r="I874" i="1"/>
  <c r="I858" i="1"/>
  <c r="I842" i="1"/>
  <c r="I826" i="1"/>
  <c r="I810" i="1"/>
  <c r="I794" i="1"/>
  <c r="I778" i="1"/>
  <c r="I762" i="1"/>
  <c r="I746" i="1"/>
  <c r="I730" i="1"/>
  <c r="I714" i="1"/>
  <c r="I698" i="1"/>
  <c r="I682" i="1"/>
  <c r="I666" i="1"/>
  <c r="I650" i="1"/>
  <c r="I634" i="1"/>
  <c r="I618" i="1"/>
  <c r="I602" i="1"/>
  <c r="I586" i="1"/>
  <c r="I570" i="1"/>
  <c r="I554" i="1"/>
  <c r="I538" i="1"/>
  <c r="I522" i="1"/>
  <c r="I506" i="1"/>
  <c r="I490" i="1"/>
  <c r="I474" i="1"/>
  <c r="I458" i="1"/>
  <c r="I442" i="1"/>
  <c r="I426" i="1"/>
  <c r="I410" i="1"/>
  <c r="I394" i="1"/>
  <c r="I378" i="1"/>
  <c r="I362" i="1"/>
  <c r="I346" i="1"/>
  <c r="I330" i="1"/>
  <c r="I314" i="1"/>
  <c r="I298" i="1"/>
  <c r="I282" i="1"/>
  <c r="I266" i="1"/>
  <c r="I250" i="1"/>
  <c r="I234" i="1"/>
  <c r="I218" i="1"/>
  <c r="I202" i="1"/>
  <c r="I186" i="1"/>
  <c r="I170" i="1"/>
  <c r="I154" i="1"/>
  <c r="I138" i="1"/>
  <c r="I122" i="1"/>
  <c r="I106" i="1"/>
  <c r="I90" i="1"/>
  <c r="I74" i="1"/>
  <c r="I58" i="1"/>
  <c r="I42" i="1"/>
  <c r="I26" i="1"/>
  <c r="I10" i="1"/>
  <c r="I1161" i="1"/>
  <c r="I1145" i="1"/>
  <c r="I1129" i="1"/>
  <c r="I1113" i="1"/>
  <c r="I1097" i="1"/>
  <c r="I1081" i="1"/>
  <c r="I1065" i="1"/>
  <c r="I1049" i="1"/>
  <c r="I1033" i="1"/>
  <c r="I1017" i="1"/>
  <c r="I1001" i="1"/>
  <c r="I985" i="1"/>
  <c r="I969" i="1"/>
  <c r="I953" i="1"/>
  <c r="I937" i="1"/>
  <c r="I921" i="1"/>
  <c r="I905" i="1"/>
  <c r="I889" i="1"/>
  <c r="I873" i="1"/>
  <c r="I857" i="1"/>
  <c r="I841" i="1"/>
  <c r="I825" i="1"/>
  <c r="I809" i="1"/>
  <c r="I793" i="1"/>
  <c r="I777" i="1"/>
  <c r="I761" i="1"/>
  <c r="I745" i="1"/>
  <c r="I729" i="1"/>
  <c r="I713" i="1"/>
  <c r="I697" i="1"/>
  <c r="I681" i="1"/>
  <c r="I665" i="1"/>
  <c r="I649" i="1"/>
  <c r="I633" i="1"/>
  <c r="I617" i="1"/>
  <c r="I601" i="1"/>
  <c r="I585" i="1"/>
  <c r="I569" i="1"/>
  <c r="I553" i="1"/>
  <c r="I537" i="1"/>
  <c r="I521" i="1"/>
  <c r="I505" i="1"/>
  <c r="I489" i="1"/>
  <c r="I473" i="1"/>
  <c r="I457" i="1"/>
  <c r="I441" i="1"/>
  <c r="I425" i="1"/>
  <c r="I409" i="1"/>
  <c r="I393" i="1"/>
  <c r="I377" i="1"/>
  <c r="I361" i="1"/>
  <c r="I345" i="1"/>
  <c r="I329" i="1"/>
  <c r="I313" i="1"/>
  <c r="I297" i="1"/>
  <c r="I281" i="1"/>
  <c r="I265" i="1"/>
  <c r="I249" i="1"/>
  <c r="I233" i="1"/>
  <c r="I217" i="1"/>
  <c r="I201" i="1"/>
  <c r="I185" i="1"/>
  <c r="I169" i="1"/>
  <c r="I153" i="1"/>
  <c r="I137" i="1"/>
  <c r="I121" i="1"/>
  <c r="I105" i="1"/>
  <c r="I89" i="1"/>
  <c r="I73" i="1"/>
  <c r="I57" i="1"/>
  <c r="I41" i="1"/>
  <c r="I25" i="1"/>
  <c r="I9" i="1"/>
  <c r="I1160" i="1"/>
  <c r="I1144" i="1"/>
  <c r="I1128" i="1"/>
  <c r="I1112" i="1"/>
  <c r="I1096" i="1"/>
  <c r="I1080" i="1"/>
  <c r="I1064" i="1"/>
  <c r="I1048" i="1"/>
  <c r="I1032" i="1"/>
  <c r="I1016" i="1"/>
  <c r="I1000" i="1"/>
  <c r="I984" i="1"/>
  <c r="I968" i="1"/>
  <c r="I952" i="1"/>
  <c r="I936" i="1"/>
  <c r="I920" i="1"/>
  <c r="I904" i="1"/>
  <c r="I888" i="1"/>
  <c r="I872" i="1"/>
  <c r="I856" i="1"/>
  <c r="I840" i="1"/>
  <c r="I824" i="1"/>
  <c r="I808" i="1"/>
  <c r="I792" i="1"/>
  <c r="I776" i="1"/>
  <c r="I760" i="1"/>
  <c r="I744" i="1"/>
  <c r="I728" i="1"/>
  <c r="I712" i="1"/>
  <c r="I696" i="1"/>
  <c r="I680" i="1"/>
  <c r="I664" i="1"/>
  <c r="I648" i="1"/>
  <c r="I632" i="1"/>
  <c r="I616" i="1"/>
  <c r="I600" i="1"/>
  <c r="I584" i="1"/>
  <c r="I568" i="1"/>
  <c r="I552" i="1"/>
  <c r="I536" i="1"/>
  <c r="I520" i="1"/>
  <c r="I504" i="1"/>
  <c r="I488" i="1"/>
  <c r="I472" i="1"/>
  <c r="I456" i="1"/>
  <c r="I440" i="1"/>
  <c r="I424" i="1"/>
  <c r="I408" i="1"/>
  <c r="I392" i="1"/>
  <c r="I376" i="1"/>
  <c r="I360" i="1"/>
  <c r="I344" i="1"/>
  <c r="I328" i="1"/>
  <c r="I312" i="1"/>
  <c r="I296" i="1"/>
  <c r="I280" i="1"/>
  <c r="I264" i="1"/>
  <c r="I248" i="1"/>
  <c r="I232" i="1"/>
  <c r="I216" i="1"/>
  <c r="I200" i="1"/>
  <c r="I184" i="1"/>
  <c r="I168" i="1"/>
  <c r="I152" i="1"/>
  <c r="I136" i="1"/>
  <c r="I120" i="1"/>
  <c r="I104" i="1"/>
  <c r="I88" i="1"/>
  <c r="I72" i="1"/>
  <c r="I56" i="1"/>
  <c r="I40" i="1"/>
  <c r="I24" i="1"/>
  <c r="I8" i="1"/>
  <c r="I1159" i="1"/>
  <c r="I1143" i="1"/>
  <c r="I1127" i="1"/>
  <c r="I1111" i="1"/>
  <c r="I1095" i="1"/>
  <c r="I1079" i="1"/>
  <c r="I1063" i="1"/>
  <c r="I1047" i="1"/>
  <c r="I1031" i="1"/>
  <c r="I1015" i="1"/>
  <c r="I999" i="1"/>
  <c r="I983" i="1"/>
  <c r="I967" i="1"/>
  <c r="I951" i="1"/>
  <c r="I935" i="1"/>
  <c r="I919" i="1"/>
  <c r="I903" i="1"/>
  <c r="I887" i="1"/>
  <c r="I871" i="1"/>
  <c r="I855" i="1"/>
  <c r="I839" i="1"/>
  <c r="I823" i="1"/>
  <c r="I807" i="1"/>
  <c r="I791" i="1"/>
  <c r="I775" i="1"/>
  <c r="I759" i="1"/>
  <c r="I743" i="1"/>
  <c r="I727" i="1"/>
  <c r="I711" i="1"/>
  <c r="I695" i="1"/>
  <c r="I679" i="1"/>
  <c r="I663" i="1"/>
  <c r="I647" i="1"/>
  <c r="I631" i="1"/>
  <c r="I615" i="1"/>
  <c r="I599" i="1"/>
  <c r="I583" i="1"/>
  <c r="I567" i="1"/>
  <c r="I551" i="1"/>
  <c r="I535" i="1"/>
  <c r="I519" i="1"/>
  <c r="I503" i="1"/>
  <c r="I487" i="1"/>
  <c r="I471" i="1"/>
  <c r="I455" i="1"/>
  <c r="I439" i="1"/>
  <c r="I423" i="1"/>
  <c r="I407" i="1"/>
  <c r="I391" i="1"/>
  <c r="I375" i="1"/>
  <c r="I359" i="1"/>
  <c r="I343" i="1"/>
  <c r="I327" i="1"/>
  <c r="I311" i="1"/>
  <c r="I295" i="1"/>
  <c r="I279" i="1"/>
  <c r="I263" i="1"/>
  <c r="I247" i="1"/>
  <c r="I231" i="1"/>
  <c r="I215" i="1"/>
  <c r="I199" i="1"/>
  <c r="I183" i="1"/>
  <c r="I167" i="1"/>
  <c r="I151" i="1"/>
  <c r="I135" i="1"/>
  <c r="I119" i="1"/>
  <c r="I103" i="1"/>
  <c r="I87" i="1"/>
  <c r="I71" i="1"/>
  <c r="I55" i="1"/>
  <c r="I39" i="1"/>
  <c r="I23" i="1"/>
  <c r="I7" i="1"/>
  <c r="I1158" i="1"/>
  <c r="I1142" i="1"/>
  <c r="I1126" i="1"/>
  <c r="I1110" i="1"/>
  <c r="I1094" i="1"/>
  <c r="I1078" i="1"/>
  <c r="I1062" i="1"/>
  <c r="I1046" i="1"/>
  <c r="I1030" i="1"/>
  <c r="I1014" i="1"/>
  <c r="I998" i="1"/>
  <c r="I982" i="1"/>
  <c r="I966" i="1"/>
  <c r="I950" i="1"/>
  <c r="I934" i="1"/>
  <c r="I918" i="1"/>
  <c r="I902" i="1"/>
  <c r="I886" i="1"/>
  <c r="I870" i="1"/>
  <c r="I854" i="1"/>
  <c r="I838" i="1"/>
  <c r="I822" i="1"/>
  <c r="I806" i="1"/>
  <c r="I790" i="1"/>
  <c r="I774" i="1"/>
  <c r="I758" i="1"/>
  <c r="I742" i="1"/>
  <c r="I726" i="1"/>
  <c r="I710" i="1"/>
  <c r="I694" i="1"/>
  <c r="I678" i="1"/>
  <c r="I662" i="1"/>
  <c r="I646" i="1"/>
  <c r="I630" i="1"/>
  <c r="I614" i="1"/>
  <c r="I598" i="1"/>
  <c r="I582" i="1"/>
  <c r="I566" i="1"/>
  <c r="I550" i="1"/>
  <c r="I534" i="1"/>
  <c r="I518" i="1"/>
  <c r="I502" i="1"/>
  <c r="I486" i="1"/>
  <c r="I470" i="1"/>
  <c r="I454" i="1"/>
  <c r="I438" i="1"/>
  <c r="I422" i="1"/>
  <c r="I406" i="1"/>
  <c r="I390" i="1"/>
  <c r="I374" i="1"/>
  <c r="I358" i="1"/>
  <c r="I342" i="1"/>
  <c r="I326" i="1"/>
  <c r="I310" i="1"/>
  <c r="I294" i="1"/>
  <c r="I278" i="1"/>
  <c r="I262" i="1"/>
  <c r="I246" i="1"/>
  <c r="I230" i="1"/>
  <c r="I214" i="1"/>
  <c r="I198" i="1"/>
  <c r="I182" i="1"/>
  <c r="I166" i="1"/>
  <c r="I150" i="1"/>
  <c r="I134" i="1"/>
  <c r="I118" i="1"/>
  <c r="I102" i="1"/>
  <c r="I86" i="1"/>
  <c r="I70" i="1"/>
  <c r="I54" i="1"/>
  <c r="I38" i="1"/>
  <c r="I22" i="1"/>
  <c r="I6" i="1"/>
  <c r="I1157" i="1"/>
  <c r="I1141" i="1"/>
  <c r="I1125" i="1"/>
  <c r="I1109" i="1"/>
  <c r="I1093" i="1"/>
  <c r="I1077" i="1"/>
  <c r="I1061" i="1"/>
  <c r="I1045" i="1"/>
  <c r="I1029" i="1"/>
  <c r="I1013" i="1"/>
  <c r="I997" i="1"/>
  <c r="I981" i="1"/>
  <c r="I965" i="1"/>
  <c r="I949" i="1"/>
  <c r="I933" i="1"/>
  <c r="I917" i="1"/>
  <c r="I901" i="1"/>
  <c r="I885" i="1"/>
  <c r="I869" i="1"/>
  <c r="I853" i="1"/>
  <c r="I837" i="1"/>
  <c r="I821" i="1"/>
  <c r="I805" i="1"/>
  <c r="I789" i="1"/>
  <c r="I773" i="1"/>
  <c r="I757" i="1"/>
  <c r="I741" i="1"/>
  <c r="I725" i="1"/>
  <c r="I709" i="1"/>
  <c r="I693" i="1"/>
  <c r="I677" i="1"/>
  <c r="I661" i="1"/>
  <c r="I645" i="1"/>
  <c r="I629" i="1"/>
  <c r="I613" i="1"/>
  <c r="I597" i="1"/>
  <c r="I581" i="1"/>
  <c r="I565" i="1"/>
  <c r="I549" i="1"/>
  <c r="I533" i="1"/>
  <c r="I517" i="1"/>
  <c r="I501" i="1"/>
  <c r="I485" i="1"/>
  <c r="I469" i="1"/>
  <c r="I453" i="1"/>
  <c r="I437" i="1"/>
  <c r="I421" i="1"/>
  <c r="I405" i="1"/>
  <c r="I389" i="1"/>
  <c r="I373" i="1"/>
  <c r="I357" i="1"/>
  <c r="I341" i="1"/>
  <c r="I325" i="1"/>
  <c r="I309" i="1"/>
  <c r="I293" i="1"/>
  <c r="I277" i="1"/>
  <c r="I261" i="1"/>
  <c r="I245" i="1"/>
  <c r="I229" i="1"/>
  <c r="I213" i="1"/>
  <c r="I197" i="1"/>
  <c r="I181" i="1"/>
  <c r="I165" i="1"/>
  <c r="I149" i="1"/>
  <c r="I133" i="1"/>
  <c r="I117" i="1"/>
  <c r="I101" i="1"/>
  <c r="I85" i="1"/>
  <c r="I69" i="1"/>
  <c r="I53" i="1"/>
  <c r="I37" i="1"/>
  <c r="I21" i="1"/>
  <c r="I5" i="1"/>
  <c r="I1156" i="1"/>
  <c r="I1140" i="1"/>
  <c r="I1124" i="1"/>
  <c r="I1108" i="1"/>
  <c r="I1092" i="1"/>
  <c r="I1076" i="1"/>
  <c r="I1060" i="1"/>
  <c r="I1044" i="1"/>
  <c r="I1028" i="1"/>
  <c r="I1012" i="1"/>
  <c r="I996" i="1"/>
  <c r="I980" i="1"/>
  <c r="I964" i="1"/>
  <c r="I948" i="1"/>
  <c r="I932" i="1"/>
  <c r="I916" i="1"/>
  <c r="I900" i="1"/>
  <c r="I884" i="1"/>
  <c r="I868" i="1"/>
  <c r="I852" i="1"/>
  <c r="I836" i="1"/>
  <c r="I820" i="1"/>
  <c r="I804" i="1"/>
  <c r="I788" i="1"/>
  <c r="I772" i="1"/>
  <c r="I756" i="1"/>
  <c r="I740" i="1"/>
  <c r="I724" i="1"/>
  <c r="I708" i="1"/>
  <c r="I692" i="1"/>
  <c r="I676" i="1"/>
  <c r="I660" i="1"/>
  <c r="I644" i="1"/>
  <c r="I628" i="1"/>
  <c r="I612" i="1"/>
  <c r="I596" i="1"/>
  <c r="I580" i="1"/>
  <c r="I564" i="1"/>
  <c r="I548" i="1"/>
  <c r="I532" i="1"/>
  <c r="I516" i="1"/>
  <c r="I500" i="1"/>
  <c r="I484" i="1"/>
  <c r="I468" i="1"/>
  <c r="I452" i="1"/>
  <c r="I436" i="1"/>
  <c r="I420" i="1"/>
  <c r="I404" i="1"/>
  <c r="I388" i="1"/>
  <c r="I372" i="1"/>
  <c r="I356" i="1"/>
  <c r="I340" i="1"/>
  <c r="I324" i="1"/>
  <c r="I308" i="1"/>
  <c r="I292" i="1"/>
  <c r="I276" i="1"/>
  <c r="I260" i="1"/>
  <c r="I244" i="1"/>
  <c r="I228" i="1"/>
  <c r="I212" i="1"/>
  <c r="I196" i="1"/>
  <c r="I180" i="1"/>
  <c r="I164" i="1"/>
  <c r="I148" i="1"/>
  <c r="I132" i="1"/>
  <c r="I116" i="1"/>
  <c r="I100" i="1"/>
  <c r="I84" i="1"/>
  <c r="I68" i="1"/>
  <c r="I52" i="1"/>
  <c r="I36" i="1"/>
  <c r="I20" i="1"/>
  <c r="I4" i="1"/>
  <c r="I1155" i="1"/>
  <c r="I1139" i="1"/>
  <c r="I1123" i="1"/>
  <c r="I1107" i="1"/>
  <c r="I1091" i="1"/>
  <c r="I1075" i="1"/>
  <c r="I1059" i="1"/>
  <c r="I1043" i="1"/>
  <c r="I1027" i="1"/>
  <c r="I1011" i="1"/>
  <c r="I995" i="1"/>
  <c r="I979" i="1"/>
  <c r="I963" i="1"/>
  <c r="I947" i="1"/>
  <c r="I931" i="1"/>
  <c r="I915" i="1"/>
  <c r="I899" i="1"/>
  <c r="I883" i="1"/>
  <c r="I867" i="1"/>
  <c r="I851" i="1"/>
  <c r="I835" i="1"/>
  <c r="I819" i="1"/>
  <c r="I803" i="1"/>
  <c r="I787" i="1"/>
  <c r="I771" i="1"/>
  <c r="I755" i="1"/>
  <c r="I739" i="1"/>
  <c r="I723" i="1"/>
  <c r="I707" i="1"/>
  <c r="I691" i="1"/>
  <c r="I675" i="1"/>
  <c r="I659" i="1"/>
  <c r="I643" i="1"/>
  <c r="I627" i="1"/>
  <c r="I611" i="1"/>
  <c r="I595" i="1"/>
  <c r="I579" i="1"/>
  <c r="I563" i="1"/>
  <c r="I547" i="1"/>
  <c r="I531" i="1"/>
  <c r="I515" i="1"/>
  <c r="I499" i="1"/>
  <c r="I483" i="1"/>
  <c r="I467" i="1"/>
  <c r="I451" i="1"/>
  <c r="I435" i="1"/>
  <c r="I419" i="1"/>
  <c r="I403" i="1"/>
  <c r="I387" i="1"/>
  <c r="I371" i="1"/>
  <c r="I355" i="1"/>
  <c r="I339" i="1"/>
  <c r="I323" i="1"/>
  <c r="I307" i="1"/>
  <c r="I291" i="1"/>
  <c r="I275" i="1"/>
  <c r="I259" i="1"/>
  <c r="I243" i="1"/>
  <c r="I227" i="1"/>
  <c r="I211" i="1"/>
  <c r="I195" i="1"/>
  <c r="I179" i="1"/>
  <c r="I163" i="1"/>
  <c r="I147" i="1"/>
  <c r="I131" i="1"/>
  <c r="I115" i="1"/>
  <c r="I99" i="1"/>
  <c r="I83" i="1"/>
  <c r="I67" i="1"/>
  <c r="I51" i="1"/>
  <c r="I35" i="1"/>
  <c r="I19" i="1"/>
  <c r="AJ18" i="7" l="1"/>
  <c r="AJ19" i="7" l="1"/>
  <c r="AJ20" i="7" l="1"/>
  <c r="AJ21" i="7" l="1"/>
  <c r="AJ22" i="7" l="1"/>
  <c r="AJ23" i="7" l="1"/>
  <c r="AJ24" i="7" l="1"/>
  <c r="AJ25" i="7" l="1"/>
  <c r="AJ26" i="7" l="1"/>
  <c r="AJ27" i="7" l="1"/>
  <c r="AJ28" i="7" l="1"/>
  <c r="AJ29" i="7" l="1"/>
  <c r="AJ30" i="7" l="1"/>
  <c r="AJ31" i="7" l="1"/>
  <c r="AJ32" i="7" l="1"/>
  <c r="AJ33" i="7" l="1"/>
  <c r="AJ34" i="7" l="1"/>
  <c r="AJ35" i="7" l="1"/>
  <c r="AJ36" i="7" l="1"/>
  <c r="AJ37" i="7" l="1"/>
  <c r="AJ38" i="7" l="1"/>
  <c r="AJ39" i="7" l="1"/>
  <c r="AJ40" i="7" l="1"/>
  <c r="AJ41" i="7" l="1"/>
  <c r="AJ42" i="7" l="1"/>
  <c r="AJ43" i="7" l="1"/>
  <c r="AJ44" i="7" l="1"/>
  <c r="AJ45" i="7" l="1"/>
  <c r="AJ46" i="7" l="1"/>
  <c r="AJ47" i="7" l="1"/>
  <c r="AJ48" i="7" l="1"/>
  <c r="AJ49" i="7" l="1"/>
  <c r="AJ50" i="7" l="1"/>
  <c r="AJ51" i="7" l="1"/>
  <c r="AJ52" i="7" l="1"/>
  <c r="AJ53" i="7" l="1"/>
  <c r="AJ55" i="7" l="1"/>
  <c r="AJ5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<sst xmlns="http://schemas.openxmlformats.org/spreadsheetml/2006/main" count="5280" uniqueCount="121">
  <si>
    <t>Year</t>
  </si>
  <si>
    <t>FuelType</t>
  </si>
  <si>
    <t>Class</t>
  </si>
  <si>
    <t>UseType</t>
  </si>
  <si>
    <t>Sales</t>
  </si>
  <si>
    <t>Class2</t>
  </si>
  <si>
    <t>插电式混合动力</t>
  </si>
  <si>
    <t>大型客车</t>
  </si>
  <si>
    <t>城市公交</t>
  </si>
  <si>
    <t>商用车</t>
  </si>
  <si>
    <t>柴油</t>
  </si>
  <si>
    <t>纯电动</t>
  </si>
  <si>
    <t>混合动力</t>
  </si>
  <si>
    <t>汽油</t>
  </si>
  <si>
    <t>汽油-天然气</t>
  </si>
  <si>
    <t>燃料电池</t>
  </si>
  <si>
    <t>天然气</t>
  </si>
  <si>
    <t>未知</t>
  </si>
  <si>
    <t>小型客车</t>
  </si>
  <si>
    <t>中型货车</t>
  </si>
  <si>
    <t>中型客车</t>
  </si>
  <si>
    <t>重型货车</t>
  </si>
  <si>
    <t>出租租赁</t>
  </si>
  <si>
    <t>轻型货车</t>
  </si>
  <si>
    <t>无</t>
  </si>
  <si>
    <t>非营运</t>
  </si>
  <si>
    <t>甲醇</t>
  </si>
  <si>
    <t>微型货车</t>
  </si>
  <si>
    <t>微型客车</t>
  </si>
  <si>
    <t>柴油-天然气</t>
  </si>
  <si>
    <t>公路客运</t>
  </si>
  <si>
    <t>营运</t>
  </si>
  <si>
    <t>柴油-甲醇</t>
  </si>
  <si>
    <t>乘用车</t>
  </si>
  <si>
    <t>NULL</t>
  </si>
  <si>
    <t>汽油-LPG</t>
  </si>
  <si>
    <t>增程式混合动力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</si>
  <si>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</si>
  <si>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</si>
  <si>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</si>
  <si>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</si>
  <si>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</si>
  <si>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</si>
  <si>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</si>
  <si>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hybrid fuel vehicle</t>
  </si>
  <si>
    <t>hybrid fuel vehicle</t>
    <phoneticPr fontId="19" type="noConversion"/>
  </si>
  <si>
    <t>hydrogen vehicle</t>
    <phoneticPr fontId="19" type="noConversion"/>
  </si>
  <si>
    <t>other fuel vehicle</t>
  </si>
  <si>
    <t>other fuel vehicle</t>
    <phoneticPr fontId="19" type="noConversion"/>
  </si>
  <si>
    <t xml:space="preserve">Fuel Type Adjusted </t>
    <phoneticPr fontId="19" type="noConversion"/>
  </si>
  <si>
    <t>Fuel Type Adjusted</t>
    <phoneticPr fontId="19" type="noConversion"/>
  </si>
  <si>
    <t>Index</t>
    <phoneticPr fontId="19" type="noConversion"/>
  </si>
  <si>
    <t>列标签</t>
  </si>
  <si>
    <t>总计</t>
  </si>
  <si>
    <t>行标签</t>
  </si>
  <si>
    <t>unknown</t>
  </si>
  <si>
    <t>unknown</t>
    <phoneticPr fontId="19" type="noConversion"/>
  </si>
  <si>
    <t>Fuel Adjustment</t>
    <phoneticPr fontId="19" type="noConversion"/>
  </si>
  <si>
    <t>Class Adjustment</t>
    <phoneticPr fontId="19" type="noConversion"/>
  </si>
  <si>
    <t>Database</t>
    <phoneticPr fontId="19" type="noConversion"/>
  </si>
  <si>
    <t>EPS</t>
    <phoneticPr fontId="19" type="noConversion"/>
  </si>
  <si>
    <t>Passenger LDV</t>
  </si>
  <si>
    <t>Passenger LDV</t>
    <phoneticPr fontId="19" type="noConversion"/>
  </si>
  <si>
    <t>Passenger HDV</t>
  </si>
  <si>
    <t>Passenger HDV</t>
    <phoneticPr fontId="19" type="noConversion"/>
  </si>
  <si>
    <t>Freight LDV</t>
  </si>
  <si>
    <t>Freight LDV</t>
    <phoneticPr fontId="19" type="noConversion"/>
  </si>
  <si>
    <t>Unknown</t>
  </si>
  <si>
    <t>Unknown</t>
    <phoneticPr fontId="19" type="noConversion"/>
  </si>
  <si>
    <t>Freight HDV</t>
  </si>
  <si>
    <t>Freight HDV</t>
    <phoneticPr fontId="19" type="noConversion"/>
  </si>
  <si>
    <t>EPS Class</t>
    <phoneticPr fontId="19" type="noConversion"/>
  </si>
  <si>
    <t>Key</t>
    <phoneticPr fontId="19" type="noConversion"/>
  </si>
  <si>
    <t>Database Class</t>
    <phoneticPr fontId="19" type="noConversion"/>
  </si>
  <si>
    <t>求和项:Sales</t>
  </si>
  <si>
    <t>乘用车</t>
    <phoneticPr fontId="19" type="noConversion"/>
  </si>
  <si>
    <t>出租车</t>
  </si>
  <si>
    <t>公交车</t>
  </si>
  <si>
    <t>道路客车</t>
    <phoneticPr fontId="19" type="noConversion"/>
  </si>
  <si>
    <t>中重型货车</t>
    <phoneticPr fontId="19" type="noConversion"/>
  </si>
  <si>
    <t>数量</t>
    <phoneticPr fontId="19" type="noConversion"/>
  </si>
  <si>
    <t>Fuel Type</t>
    <phoneticPr fontId="19" type="noConversion"/>
  </si>
  <si>
    <t>道路客车</t>
  </si>
  <si>
    <t>中重型货车</t>
  </si>
  <si>
    <t>车型占比</t>
    <phoneticPr fontId="19" type="noConversion"/>
  </si>
  <si>
    <t>电动化率</t>
    <phoneticPr fontId="19" type="noConversion"/>
  </si>
  <si>
    <t>混动占比</t>
    <phoneticPr fontId="19" type="noConversion"/>
  </si>
  <si>
    <t>纯电占比</t>
    <phoneticPr fontId="19" type="noConversion"/>
  </si>
  <si>
    <t>轻型货车</t>
    <phoneticPr fontId="19" type="noConversion"/>
  </si>
  <si>
    <t>公交车</t>
    <phoneticPr fontId="19" type="noConversion"/>
  </si>
  <si>
    <t>出租车</t>
    <phoneticPr fontId="19" type="noConversion"/>
  </si>
  <si>
    <t>合并</t>
    <phoneticPr fontId="19" type="noConversion"/>
  </si>
  <si>
    <t>专用重型货车</t>
    <phoneticPr fontId="19" type="noConversion"/>
  </si>
  <si>
    <t>Electric Ratio</t>
    <phoneticPr fontId="19" type="noConversion"/>
  </si>
  <si>
    <t>Vehicle Sales (10^4 units)</t>
    <phoneticPr fontId="19" type="noConversion"/>
  </si>
  <si>
    <t>EPS Type</t>
    <phoneticPr fontId="19" type="noConversion"/>
  </si>
  <si>
    <t>Database Type</t>
    <phoneticPr fontId="19" type="noConversion"/>
  </si>
  <si>
    <t>2015-2021</t>
    <phoneticPr fontId="19" type="noConversion"/>
  </si>
  <si>
    <t>Max Fraction of Production (dimensionless)</t>
  </si>
  <si>
    <t>Additional Cap Coefficient</t>
    <phoneticPr fontId="19" type="noConversion"/>
  </si>
  <si>
    <t>燃料电池混合动力技术成熟，商用车市场启动，保有量达到1万辆规模</t>
    <phoneticPr fontId="19" type="noConversion"/>
  </si>
  <si>
    <t>将基于现有储运加注技术，各城市因地制宜，经济辐射半径150KM，运行车辆5万~10万辆</t>
    <phoneticPr fontId="19" type="noConversion"/>
  </si>
  <si>
    <t>以燃料电池商用车为主体</t>
    <phoneticPr fontId="19" type="noConversion"/>
  </si>
  <si>
    <t>以城市物流用车，公共服务用车的批量应用为主+大型SUV应用</t>
    <phoneticPr fontId="19" type="noConversion"/>
  </si>
  <si>
    <t>《节能与新能源汽车技术路线图2.0》</t>
    <phoneticPr fontId="19" type="noConversion"/>
  </si>
  <si>
    <t>保有量</t>
    <phoneticPr fontId="19" type="noConversion"/>
  </si>
  <si>
    <t>销量</t>
    <phoneticPr fontId="19" type="noConversion"/>
  </si>
  <si>
    <t>Ownership</t>
    <phoneticPr fontId="19" type="noConversion"/>
  </si>
  <si>
    <t>Sales</t>
    <phoneticPr fontId="19" type="noConversion"/>
  </si>
  <si>
    <t>Passenger</t>
  </si>
  <si>
    <t>Freight</t>
  </si>
  <si>
    <t>Average Vehicle Lifetime</t>
    <phoneticPr fontId="19" type="noConversion"/>
  </si>
  <si>
    <t>突破新一代储运技术，突破加氢站数量瓶颈，城市间联网跨域运行，保有量100万辆左右</t>
    <phoneticPr fontId="19" type="noConversion"/>
  </si>
  <si>
    <t>LDV</t>
    <phoneticPr fontId="19" type="noConversion"/>
  </si>
  <si>
    <t>HDV</t>
    <phoneticPr fontId="19" type="noConversion"/>
  </si>
  <si>
    <t>Target</t>
    <phoneticPr fontId="19" type="noConversion"/>
  </si>
  <si>
    <t>Proposed Sale</t>
    <phoneticPr fontId="19" type="noConversion"/>
  </si>
  <si>
    <t>Sales %</t>
    <phoneticPr fontId="19" type="noConversion"/>
  </si>
  <si>
    <t>Smoothed Sale %</t>
    <phoneticPr fontId="19" type="noConversion"/>
  </si>
  <si>
    <t>专用重货</t>
    <phoneticPr fontId="19" type="noConversion"/>
  </si>
  <si>
    <t>普通重货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</si>
</sst>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0.00_);[Red]\(0.00\)"/>
    <numFmt numFmtId="177" formatCode="0_);[Red]\(0\)"/>
    <numFmt numFmtId="178" formatCode="0_ "/>
    <numFmt numFmtId="179" formatCode="0.0_ "/>
    <numFmt numFmtId="180" formatCode="0.000_);[Red]\(0.000\)"/>
    <numFmt numFmtId="181" formatCode="#,##0_);[Red]\(#,##0\)"/>
  </numFmts>
  <fonts count="2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sz val="11"/>
      <name val="等线"/>
      <family val="2"/>
      <charset val="134"/>
      <scheme val="minor"/>
    </font>
    <font>
      <sz val="11"/>
      <name val="等线"/>
      <family val="3"/>
      <charset val="134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00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  <xf numFmtId="43" fontId="2" fillId="0" borderId="0" applyFont="0" applyFill="0" applyBorder="0" applyAlignment="0" applyProtection="0">
      <alignment vertical="center"/>
    </xf>
  </cellStyleXfs>
  <cellXfs count="157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176" fontId="0" fillId="33" borderId="10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0" fillId="34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10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left" vertical="center" indent="2"/>
    </xf>
    <xf numFmtId="0" fontId="0" fillId="0" borderId="0" xfId="0" pivotButton="1" applyAlignment="1">
      <alignment vertical="center" wrapText="1"/>
    </xf>
    <xf numFmtId="0" fontId="0" fillId="0" borderId="0" xfId="0" applyAlignment="1">
      <alignment vertical="center" wrapText="1"/>
    </xf>
    <xf numFmtId="9" fontId="0" fillId="0" borderId="12" xfId="0" applyNumberFormat="1" applyBorder="1">
      <alignment vertical="center"/>
    </xf>
    <xf numFmtId="9" fontId="0" fillId="0" borderId="13" xfId="0" applyNumberFormat="1" applyBorder="1">
      <alignment vertical="center"/>
    </xf>
    <xf numFmtId="9" fontId="0" fillId="0" borderId="14" xfId="0" applyNumberFormat="1" applyBorder="1">
      <alignment vertical="center"/>
    </xf>
    <xf numFmtId="9" fontId="0" fillId="0" borderId="0" xfId="0" applyNumberFormat="1">
      <alignment vertical="center"/>
    </xf>
    <xf numFmtId="9" fontId="0" fillId="0" borderId="15" xfId="0" applyNumberFormat="1" applyBorder="1">
      <alignment vertical="center"/>
    </xf>
    <xf numFmtId="9" fontId="0" fillId="0" borderId="16" xfId="0" applyNumberFormat="1" applyBorder="1">
      <alignment vertical="center"/>
    </xf>
    <xf numFmtId="9" fontId="0" fillId="0" borderId="17" xfId="0" applyNumberFormat="1" applyBorder="1">
      <alignment vertical="center"/>
    </xf>
    <xf numFmtId="9" fontId="0" fillId="0" borderId="18" xfId="0" applyNumberFormat="1" applyBorder="1">
      <alignment vertical="center"/>
    </xf>
    <xf numFmtId="0" fontId="0" fillId="36" borderId="0" xfId="0" applyFill="1" applyAlignment="1">
      <alignment horizontal="center" vertical="center"/>
    </xf>
    <xf numFmtId="177" fontId="0" fillId="33" borderId="19" xfId="0" applyNumberFormat="1" applyFill="1" applyBorder="1" applyAlignment="1">
      <alignment horizontal="center" vertical="center"/>
    </xf>
    <xf numFmtId="10" fontId="0" fillId="37" borderId="10" xfId="0" applyNumberFormat="1" applyFill="1" applyBorder="1" applyAlignment="1">
      <alignment horizontal="center" vertical="center"/>
    </xf>
    <xf numFmtId="179" fontId="0" fillId="37" borderId="10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77" fontId="0" fillId="33" borderId="21" xfId="0" applyNumberFormat="1" applyFill="1" applyBorder="1" applyAlignment="1">
      <alignment horizontal="center" vertical="center"/>
    </xf>
    <xf numFmtId="177" fontId="0" fillId="33" borderId="22" xfId="0" applyNumberForma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9" fontId="0" fillId="0" borderId="11" xfId="0" applyNumberFormat="1" applyBorder="1">
      <alignment vertical="center"/>
    </xf>
    <xf numFmtId="9" fontId="0" fillId="38" borderId="14" xfId="0" applyNumberFormat="1" applyFill="1" applyBorder="1">
      <alignment vertical="center"/>
    </xf>
    <xf numFmtId="9" fontId="0" fillId="38" borderId="0" xfId="0" applyNumberFormat="1" applyFill="1">
      <alignment vertical="center"/>
    </xf>
    <xf numFmtId="9" fontId="0" fillId="38" borderId="15" xfId="0" applyNumberFormat="1" applyFill="1" applyBorder="1">
      <alignment vertical="center"/>
    </xf>
    <xf numFmtId="9" fontId="0" fillId="38" borderId="16" xfId="0" applyNumberFormat="1" applyFill="1" applyBorder="1">
      <alignment vertical="center"/>
    </xf>
    <xf numFmtId="9" fontId="0" fillId="38" borderId="17" xfId="0" applyNumberFormat="1" applyFill="1" applyBorder="1">
      <alignment vertical="center"/>
    </xf>
    <xf numFmtId="9" fontId="0" fillId="38" borderId="18" xfId="0" applyNumberFormat="1" applyFill="1" applyBorder="1">
      <alignment vertical="center"/>
    </xf>
    <xf numFmtId="9" fontId="0" fillId="38" borderId="11" xfId="0" applyNumberFormat="1" applyFill="1" applyBorder="1">
      <alignment vertical="center"/>
    </xf>
    <xf numFmtId="9" fontId="0" fillId="38" borderId="12" xfId="0" applyNumberFormat="1" applyFill="1" applyBorder="1">
      <alignment vertical="center"/>
    </xf>
    <xf numFmtId="9" fontId="0" fillId="38" borderId="13" xfId="0" applyNumberFormat="1" applyFill="1" applyBorder="1">
      <alignment vertical="center"/>
    </xf>
    <xf numFmtId="9" fontId="0" fillId="40" borderId="12" xfId="0" applyNumberFormat="1" applyFill="1" applyBorder="1">
      <alignment vertical="center"/>
    </xf>
    <xf numFmtId="9" fontId="0" fillId="40" borderId="0" xfId="0" applyNumberFormat="1" applyFill="1">
      <alignment vertical="center"/>
    </xf>
    <xf numFmtId="9" fontId="0" fillId="40" borderId="15" xfId="0" applyNumberFormat="1" applyFill="1" applyBorder="1">
      <alignment vertical="center"/>
    </xf>
    <xf numFmtId="9" fontId="0" fillId="40" borderId="17" xfId="0" applyNumberFormat="1" applyFill="1" applyBorder="1">
      <alignment vertical="center"/>
    </xf>
    <xf numFmtId="9" fontId="0" fillId="40" borderId="18" xfId="0" applyNumberFormat="1" applyFill="1" applyBorder="1">
      <alignment vertical="center"/>
    </xf>
    <xf numFmtId="9" fontId="0" fillId="40" borderId="11" xfId="0" applyNumberFormat="1" applyFill="1" applyBorder="1">
      <alignment vertical="center"/>
    </xf>
    <xf numFmtId="9" fontId="0" fillId="40" borderId="14" xfId="0" applyNumberFormat="1" applyFill="1" applyBorder="1">
      <alignment vertical="center"/>
    </xf>
    <xf numFmtId="9" fontId="0" fillId="40" borderId="16" xfId="0" applyNumberFormat="1" applyFill="1" applyBorder="1">
      <alignment vertical="center"/>
    </xf>
    <xf numFmtId="9" fontId="0" fillId="42" borderId="11" xfId="0" applyNumberFormat="1" applyFill="1" applyBorder="1">
      <alignment vertical="center"/>
    </xf>
    <xf numFmtId="9" fontId="0" fillId="42" borderId="12" xfId="0" applyNumberFormat="1" applyFill="1" applyBorder="1">
      <alignment vertical="center"/>
    </xf>
    <xf numFmtId="9" fontId="0" fillId="42" borderId="14" xfId="0" applyNumberFormat="1" applyFill="1" applyBorder="1">
      <alignment vertical="center"/>
    </xf>
    <xf numFmtId="9" fontId="0" fillId="42" borderId="0" xfId="0" applyNumberFormat="1" applyFill="1">
      <alignment vertical="center"/>
    </xf>
    <xf numFmtId="9" fontId="0" fillId="42" borderId="15" xfId="0" applyNumberFormat="1" applyFill="1" applyBorder="1">
      <alignment vertical="center"/>
    </xf>
    <xf numFmtId="9" fontId="0" fillId="42" borderId="16" xfId="0" applyNumberFormat="1" applyFill="1" applyBorder="1">
      <alignment vertical="center"/>
    </xf>
    <xf numFmtId="9" fontId="0" fillId="42" borderId="17" xfId="0" applyNumberFormat="1" applyFill="1" applyBorder="1">
      <alignment vertical="center"/>
    </xf>
    <xf numFmtId="9" fontId="0" fillId="42" borderId="18" xfId="0" applyNumberFormat="1" applyFill="1" applyBorder="1">
      <alignment vertical="center"/>
    </xf>
    <xf numFmtId="9" fontId="0" fillId="44" borderId="14" xfId="0" applyNumberFormat="1" applyFill="1" applyBorder="1">
      <alignment vertical="center"/>
    </xf>
    <xf numFmtId="9" fontId="0" fillId="44" borderId="0" xfId="0" applyNumberFormat="1" applyFill="1">
      <alignment vertical="center"/>
    </xf>
    <xf numFmtId="9" fontId="0" fillId="44" borderId="15" xfId="0" applyNumberFormat="1" applyFill="1" applyBorder="1">
      <alignment vertical="center"/>
    </xf>
    <xf numFmtId="9" fontId="0" fillId="44" borderId="16" xfId="0" applyNumberFormat="1" applyFill="1" applyBorder="1">
      <alignment vertical="center"/>
    </xf>
    <xf numFmtId="9" fontId="0" fillId="44" borderId="17" xfId="0" applyNumberFormat="1" applyFill="1" applyBorder="1">
      <alignment vertical="center"/>
    </xf>
    <xf numFmtId="9" fontId="0" fillId="44" borderId="18" xfId="0" applyNumberFormat="1" applyFill="1" applyBorder="1">
      <alignment vertical="center"/>
    </xf>
    <xf numFmtId="9" fontId="0" fillId="44" borderId="11" xfId="0" applyNumberFormat="1" applyFill="1" applyBorder="1">
      <alignment vertical="center"/>
    </xf>
    <xf numFmtId="9" fontId="0" fillId="44" borderId="12" xfId="0" applyNumberFormat="1" applyFill="1" applyBorder="1">
      <alignment vertical="center"/>
    </xf>
    <xf numFmtId="9" fontId="0" fillId="40" borderId="24" xfId="0" applyNumberFormat="1" applyFill="1" applyBorder="1">
      <alignment vertical="center"/>
    </xf>
    <xf numFmtId="9" fontId="0" fillId="40" borderId="23" xfId="0" applyNumberFormat="1" applyFill="1" applyBorder="1">
      <alignment vertical="center"/>
    </xf>
    <xf numFmtId="9" fontId="0" fillId="42" borderId="19" xfId="0" applyNumberFormat="1" applyFill="1" applyBorder="1">
      <alignment vertical="center"/>
    </xf>
    <xf numFmtId="9" fontId="0" fillId="42" borderId="24" xfId="0" applyNumberFormat="1" applyFill="1" applyBorder="1">
      <alignment vertical="center"/>
    </xf>
    <xf numFmtId="9" fontId="0" fillId="42" borderId="23" xfId="0" applyNumberFormat="1" applyFill="1" applyBorder="1">
      <alignment vertical="center"/>
    </xf>
    <xf numFmtId="9" fontId="0" fillId="38" borderId="19" xfId="0" applyNumberFormat="1" applyFill="1" applyBorder="1">
      <alignment vertical="center"/>
    </xf>
    <xf numFmtId="9" fontId="0" fillId="38" borderId="24" xfId="0" applyNumberFormat="1" applyFill="1" applyBorder="1">
      <alignment vertical="center"/>
    </xf>
    <xf numFmtId="9" fontId="0" fillId="38" borderId="23" xfId="0" applyNumberFormat="1" applyFill="1" applyBorder="1">
      <alignment vertical="center"/>
    </xf>
    <xf numFmtId="9" fontId="0" fillId="0" borderId="19" xfId="0" applyNumberFormat="1" applyBorder="1">
      <alignment vertical="center"/>
    </xf>
    <xf numFmtId="9" fontId="0" fillId="0" borderId="24" xfId="0" applyNumberFormat="1" applyBorder="1">
      <alignment vertical="center"/>
    </xf>
    <xf numFmtId="9" fontId="0" fillId="0" borderId="23" xfId="0" applyNumberFormat="1" applyBorder="1">
      <alignment vertical="center"/>
    </xf>
    <xf numFmtId="9" fontId="0" fillId="44" borderId="19" xfId="0" applyNumberFormat="1" applyFill="1" applyBorder="1">
      <alignment vertical="center"/>
    </xf>
    <xf numFmtId="9" fontId="0" fillId="44" borderId="24" xfId="0" applyNumberFormat="1" applyFill="1" applyBorder="1">
      <alignment vertical="center"/>
    </xf>
    <xf numFmtId="9" fontId="0" fillId="44" borderId="23" xfId="0" applyNumberFormat="1" applyFill="1" applyBorder="1">
      <alignment vertical="center"/>
    </xf>
    <xf numFmtId="0" fontId="0" fillId="0" borderId="10" xfId="0" applyBorder="1" applyAlignment="1">
      <alignment vertical="center" wrapText="1"/>
    </xf>
    <xf numFmtId="0" fontId="1" fillId="0" borderId="0" xfId="42"/>
    <xf numFmtId="0" fontId="1" fillId="33" borderId="0" xfId="42" applyFill="1"/>
    <xf numFmtId="0" fontId="1" fillId="33" borderId="0" xfId="42" applyFill="1" applyAlignment="1">
      <alignment wrapText="1"/>
    </xf>
    <xf numFmtId="0" fontId="21" fillId="0" borderId="0" xfId="42" applyFont="1" applyAlignment="1">
      <alignment wrapText="1"/>
    </xf>
    <xf numFmtId="0" fontId="0" fillId="39" borderId="0" xfId="0" applyFill="1">
      <alignment vertical="center"/>
    </xf>
    <xf numFmtId="0" fontId="1" fillId="0" borderId="11" xfId="42" applyBorder="1"/>
    <xf numFmtId="0" fontId="0" fillId="39" borderId="12" xfId="0" applyFill="1" applyBorder="1">
      <alignment vertical="center"/>
    </xf>
    <xf numFmtId="180" fontId="0" fillId="0" borderId="12" xfId="0" applyNumberFormat="1" applyBorder="1">
      <alignment vertical="center"/>
    </xf>
    <xf numFmtId="176" fontId="0" fillId="0" borderId="12" xfId="0" applyNumberFormat="1" applyBorder="1">
      <alignment vertical="center"/>
    </xf>
    <xf numFmtId="176" fontId="0" fillId="0" borderId="13" xfId="0" applyNumberFormat="1" applyBorder="1">
      <alignment vertical="center"/>
    </xf>
    <xf numFmtId="0" fontId="1" fillId="0" borderId="14" xfId="42" applyBorder="1"/>
    <xf numFmtId="176" fontId="0" fillId="0" borderId="15" xfId="0" applyNumberFormat="1" applyBorder="1">
      <alignment vertical="center"/>
    </xf>
    <xf numFmtId="0" fontId="1" fillId="0" borderId="16" xfId="42" applyBorder="1"/>
    <xf numFmtId="180" fontId="0" fillId="0" borderId="17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8" xfId="0" applyNumberFormat="1" applyBorder="1">
      <alignment vertical="center"/>
    </xf>
    <xf numFmtId="180" fontId="0" fillId="0" borderId="17" xfId="0" applyNumberFormat="1" applyBorder="1" applyAlignment="1">
      <alignment horizontal="center" vertical="center"/>
    </xf>
    <xf numFmtId="180" fontId="0" fillId="0" borderId="12" xfId="0" applyNumberFormat="1" applyBorder="1" applyAlignment="1">
      <alignment horizontal="center" vertical="center"/>
    </xf>
    <xf numFmtId="0" fontId="0" fillId="43" borderId="11" xfId="0" applyFill="1" applyBorder="1">
      <alignment vertical="center"/>
    </xf>
    <xf numFmtId="0" fontId="0" fillId="43" borderId="19" xfId="0" applyFill="1" applyBorder="1">
      <alignment vertical="center"/>
    </xf>
    <xf numFmtId="180" fontId="0" fillId="0" borderId="0" xfId="0" applyNumberFormat="1">
      <alignment vertical="center"/>
    </xf>
    <xf numFmtId="180" fontId="0" fillId="0" borderId="11" xfId="0" applyNumberFormat="1" applyBorder="1">
      <alignment vertical="center"/>
    </xf>
    <xf numFmtId="180" fontId="0" fillId="0" borderId="14" xfId="0" applyNumberFormat="1" applyBorder="1">
      <alignment vertical="center"/>
    </xf>
    <xf numFmtId="180" fontId="0" fillId="0" borderId="16" xfId="0" applyNumberFormat="1" applyBorder="1">
      <alignment vertical="center"/>
    </xf>
    <xf numFmtId="0" fontId="0" fillId="39" borderId="16" xfId="0" applyFill="1" applyBorder="1">
      <alignment vertical="center"/>
    </xf>
    <xf numFmtId="0" fontId="0" fillId="41" borderId="19" xfId="0" applyFill="1" applyBorder="1">
      <alignment vertical="center"/>
    </xf>
    <xf numFmtId="0" fontId="0" fillId="34" borderId="11" xfId="0" applyFill="1" applyBorder="1">
      <alignment vertical="center"/>
    </xf>
    <xf numFmtId="0" fontId="0" fillId="34" borderId="19" xfId="0" applyFill="1" applyBorder="1">
      <alignment vertical="center"/>
    </xf>
    <xf numFmtId="180" fontId="0" fillId="0" borderId="13" xfId="0" applyNumberFormat="1" applyBorder="1">
      <alignment vertical="center"/>
    </xf>
    <xf numFmtId="180" fontId="0" fillId="0" borderId="15" xfId="0" applyNumberFormat="1" applyBorder="1">
      <alignment vertical="center"/>
    </xf>
    <xf numFmtId="180" fontId="0" fillId="0" borderId="18" xfId="0" applyNumberFormat="1" applyBorder="1">
      <alignment vertical="center"/>
    </xf>
    <xf numFmtId="180" fontId="0" fillId="0" borderId="0" xfId="0" applyNumberFormat="1" applyAlignment="1">
      <alignment horizontal="center" vertical="center"/>
    </xf>
    <xf numFmtId="176" fontId="0" fillId="0" borderId="11" xfId="0" applyNumberFormat="1" applyBorder="1">
      <alignment vertical="center"/>
    </xf>
    <xf numFmtId="176" fontId="0" fillId="0" borderId="14" xfId="0" applyNumberFormat="1" applyBorder="1">
      <alignment vertical="center"/>
    </xf>
    <xf numFmtId="176" fontId="0" fillId="0" borderId="16" xfId="0" applyNumberFormat="1" applyBorder="1">
      <alignment vertical="center"/>
    </xf>
    <xf numFmtId="178" fontId="0" fillId="37" borderId="19" xfId="0" applyNumberFormat="1" applyFill="1" applyBorder="1" applyAlignment="1">
      <alignment horizontal="center" vertical="center"/>
    </xf>
    <xf numFmtId="178" fontId="0" fillId="37" borderId="24" xfId="0" applyNumberFormat="1" applyFill="1" applyBorder="1" applyAlignment="1">
      <alignment horizontal="center" vertical="center"/>
    </xf>
    <xf numFmtId="178" fontId="0" fillId="37" borderId="23" xfId="0" applyNumberFormat="1" applyFill="1" applyBorder="1" applyAlignment="1">
      <alignment horizontal="center" vertical="center"/>
    </xf>
    <xf numFmtId="181" fontId="0" fillId="0" borderId="0" xfId="0" applyNumberFormat="1">
      <alignment vertical="center"/>
    </xf>
    <xf numFmtId="181" fontId="0" fillId="45" borderId="0" xfId="43" applyNumberFormat="1" applyFont="1" applyFill="1" applyAlignment="1">
      <alignment vertical="center"/>
    </xf>
    <xf numFmtId="181" fontId="0" fillId="0" borderId="0" xfId="43" applyNumberFormat="1" applyFont="1" applyAlignment="1">
      <alignment horizontal="center" vertical="center"/>
    </xf>
    <xf numFmtId="3" fontId="0" fillId="0" borderId="0" xfId="0" applyNumberFormat="1">
      <alignment vertical="center"/>
    </xf>
    <xf numFmtId="0" fontId="15" fillId="0" borderId="0" xfId="0" applyFont="1">
      <alignment vertical="center"/>
    </xf>
    <xf numFmtId="181" fontId="15" fillId="0" borderId="0" xfId="43" applyNumberFormat="1" applyFont="1" applyAlignment="1">
      <alignment vertical="center"/>
    </xf>
    <xf numFmtId="181" fontId="15" fillId="0" borderId="0" xfId="43" applyNumberFormat="1" applyFont="1" applyAlignment="1">
      <alignment horizontal="center" vertical="center"/>
    </xf>
    <xf numFmtId="181" fontId="15" fillId="0" borderId="0" xfId="0" applyNumberFormat="1" applyFont="1">
      <alignment vertical="center"/>
    </xf>
    <xf numFmtId="178" fontId="0" fillId="0" borderId="0" xfId="0" applyNumberFormat="1">
      <alignment vertical="center"/>
    </xf>
    <xf numFmtId="0" fontId="0" fillId="0" borderId="0" xfId="0" applyAlignment="1">
      <alignment horizontal="center" vertical="center" wrapText="1"/>
    </xf>
    <xf numFmtId="181" fontId="0" fillId="0" borderId="0" xfId="0" applyNumberFormat="1" applyAlignment="1">
      <alignment horizontal="center" vertical="center" wrapText="1"/>
    </xf>
    <xf numFmtId="181" fontId="22" fillId="0" borderId="0" xfId="0" applyNumberFormat="1" applyFont="1">
      <alignment vertical="center"/>
    </xf>
    <xf numFmtId="181" fontId="23" fillId="0" borderId="0" xfId="0" applyNumberFormat="1" applyFont="1" applyAlignment="1">
      <alignment horizontal="center" vertical="center" wrapText="1"/>
    </xf>
    <xf numFmtId="181" fontId="23" fillId="0" borderId="0" xfId="0" applyNumberFormat="1" applyFont="1">
      <alignment vertical="center"/>
    </xf>
    <xf numFmtId="9" fontId="0" fillId="33" borderId="0" xfId="0" applyNumberFormat="1" applyFill="1">
      <alignment vertical="center"/>
    </xf>
    <xf numFmtId="176" fontId="0" fillId="0" borderId="0" xfId="0" applyNumberFormat="1">
      <alignment vertical="center"/>
    </xf>
    <xf numFmtId="0" fontId="0" fillId="0" borderId="10" xfId="0" applyBorder="1" applyAlignment="1"/>
    <xf numFmtId="0" fontId="0" fillId="0" borderId="10" xfId="0" applyBorder="1" applyAlignment="1">
      <alignment horizontal="center" vertical="center"/>
    </xf>
    <xf numFmtId="0" fontId="0" fillId="45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1" borderId="10" xfId="0" applyFill="1" applyBorder="1" applyAlignment="1">
      <alignment horizontal="center" vertical="center"/>
    </xf>
    <xf numFmtId="0" fontId="0" fillId="45" borderId="23" xfId="0" applyFill="1" applyBorder="1" applyAlignment="1">
      <alignment horizontal="center" vertical="center"/>
    </xf>
    <xf numFmtId="0" fontId="0" fillId="43" borderId="16" xfId="0" applyFill="1" applyBorder="1" applyAlignment="1">
      <alignment horizontal="center" vertical="center"/>
    </xf>
    <xf numFmtId="0" fontId="0" fillId="43" borderId="17" xfId="0" applyFill="1" applyBorder="1" applyAlignment="1">
      <alignment horizontal="center" vertical="center"/>
    </xf>
    <xf numFmtId="0" fontId="0" fillId="43" borderId="18" xfId="0" applyFill="1" applyBorder="1" applyAlignment="1">
      <alignment horizontal="center" vertical="center"/>
    </xf>
    <xf numFmtId="0" fontId="0" fillId="43" borderId="20" xfId="0" applyFill="1" applyBorder="1" applyAlignment="1">
      <alignment horizontal="center" vertical="center"/>
    </xf>
    <xf numFmtId="0" fontId="0" fillId="43" borderId="10" xfId="0" applyFill="1" applyBorder="1" applyAlignment="1">
      <alignment horizontal="center" vertical="center"/>
    </xf>
    <xf numFmtId="0" fontId="0" fillId="34" borderId="20" xfId="0" applyFill="1" applyBorder="1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0" fillId="41" borderId="19" xfId="0" applyFill="1" applyBorder="1" applyAlignment="1">
      <alignment horizontal="center" vertical="center"/>
    </xf>
    <xf numFmtId="0" fontId="0" fillId="34" borderId="16" xfId="0" applyFill="1" applyBorder="1" applyAlignment="1">
      <alignment horizontal="center" vertical="center"/>
    </xf>
    <xf numFmtId="0" fontId="0" fillId="34" borderId="17" xfId="0" applyFill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0" fontId="0" fillId="46" borderId="23" xfId="0" applyFill="1" applyBorder="1" applyAlignment="1">
      <alignment horizontal="center" vertical="center"/>
    </xf>
    <xf numFmtId="0" fontId="0" fillId="46" borderId="10" xfId="0" applyFill="1" applyBorder="1" applyAlignment="1">
      <alignment horizontal="center" vertical="center"/>
    </xf>
    <xf numFmtId="0" fontId="0" fillId="46" borderId="19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4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088DED91-9C76-4E40-A2EF-50617316E643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" xfId="43" builtinId="3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'Electric Ratio'!$O$3</c:f>
              <c:strCache>
                <c:ptCount val="1"/>
                <c:pt idx="0">
                  <c:v>Freight HDV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Ratio'!$P$6:$P$20</c:f>
              <c:numCache>
                <c:formatCode>0%</c:formatCode>
                <c:ptCount val="15"/>
                <c:pt idx="0">
                  <c:v>1.0156176506608969E-2</c:v>
                </c:pt>
                <c:pt idx="1">
                  <c:v>5.7931306185308546E-3</c:v>
                </c:pt>
                <c:pt idx="2">
                  <c:v>1.5677171665594198E-2</c:v>
                </c:pt>
                <c:pt idx="3">
                  <c:v>1.4480286864323754E-3</c:v>
                </c:pt>
                <c:pt idx="4">
                  <c:v>4.7108947144267003E-3</c:v>
                </c:pt>
                <c:pt idx="5">
                  <c:v>2.4575693673100345E-3</c:v>
                </c:pt>
                <c:pt idx="6">
                  <c:v>7.2441210209820859E-3</c:v>
                </c:pt>
                <c:pt idx="7">
                  <c:v>2.6420038649863066E-2</c:v>
                </c:pt>
                <c:pt idx="8">
                  <c:v>5.9427602641469165E-2</c:v>
                </c:pt>
                <c:pt idx="9">
                  <c:v>0.10442110567062254</c:v>
                </c:pt>
                <c:pt idx="10">
                  <c:v>0.17782076422397952</c:v>
                </c:pt>
                <c:pt idx="11">
                  <c:v>0.27339725182875502</c:v>
                </c:pt>
                <c:pt idx="12">
                  <c:v>0.38</c:v>
                </c:pt>
                <c:pt idx="13">
                  <c:v>0.48312407673064839</c:v>
                </c:pt>
                <c:pt idx="14">
                  <c:v>0.58094619488541399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B7D-4EC5-8822-7DF5B8451952}"/>
            </c:ext>
          </c:extLst>
        </c:ser>
        <c:ser>
          <c:idx val="1"/>
          <c:order val="1"/>
          <c:tx>
            <c:strRef>
              <c:f>'Electric Ratio'!$S$3</c:f>
              <c:strCache>
                <c:ptCount val="1"/>
                <c:pt idx="0">
                  <c:v>Freight LDV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Ratio'!$T$6:$T$20</c:f>
              <c:numCache>
                <c:formatCode>0%</c:formatCode>
                <c:ptCount val="15"/>
                <c:pt idx="0">
                  <c:v>1.6196795145339851E-2</c:v>
                </c:pt>
                <c:pt idx="1">
                  <c:v>1.0646226870465011E-2</c:v>
                </c:pt>
                <c:pt idx="2">
                  <c:v>3.1765911361251509E-2</c:v>
                </c:pt>
                <c:pt idx="3">
                  <c:v>1.9954839536537809E-2</c:v>
                </c:pt>
                <c:pt idx="4">
                  <c:v>8.3252472071471458E-3</c:v>
                </c:pt>
                <c:pt idx="5">
                  <c:v>6.2312891295087554E-3</c:v>
                </c:pt>
                <c:pt idx="6">
                  <c:v>1.6909438858558619E-2</c:v>
                </c:pt>
                <c:pt idx="7">
                  <c:v>8.9203147277815906E-2</c:v>
                </c:pt>
                <c:pt idx="8">
                  <c:v>0.180868546209773</c:v>
                </c:pt>
                <c:pt idx="9">
                  <c:v>0.29922704510701198</c:v>
                </c:pt>
                <c:pt idx="10">
                  <c:v>0.450187952438039</c:v>
                </c:pt>
                <c:pt idx="11">
                  <c:v>0.61094921683207104</c:v>
                </c:pt>
                <c:pt idx="12">
                  <c:v>0.79601573638907996</c:v>
                </c:pt>
                <c:pt idx="13">
                  <c:v>0.9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B7D-4EC5-8822-7DF5B8451952}"/>
            </c:ext>
          </c:extLst>
        </c:ser>
        <c:ser>
          <c:idx val="2"/>
          <c:order val="2"/>
          <c:tx>
            <c:strRef>
              <c:f>'Electric Ratio'!$W$3</c:f>
              <c:strCache>
                <c:ptCount val="1"/>
                <c:pt idx="0">
                  <c:v>Passenger HDV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Ratio'!$X$6:$X$20</c:f>
              <c:numCache>
                <c:formatCode>0%</c:formatCode>
                <c:ptCount val="15"/>
                <c:pt idx="0">
                  <c:v>0.36958810866369818</c:v>
                </c:pt>
                <c:pt idx="1">
                  <c:v>0.37912794516130299</c:v>
                </c:pt>
                <c:pt idx="2">
                  <c:v>0.44028118084097378</c:v>
                </c:pt>
                <c:pt idx="3">
                  <c:v>0.50566744730679158</c:v>
                </c:pt>
                <c:pt idx="4">
                  <c:v>0.46352807233220489</c:v>
                </c:pt>
                <c:pt idx="5">
                  <c:v>0.56706547338671698</c:v>
                </c:pt>
                <c:pt idx="6">
                  <c:v>0.43774311858630016</c:v>
                </c:pt>
                <c:pt idx="7">
                  <c:v>0.34046608336294037</c:v>
                </c:pt>
                <c:pt idx="8">
                  <c:v>0.52305414959742058</c:v>
                </c:pt>
                <c:pt idx="9">
                  <c:v>0.60054663643244832</c:v>
                </c:pt>
                <c:pt idx="10">
                  <c:v>0.7577286086795334</c:v>
                </c:pt>
                <c:pt idx="11">
                  <c:v>0.85030307328532495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B7D-4EC5-8822-7DF5B8451952}"/>
            </c:ext>
          </c:extLst>
        </c:ser>
        <c:ser>
          <c:idx val="3"/>
          <c:order val="3"/>
          <c:tx>
            <c:strRef>
              <c:f>'Electric Ratio'!$AI$3</c:f>
              <c:strCache>
                <c:ptCount val="1"/>
                <c:pt idx="0">
                  <c:v>Passenger LDV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'Electric Ratio'!$N$6:$N$20</c:f>
              <c:numCache>
                <c:formatCode>General</c:formatCode>
                <c:ptCount val="1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 formatCode="0_);[Red]\(0\)">
                  <c:v>2025</c:v>
                </c:pt>
                <c:pt idx="8" formatCode="0_);[Red]\(0\)">
                  <c:v>2030</c:v>
                </c:pt>
                <c:pt idx="9" formatCode="0_);[Red]\(0\)">
                  <c:v>2035</c:v>
                </c:pt>
                <c:pt idx="10" formatCode="0_);[Red]\(0\)">
                  <c:v>2040</c:v>
                </c:pt>
                <c:pt idx="11" formatCode="0_);[Red]\(0\)">
                  <c:v>2045</c:v>
                </c:pt>
                <c:pt idx="12" formatCode="0_);[Red]\(0\)">
                  <c:v>2050</c:v>
                </c:pt>
                <c:pt idx="13" formatCode="0_);[Red]\(0\)">
                  <c:v>2055</c:v>
                </c:pt>
                <c:pt idx="14" formatCode="0_);[Red]\(0\)">
                  <c:v>2060</c:v>
                </c:pt>
              </c:numCache>
            </c:numRef>
          </c:xVal>
          <c:yVal>
            <c:numRef>
              <c:f>'Electric Ratio'!$AJ$6:$AJ$20</c:f>
              <c:numCache>
                <c:formatCode>0%</c:formatCode>
                <c:ptCount val="15"/>
                <c:pt idx="0">
                  <c:v>7.0124631789467758E-3</c:v>
                </c:pt>
                <c:pt idx="1">
                  <c:v>1.094119756684713E-2</c:v>
                </c:pt>
                <c:pt idx="2">
                  <c:v>2.2903467339102312E-2</c:v>
                </c:pt>
                <c:pt idx="3">
                  <c:v>4.1022498904878496E-2</c:v>
                </c:pt>
                <c:pt idx="4">
                  <c:v>4.2329961948374982E-2</c:v>
                </c:pt>
                <c:pt idx="5">
                  <c:v>5.6476382071581684E-2</c:v>
                </c:pt>
                <c:pt idx="6">
                  <c:v>0.13221782031992158</c:v>
                </c:pt>
                <c:pt idx="7">
                  <c:v>0.1062205737688578</c:v>
                </c:pt>
                <c:pt idx="8">
                  <c:v>0.15655173335418227</c:v>
                </c:pt>
                <c:pt idx="9">
                  <c:v>0.20655035226363611</c:v>
                </c:pt>
                <c:pt idx="10">
                  <c:v>0.28653447792763642</c:v>
                </c:pt>
                <c:pt idx="11">
                  <c:v>0.40680742112456264</c:v>
                </c:pt>
                <c:pt idx="12">
                  <c:v>0.50634652863898288</c:v>
                </c:pt>
                <c:pt idx="13">
                  <c:v>0.65423161045237577</c:v>
                </c:pt>
                <c:pt idx="14">
                  <c:v>0.80289880749913833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B7D-4EC5-8822-7DF5B8451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7366495"/>
        <c:axId val="917355263"/>
      </c:scatterChart>
      <c:valAx>
        <c:axId val="917366495"/>
        <c:scaling>
          <c:orientation val="minMax"/>
          <c:max val="2060"/>
          <c:min val="20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7355263"/>
        <c:crosses val="autoZero"/>
        <c:crossBetween val="midCat"/>
      </c:valAx>
      <c:valAx>
        <c:axId val="91735526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1736649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'Electric Ratio'!$N$24</c:f>
          <c:strCache>
            <c:ptCount val="1"/>
            <c:pt idx="0">
              <c:v>Electric Ratio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'Electric Ratio'!$O$24</c:f>
              <c:strCache>
                <c:ptCount val="1"/>
                <c:pt idx="0">
                  <c:v>乘用车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Ratio'!$O$25:$O$33</c:f>
              <c:numCache>
                <c:formatCode>0.00%</c:formatCode>
                <c:ptCount val="9"/>
                <c:pt idx="0">
                  <c:v>7.4999999999999997E-2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0.28000000000000003</c:v>
                </c:pt>
                <c:pt idx="5">
                  <c:v>0.4</c:v>
                </c:pt>
                <c:pt idx="6">
                  <c:v>0.5</c:v>
                </c:pt>
                <c:pt idx="7">
                  <c:v>0.65</c:v>
                </c:pt>
                <c:pt idx="8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10-46C8-8962-C9E8CCF96C9F}"/>
            </c:ext>
          </c:extLst>
        </c:ser>
        <c:ser>
          <c:idx val="1"/>
          <c:order val="1"/>
          <c:tx>
            <c:strRef>
              <c:f>'Electric Ratio'!$P$24</c:f>
              <c:strCache>
                <c:ptCount val="1"/>
                <c:pt idx="0">
                  <c:v>出租车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Ratio'!$P$25:$P$33</c:f>
              <c:numCache>
                <c:formatCode>0.00%</c:formatCode>
                <c:ptCount val="9"/>
                <c:pt idx="0">
                  <c:v>0.8</c:v>
                </c:pt>
                <c:pt idx="1">
                  <c:v>0.91</c:v>
                </c:pt>
                <c:pt idx="2">
                  <c:v>0.97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C10-46C8-8962-C9E8CCF96C9F}"/>
            </c:ext>
          </c:extLst>
        </c:ser>
        <c:ser>
          <c:idx val="2"/>
          <c:order val="2"/>
          <c:tx>
            <c:strRef>
              <c:f>'Electric Ratio'!$Q$24</c:f>
              <c:strCache>
                <c:ptCount val="1"/>
                <c:pt idx="0">
                  <c:v>轻型货车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Ratio'!$Q$25:$Q$33</c:f>
              <c:numCache>
                <c:formatCode>0.00%</c:formatCode>
                <c:ptCount val="9"/>
                <c:pt idx="0">
                  <c:v>8.8393182770642592E-3</c:v>
                </c:pt>
                <c:pt idx="1">
                  <c:v>8.9203147277815906E-2</c:v>
                </c:pt>
                <c:pt idx="2">
                  <c:v>0.180868546209773</c:v>
                </c:pt>
                <c:pt idx="3">
                  <c:v>0.29922704510701198</c:v>
                </c:pt>
                <c:pt idx="4">
                  <c:v>0.450187952438039</c:v>
                </c:pt>
                <c:pt idx="5">
                  <c:v>0.61094921683207104</c:v>
                </c:pt>
                <c:pt idx="6">
                  <c:v>0.79601573638907996</c:v>
                </c:pt>
                <c:pt idx="7">
                  <c:v>0.9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C10-46C8-8962-C9E8CCF96C9F}"/>
            </c:ext>
          </c:extLst>
        </c:ser>
        <c:ser>
          <c:idx val="3"/>
          <c:order val="3"/>
          <c:tx>
            <c:strRef>
              <c:f>'Electric Ratio'!$R$24</c:f>
              <c:strCache>
                <c:ptCount val="1"/>
                <c:pt idx="0">
                  <c:v>公交车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Ratio'!$R$25:$R$33</c:f>
              <c:numCache>
                <c:formatCode>0.00%</c:formatCode>
                <c:ptCount val="9"/>
                <c:pt idx="0">
                  <c:v>0.8</c:v>
                </c:pt>
                <c:pt idx="1">
                  <c:v>0.91</c:v>
                </c:pt>
                <c:pt idx="2">
                  <c:v>0.97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C10-46C8-8962-C9E8CCF96C9F}"/>
            </c:ext>
          </c:extLst>
        </c:ser>
        <c:ser>
          <c:idx val="4"/>
          <c:order val="4"/>
          <c:tx>
            <c:strRef>
              <c:f>'Electric Ratio'!$S$24</c:f>
              <c:strCache>
                <c:ptCount val="1"/>
                <c:pt idx="0">
                  <c:v>道路客车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Ratio'!$S$25:$S$33</c:f>
              <c:numCache>
                <c:formatCode>0.00%</c:formatCode>
                <c:ptCount val="9"/>
                <c:pt idx="0">
                  <c:v>0.06</c:v>
                </c:pt>
                <c:pt idx="1">
                  <c:v>0.15160000000000001</c:v>
                </c:pt>
                <c:pt idx="2">
                  <c:v>0.304101610732668</c:v>
                </c:pt>
                <c:pt idx="3">
                  <c:v>0.47920000000000001</c:v>
                </c:pt>
                <c:pt idx="4">
                  <c:v>0.63890000000000002</c:v>
                </c:pt>
                <c:pt idx="5">
                  <c:v>0.80169999999999997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C10-46C8-8962-C9E8CCF96C9F}"/>
            </c:ext>
          </c:extLst>
        </c:ser>
        <c:ser>
          <c:idx val="6"/>
          <c:order val="6"/>
          <c:tx>
            <c:strRef>
              <c:f>'Electric Ratio'!$U$24</c:f>
              <c:strCache>
                <c:ptCount val="1"/>
                <c:pt idx="0">
                  <c:v>中重型货车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'Electric Ratio'!$N$25:$N$33</c:f>
              <c:numCache>
                <c:formatCode>0_);[Red]\(0\)</c:formatCode>
                <c:ptCount val="9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  <c:pt idx="7">
                  <c:v>2055</c:v>
                </c:pt>
                <c:pt idx="8">
                  <c:v>2060</c:v>
                </c:pt>
              </c:numCache>
            </c:numRef>
          </c:xVal>
          <c:yVal>
            <c:numRef>
              <c:f>'Electric Ratio'!$U$25:$U$33</c:f>
              <c:numCache>
                <c:formatCode>0.00%</c:formatCode>
                <c:ptCount val="9"/>
                <c:pt idx="0">
                  <c:v>1.3456518904051121E-3</c:v>
                </c:pt>
                <c:pt idx="1">
                  <c:v>2.6420038649863066E-2</c:v>
                </c:pt>
                <c:pt idx="2">
                  <c:v>5.9427602641469165E-2</c:v>
                </c:pt>
                <c:pt idx="3">
                  <c:v>0.10442110567062254</c:v>
                </c:pt>
                <c:pt idx="4">
                  <c:v>0.17782076422397952</c:v>
                </c:pt>
                <c:pt idx="5">
                  <c:v>0.27339725182875502</c:v>
                </c:pt>
                <c:pt idx="6">
                  <c:v>0.38</c:v>
                </c:pt>
                <c:pt idx="7">
                  <c:v>0.48312407673064839</c:v>
                </c:pt>
                <c:pt idx="8">
                  <c:v>0.58094619488541399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C10-46C8-8962-C9E8CCF96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267247"/>
        <c:axId val="1196248943"/>
        <c:extLst>
          <c:ext xmlns:c15="http://schemas.microsoft.com/office/drawing/2012/chart" uri="{02D57815-91ED-43cb-92C2-25804820EDAC}">
            <c15:filteredScatterSeries>
              <c15:ser>
                <c:idx val="5"/>
                <c:order val="5"/>
                <c:tx>
                  <c:strRef>
                    <c:extLst>
                      <c:ext uri="{02D57815-91ED-43cb-92C2-25804820EDAC}">
                        <c15:formulaRef>
                          <c15:sqref>'Electric Ratio'!$T$24</c15:sqref>
                        </c15:formulaRef>
                      </c:ext>
                    </c:extLst>
                    <c:strCache>
                      <c:ptCount val="1"/>
                      <c:pt idx="0">
                        <c:v>专用重型货车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'Electric Ratio'!$N$25:$N$33</c15:sqref>
                        </c15:formulaRef>
                      </c:ext>
                    </c:extLst>
                    <c:numCache>
                      <c:formatCode>0_);[Red]\(0\)</c:formatCode>
                      <c:ptCount val="9"/>
                      <c:pt idx="0">
                        <c:v>2020</c:v>
                      </c:pt>
                      <c:pt idx="1">
                        <c:v>2025</c:v>
                      </c:pt>
                      <c:pt idx="2">
                        <c:v>2030</c:v>
                      </c:pt>
                      <c:pt idx="3">
                        <c:v>2035</c:v>
                      </c:pt>
                      <c:pt idx="4">
                        <c:v>2040</c:v>
                      </c:pt>
                      <c:pt idx="5">
                        <c:v>2045</c:v>
                      </c:pt>
                      <c:pt idx="6">
                        <c:v>2050</c:v>
                      </c:pt>
                      <c:pt idx="7">
                        <c:v>2055</c:v>
                      </c:pt>
                      <c:pt idx="8">
                        <c:v>2060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'Electric Ratio'!$T$25:$T$33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2.6466098254161598E-2</c:v>
                      </c:pt>
                      <c:pt idx="1">
                        <c:v>5.0728989037758826E-2</c:v>
                      </c:pt>
                      <c:pt idx="2">
                        <c:v>8.6030247665448645E-2</c:v>
                      </c:pt>
                      <c:pt idx="3">
                        <c:v>0.13804053322506429</c:v>
                      </c:pt>
                      <c:pt idx="4">
                        <c:v>0.20773315062931386</c:v>
                      </c:pt>
                      <c:pt idx="5">
                        <c:v>0.30051292461767493</c:v>
                      </c:pt>
                      <c:pt idx="6">
                        <c:v>0.55000000000000004</c:v>
                      </c:pt>
                      <c:pt idx="7">
                        <c:v>0.65</c:v>
                      </c:pt>
                      <c:pt idx="8">
                        <c:v>0.8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0C10-46C8-8962-C9E8CCF96C9F}"/>
                  </c:ext>
                </c:extLst>
              </c15:ser>
            </c15:filteredScatterSeries>
          </c:ext>
        </c:extLst>
      </c:scatterChart>
      <c:valAx>
        <c:axId val="1196267247"/>
        <c:scaling>
          <c:orientation val="minMax"/>
          <c:max val="2060"/>
          <c:min val="20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6248943"/>
        <c:crosses val="autoZero"/>
        <c:crossBetween val="midCat"/>
      </c:valAx>
      <c:valAx>
        <c:axId val="1196248943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96267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2291557305336838"/>
          <c:w val="1"/>
          <c:h val="0.172454797317002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33472507364801"/>
          <c:y val="5.190427766299225E-2"/>
          <c:w val="0.84445494188331394"/>
          <c:h val="0.7012030126030423"/>
        </c:manualLayout>
      </c:layout>
      <c:scatterChart>
        <c:scatterStyle val="lineMarker"/>
        <c:varyColors val="0"/>
        <c:ser>
          <c:idx val="0"/>
          <c:order val="0"/>
          <c:tx>
            <c:strRef>
              <c:f>Hydrogen!$G$8</c:f>
              <c:strCache>
                <c:ptCount val="1"/>
                <c:pt idx="0">
                  <c:v>Passenger HDV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6053512310299404"/>
                  <c:y val="-2.7030350812727359E-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Hydrogen!$B$15:$B$30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xVal>
          <c:yVal>
            <c:numRef>
              <c:f>Hydrogen!$I$15:$I$30</c:f>
              <c:numCache>
                <c:formatCode>General</c:formatCode>
                <c:ptCount val="16"/>
                <c:pt idx="0">
                  <c:v>3108</c:v>
                </c:pt>
                <c:pt idx="1">
                  <c:v>4155</c:v>
                </c:pt>
                <c:pt idx="5" formatCode="#,##0">
                  <c:v>80000</c:v>
                </c:pt>
                <c:pt idx="15" formatCode="#,##0">
                  <c:v>600000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5C-427E-82BD-DF200EFD7853}"/>
            </c:ext>
          </c:extLst>
        </c:ser>
        <c:ser>
          <c:idx val="1"/>
          <c:order val="1"/>
          <c:tx>
            <c:strRef>
              <c:f>Hydrogen!$S$8</c:f>
              <c:strCache>
                <c:ptCount val="1"/>
                <c:pt idx="0">
                  <c:v>Passenger LDV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80395797111929"/>
                  <c:y val="-0.16607734071758687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Hydrogen!$B$15:$B$30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xVal>
          <c:yVal>
            <c:numRef>
              <c:f>Hydrogen!$U$15:$U$30</c:f>
              <c:numCache>
                <c:formatCode>0_ </c:formatCode>
                <c:ptCount val="16"/>
                <c:pt idx="0" formatCode="General">
                  <c:v>58</c:v>
                </c:pt>
                <c:pt idx="1">
                  <c:v>77</c:v>
                </c:pt>
                <c:pt idx="5" formatCode="#,##0">
                  <c:v>20000</c:v>
                </c:pt>
                <c:pt idx="15" formatCode="#,##0">
                  <c:v>320000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5C-427E-82BD-DF200EFD7853}"/>
            </c:ext>
          </c:extLst>
        </c:ser>
        <c:ser>
          <c:idx val="2"/>
          <c:order val="2"/>
          <c:tx>
            <c:strRef>
              <c:f>Hydrogen!$AE$8</c:f>
              <c:strCache>
                <c:ptCount val="1"/>
                <c:pt idx="0">
                  <c:v>Freight HDV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80395797111929"/>
                  <c:y val="-0.24011134340680057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Hydrogen!$B$15:$B$30</c:f>
              <c:numCache>
                <c:formatCode>General</c:formatCode>
                <c:ptCount val="16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</c:numCache>
            </c:numRef>
          </c:xVal>
          <c:yVal>
            <c:numRef>
              <c:f>Hydrogen!$AG$15:$AG$30</c:f>
              <c:numCache>
                <c:formatCode>0_ </c:formatCode>
                <c:ptCount val="16"/>
                <c:pt idx="0" formatCode="General">
                  <c:v>3497</c:v>
                </c:pt>
                <c:pt idx="1">
                  <c:v>4322</c:v>
                </c:pt>
                <c:pt idx="5" formatCode="#,##0">
                  <c:v>20000</c:v>
                </c:pt>
                <c:pt idx="15" formatCode="#,##0">
                  <c:v>100000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55C-427E-82BD-DF200EFD7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7162991"/>
        <c:axId val="407163407"/>
      </c:scatterChart>
      <c:valAx>
        <c:axId val="407162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163407"/>
        <c:crosses val="autoZero"/>
        <c:crossBetween val="midCat"/>
      </c:valAx>
      <c:valAx>
        <c:axId val="40716340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7162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369567373944498"/>
          <c:w val="1"/>
          <c:h val="0.12799290208074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Hydrogen!$G$8</c:f>
              <c:strCache>
                <c:ptCount val="1"/>
                <c:pt idx="0">
                  <c:v>Passenger HDV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810584547830606"/>
                  <c:y val="-8.6161927926807602E-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Hydrogen!$B$17:$B$55</c:f>
              <c:numCache>
                <c:formatCode>General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xVal>
          <c:yVal>
            <c:numRef>
              <c:f>Hydrogen!$L$17:$L$55</c:f>
              <c:numCache>
                <c:formatCode>0%</c:formatCode>
                <c:ptCount val="39"/>
                <c:pt idx="0">
                  <c:v>5.9379163709262599E-2</c:v>
                </c:pt>
                <c:pt idx="1">
                  <c:v>8.4834172756198464E-2</c:v>
                </c:pt>
                <c:pt idx="2">
                  <c:v>0.1276243263237346</c:v>
                </c:pt>
                <c:pt idx="3">
                  <c:v>0.19326646955548427</c:v>
                </c:pt>
                <c:pt idx="4">
                  <c:v>0.1765262947205162</c:v>
                </c:pt>
                <c:pt idx="5">
                  <c:v>0.1631274143188727</c:v>
                </c:pt>
                <c:pt idx="6">
                  <c:v>0.20411830552166241</c:v>
                </c:pt>
                <c:pt idx="7">
                  <c:v>0.22821635421627823</c:v>
                </c:pt>
                <c:pt idx="8">
                  <c:v>0.24063798132217784</c:v>
                </c:pt>
                <c:pt idx="9">
                  <c:v>0.23517488150917365</c:v>
                </c:pt>
                <c:pt idx="10">
                  <c:v>0.26734867179068411</c:v>
                </c:pt>
                <c:pt idx="11">
                  <c:v>0.28315826218789386</c:v>
                </c:pt>
                <c:pt idx="12">
                  <c:v>0.33857942903172134</c:v>
                </c:pt>
                <c:pt idx="13">
                  <c:v>0.42763161688936513</c:v>
                </c:pt>
                <c:pt idx="14">
                  <c:v>0.37806365184090779</c:v>
                </c:pt>
                <c:pt idx="15">
                  <c:v>0.34836929474650935</c:v>
                </c:pt>
                <c:pt idx="16">
                  <c:v>0.43679013214259316</c:v>
                </c:pt>
                <c:pt idx="17">
                  <c:v>0.4972285676674314</c:v>
                </c:pt>
                <c:pt idx="18">
                  <c:v>0.52131613277654187</c:v>
                </c:pt>
                <c:pt idx="19">
                  <c:v>0.48527545682960205</c:v>
                </c:pt>
                <c:pt idx="20">
                  <c:v>0.51979547862116271</c:v>
                </c:pt>
                <c:pt idx="21">
                  <c:v>0.5083946916748896</c:v>
                </c:pt>
                <c:pt idx="22">
                  <c:v>0.56401982955063801</c:v>
                </c:pt>
                <c:pt idx="23">
                  <c:v>0.66302033655229486</c:v>
                </c:pt>
                <c:pt idx="24">
                  <c:v>0.56583238189314933</c:v>
                </c:pt>
                <c:pt idx="25">
                  <c:v>0.51282758377997717</c:v>
                </c:pt>
                <c:pt idx="26">
                  <c:v>0.6308536261563582</c:v>
                </c:pt>
                <c:pt idx="27">
                  <c:v>0.71989840379703185</c:v>
                </c:pt>
                <c:pt idx="28">
                  <c:v>0.76632808295979316</c:v>
                </c:pt>
                <c:pt idx="29">
                  <c:v>0.72245871469702749</c:v>
                </c:pt>
                <c:pt idx="30">
                  <c:v>0.7783524829782732</c:v>
                </c:pt>
                <c:pt idx="31">
                  <c:v>0.75419501959713209</c:v>
                </c:pt>
                <c:pt idx="32">
                  <c:v>0.82348995442189732</c:v>
                </c:pt>
                <c:pt idx="33">
                  <c:v>0.94448632151576339</c:v>
                </c:pt>
                <c:pt idx="34">
                  <c:v>0.77926419918950862</c:v>
                </c:pt>
                <c:pt idx="35">
                  <c:v>0.68890066768079594</c:v>
                </c:pt>
                <c:pt idx="36">
                  <c:v>0.82792473160319235</c:v>
                </c:pt>
                <c:pt idx="37">
                  <c:v>0.92992731427540776</c:v>
                </c:pt>
                <c:pt idx="38">
                  <c:v>0.9845496499418166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5C3-40CF-AA75-E051EB624F3E}"/>
            </c:ext>
          </c:extLst>
        </c:ser>
        <c:ser>
          <c:idx val="1"/>
          <c:order val="1"/>
          <c:tx>
            <c:strRef>
              <c:f>Hydrogen!$S$8</c:f>
              <c:strCache>
                <c:ptCount val="1"/>
                <c:pt idx="0">
                  <c:v>Passenger LDV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7734253358779979"/>
                  <c:y val="-0.53477371304572097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Hydrogen!$B$17:$B$55</c:f>
              <c:numCache>
                <c:formatCode>General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xVal>
          <c:yVal>
            <c:numRef>
              <c:f>Hydrogen!$X$17:$X$55</c:f>
              <c:numCache>
                <c:formatCode>0%</c:formatCode>
                <c:ptCount val="39"/>
                <c:pt idx="0">
                  <c:v>6.739891071348216E-5</c:v>
                </c:pt>
                <c:pt idx="1">
                  <c:v>1.7804163337321166E-4</c:v>
                </c:pt>
                <c:pt idx="2">
                  <c:v>2.8881654442272577E-4</c:v>
                </c:pt>
                <c:pt idx="3">
                  <c:v>3.9924991164980151E-4</c:v>
                </c:pt>
                <c:pt idx="4">
                  <c:v>5.1598909642650785E-4</c:v>
                </c:pt>
                <c:pt idx="5">
                  <c:v>6.3025879590462353E-4</c:v>
                </c:pt>
                <c:pt idx="6">
                  <c:v>7.4588090976836078E-4</c:v>
                </c:pt>
                <c:pt idx="7">
                  <c:v>8.6275143052566257E-4</c:v>
                </c:pt>
                <c:pt idx="8">
                  <c:v>9.7327380487793912E-4</c:v>
                </c:pt>
                <c:pt idx="9">
                  <c:v>1.0772726386162996E-3</c:v>
                </c:pt>
                <c:pt idx="10">
                  <c:v>1.1773298473779701E-3</c:v>
                </c:pt>
                <c:pt idx="11">
                  <c:v>1.2808601645823551E-3</c:v>
                </c:pt>
                <c:pt idx="12">
                  <c:v>1.3771811629991022E-3</c:v>
                </c:pt>
                <c:pt idx="13">
                  <c:v>1.4847190325963796E-3</c:v>
                </c:pt>
                <c:pt idx="14">
                  <c:v>1.602155714426667E-3</c:v>
                </c:pt>
                <c:pt idx="15">
                  <c:v>1.7269269525197863E-3</c:v>
                </c:pt>
                <c:pt idx="16">
                  <c:v>1.8562414820156845E-3</c:v>
                </c:pt>
                <c:pt idx="17">
                  <c:v>1.9902993777980173E-3</c:v>
                </c:pt>
                <c:pt idx="18">
                  <c:v>2.1363773882995007E-3</c:v>
                </c:pt>
                <c:pt idx="19">
                  <c:v>2.2633348858630158E-3</c:v>
                </c:pt>
                <c:pt idx="20">
                  <c:v>2.3970549176289681E-3</c:v>
                </c:pt>
                <c:pt idx="21">
                  <c:v>2.532957129681494E-3</c:v>
                </c:pt>
                <c:pt idx="22">
                  <c:v>2.6645154752241561E-3</c:v>
                </c:pt>
                <c:pt idx="23">
                  <c:v>2.7910056702469214E-3</c:v>
                </c:pt>
                <c:pt idx="24">
                  <c:v>2.9151123080516064E-3</c:v>
                </c:pt>
                <c:pt idx="25">
                  <c:v>3.0520953606110119E-3</c:v>
                </c:pt>
                <c:pt idx="26">
                  <c:v>3.1610613159190524E-3</c:v>
                </c:pt>
                <c:pt idx="27">
                  <c:v>3.2851575734652652E-3</c:v>
                </c:pt>
                <c:pt idx="28">
                  <c:v>3.4213489181454111E-3</c:v>
                </c:pt>
                <c:pt idx="29">
                  <c:v>3.5627375126969876E-3</c:v>
                </c:pt>
                <c:pt idx="30">
                  <c:v>3.7082837649008407E-3</c:v>
                </c:pt>
                <c:pt idx="31">
                  <c:v>3.8590294851000278E-3</c:v>
                </c:pt>
                <c:pt idx="32">
                  <c:v>4.0311219527189111E-3</c:v>
                </c:pt>
                <c:pt idx="33">
                  <c:v>4.1627782368205916E-3</c:v>
                </c:pt>
                <c:pt idx="34">
                  <c:v>4.3074473155733746E-3</c:v>
                </c:pt>
                <c:pt idx="35">
                  <c:v>4.4566355850000818E-3</c:v>
                </c:pt>
                <c:pt idx="36">
                  <c:v>4.5986375447058829E-3</c:v>
                </c:pt>
                <c:pt idx="37">
                  <c:v>4.7322169277185808E-3</c:v>
                </c:pt>
                <c:pt idx="38">
                  <c:v>4.8610540188558544E-3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5C3-40CF-AA75-E051EB624F3E}"/>
            </c:ext>
          </c:extLst>
        </c:ser>
        <c:ser>
          <c:idx val="2"/>
          <c:order val="2"/>
          <c:tx>
            <c:strRef>
              <c:f>Hydrogen!$AE$8</c:f>
              <c:strCache>
                <c:ptCount val="1"/>
                <c:pt idx="0">
                  <c:v>Freight HDV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955114987515306"/>
                  <c:y val="-0.38913467945210922"/>
                </c:manualLayout>
              </c:layout>
              <c:numFmt formatCode="0.000000E+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Hydrogen!$B$17:$B$55</c:f>
              <c:numCache>
                <c:formatCode>General</c:formatCode>
                <c:ptCount val="39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  <c:pt idx="5">
                  <c:v>2027</c:v>
                </c:pt>
                <c:pt idx="6">
                  <c:v>2028</c:v>
                </c:pt>
                <c:pt idx="7">
                  <c:v>2029</c:v>
                </c:pt>
                <c:pt idx="8">
                  <c:v>2030</c:v>
                </c:pt>
                <c:pt idx="9">
                  <c:v>2031</c:v>
                </c:pt>
                <c:pt idx="10">
                  <c:v>2032</c:v>
                </c:pt>
                <c:pt idx="11">
                  <c:v>2033</c:v>
                </c:pt>
                <c:pt idx="12">
                  <c:v>2034</c:v>
                </c:pt>
                <c:pt idx="13">
                  <c:v>2035</c:v>
                </c:pt>
                <c:pt idx="14">
                  <c:v>2036</c:v>
                </c:pt>
                <c:pt idx="15">
                  <c:v>2037</c:v>
                </c:pt>
                <c:pt idx="16">
                  <c:v>2038</c:v>
                </c:pt>
                <c:pt idx="17">
                  <c:v>2039</c:v>
                </c:pt>
                <c:pt idx="18">
                  <c:v>2040</c:v>
                </c:pt>
                <c:pt idx="19">
                  <c:v>2041</c:v>
                </c:pt>
                <c:pt idx="20">
                  <c:v>2042</c:v>
                </c:pt>
                <c:pt idx="21">
                  <c:v>2043</c:v>
                </c:pt>
                <c:pt idx="22">
                  <c:v>2044</c:v>
                </c:pt>
                <c:pt idx="23">
                  <c:v>2045</c:v>
                </c:pt>
                <c:pt idx="24">
                  <c:v>2046</c:v>
                </c:pt>
                <c:pt idx="25">
                  <c:v>2047</c:v>
                </c:pt>
                <c:pt idx="26">
                  <c:v>2048</c:v>
                </c:pt>
                <c:pt idx="27">
                  <c:v>2049</c:v>
                </c:pt>
                <c:pt idx="28">
                  <c:v>2050</c:v>
                </c:pt>
                <c:pt idx="29">
                  <c:v>2051</c:v>
                </c:pt>
                <c:pt idx="30">
                  <c:v>2052</c:v>
                </c:pt>
                <c:pt idx="31">
                  <c:v>2053</c:v>
                </c:pt>
                <c:pt idx="32">
                  <c:v>2054</c:v>
                </c:pt>
                <c:pt idx="33">
                  <c:v>2055</c:v>
                </c:pt>
                <c:pt idx="34">
                  <c:v>2056</c:v>
                </c:pt>
                <c:pt idx="35">
                  <c:v>2057</c:v>
                </c:pt>
                <c:pt idx="36">
                  <c:v>2058</c:v>
                </c:pt>
                <c:pt idx="37">
                  <c:v>2059</c:v>
                </c:pt>
                <c:pt idx="38">
                  <c:v>2060</c:v>
                </c:pt>
              </c:numCache>
            </c:numRef>
          </c:xVal>
          <c:yVal>
            <c:numRef>
              <c:f>Hydrogen!$AJ$17:$AJ$55</c:f>
              <c:numCache>
                <c:formatCode>0%</c:formatCode>
                <c:ptCount val="39"/>
                <c:pt idx="0">
                  <c:v>3.8043085623925819E-3</c:v>
                </c:pt>
                <c:pt idx="1">
                  <c:v>5.177583335669588E-3</c:v>
                </c:pt>
                <c:pt idx="2">
                  <c:v>5.982760188904832E-3</c:v>
                </c:pt>
                <c:pt idx="3">
                  <c:v>5.9755462113536472E-3</c:v>
                </c:pt>
                <c:pt idx="4">
                  <c:v>5.6523679757627373E-3</c:v>
                </c:pt>
                <c:pt idx="5">
                  <c:v>5.4015759780653479E-3</c:v>
                </c:pt>
                <c:pt idx="6">
                  <c:v>5.4315120296756798E-3</c:v>
                </c:pt>
                <c:pt idx="7">
                  <c:v>5.8734461166354132E-3</c:v>
                </c:pt>
                <c:pt idx="8">
                  <c:v>6.7651760976188829E-3</c:v>
                </c:pt>
                <c:pt idx="9">
                  <c:v>8.0279836709727728E-3</c:v>
                </c:pt>
                <c:pt idx="10">
                  <c:v>9.4100503425405598E-3</c:v>
                </c:pt>
                <c:pt idx="11">
                  <c:v>1.0530540562701694E-2</c:v>
                </c:pt>
                <c:pt idx="12">
                  <c:v>1.111494519466223E-2</c:v>
                </c:pt>
                <c:pt idx="13">
                  <c:v>1.1151737950498111E-2</c:v>
                </c:pt>
                <c:pt idx="14">
                  <c:v>1.088395176576552E-2</c:v>
                </c:pt>
                <c:pt idx="15">
                  <c:v>1.0638323468381528E-2</c:v>
                </c:pt>
                <c:pt idx="16">
                  <c:v>1.0625776657214292E-2</c:v>
                </c:pt>
                <c:pt idx="17">
                  <c:v>1.0954848902535166E-2</c:v>
                </c:pt>
                <c:pt idx="18">
                  <c:v>1.1636975804594701E-2</c:v>
                </c:pt>
                <c:pt idx="19">
                  <c:v>1.259107177775262E-2</c:v>
                </c:pt>
                <c:pt idx="20">
                  <c:v>1.3643061087197919E-2</c:v>
                </c:pt>
                <c:pt idx="21">
                  <c:v>1.454505032917061E-2</c:v>
                </c:pt>
                <c:pt idx="22">
                  <c:v>1.5099997396812757E-2</c:v>
                </c:pt>
                <c:pt idx="23">
                  <c:v>1.5282423457796289E-2</c:v>
                </c:pt>
                <c:pt idx="24">
                  <c:v>1.5230702915068237E-2</c:v>
                </c:pt>
                <c:pt idx="25">
                  <c:v>1.5146637325973223E-2</c:v>
                </c:pt>
                <c:pt idx="26">
                  <c:v>1.518887216413246E-2</c:v>
                </c:pt>
                <c:pt idx="27">
                  <c:v>1.5443340244222262E-2</c:v>
                </c:pt>
                <c:pt idx="28">
                  <c:v>1.5934142756511688E-2</c:v>
                </c:pt>
                <c:pt idx="29">
                  <c:v>1.6599736520958048E-2</c:v>
                </c:pt>
                <c:pt idx="30">
                  <c:v>1.7330627802012881E-2</c:v>
                </c:pt>
                <c:pt idx="31">
                  <c:v>1.7990276260217777E-2</c:v>
                </c:pt>
                <c:pt idx="32">
                  <c:v>1.8462946034085555E-2</c:v>
                </c:pt>
                <c:pt idx="33">
                  <c:v>1.8723071539219548E-2</c:v>
                </c:pt>
                <c:pt idx="34">
                  <c:v>1.8824104861015184E-2</c:v>
                </c:pt>
                <c:pt idx="35">
                  <c:v>1.8871527676879621E-2</c:v>
                </c:pt>
                <c:pt idx="36">
                  <c:v>1.8969371051456636E-2</c:v>
                </c:pt>
                <c:pt idx="37">
                  <c:v>1.9180991177689267E-2</c:v>
                </c:pt>
                <c:pt idx="38">
                  <c:v>1.952872450847867E-2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5C3-40CF-AA75-E051EB624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350495"/>
        <c:axId val="405934207"/>
      </c:scatterChart>
      <c:valAx>
        <c:axId val="1215350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05934207"/>
        <c:crosses val="autoZero"/>
        <c:crossBetween val="midCat"/>
      </c:valAx>
      <c:valAx>
        <c:axId val="405934207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153504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4463575432847915"/>
          <c:w val="1"/>
          <c:h val="0.155364245671520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23</xdr:row>
      <xdr:rowOff>0</xdr:rowOff>
    </xdr:from>
    <xdr:to>
      <xdr:col>28</xdr:col>
      <xdr:colOff>628650</xdr:colOff>
      <xdr:row>38</xdr:row>
      <xdr:rowOff>19050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C4E7D3A3-F83F-48DF-8922-B28ED0E7D8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0</xdr:colOff>
      <xdr:row>23</xdr:row>
      <xdr:rowOff>0</xdr:rowOff>
    </xdr:from>
    <xdr:to>
      <xdr:col>36</xdr:col>
      <xdr:colOff>628650</xdr:colOff>
      <xdr:row>38</xdr:row>
      <xdr:rowOff>28575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FC43F374-A231-49B1-AC62-3066C67F6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8</xdr:col>
      <xdr:colOff>680357</xdr:colOff>
      <xdr:row>24</xdr:row>
      <xdr:rowOff>38100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1ED07017-442C-403B-B40A-63203A43B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25</xdr:row>
      <xdr:rowOff>0</xdr:rowOff>
    </xdr:from>
    <xdr:to>
      <xdr:col>8</xdr:col>
      <xdr:colOff>683559</xdr:colOff>
      <xdr:row>40</xdr:row>
      <xdr:rowOff>28575</xdr:rowOff>
    </xdr:to>
    <xdr:graphicFrame macro="">
      <xdr:nvGraphicFramePr>
        <xdr:cNvPr id="10" name="图表 9">
          <a:extLst>
            <a:ext uri="{FF2B5EF4-FFF2-40B4-BE49-F238E27FC236}">
              <a16:creationId xmlns:a16="http://schemas.microsoft.com/office/drawing/2014/main" id="{88037EED-04E9-45F9-A7EB-4123DAE1C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Workfile\&#26032;&#24314;&#25991;&#20214;&#22841;\eps-china-igdp-3.4.2\InputData\trans\TTS\Transportation%20Technology%20Shareweights.xlsx" TargetMode="External"/><Relationship Id="rId1" Type="http://schemas.openxmlformats.org/officeDocument/2006/relationships/externalLinkPath" Target="/Workfile/&#26032;&#24314;&#25991;&#20214;&#22841;/eps-china-igdp-3.4.2/InputData/trans/TTS/Transportation%20Technology%20Shareweigh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hicle Sales Database"/>
      <sheetName val="About"/>
      <sheetName val="AEO 38"/>
      <sheetName val="AEO 39"/>
      <sheetName val="AEO 44"/>
      <sheetName val="AEO 49"/>
      <sheetName val="SYVbT-passenger"/>
      <sheetName val="SYVbT-freight"/>
      <sheetName val="Assumptions"/>
      <sheetName val="Data"/>
      <sheetName val="TTS-LDVs-psgr"/>
      <sheetName val="TTS-LDVs-frgt"/>
      <sheetName val="TTS-HDVs-psgr"/>
      <sheetName val="TTS-HDVs-frgt"/>
      <sheetName val="TTS-aircraft-psgr"/>
      <sheetName val="TTS-aircraft-frgt"/>
      <sheetName val="TTS-rail-psgr"/>
      <sheetName val="TTS-rail-frgt"/>
      <sheetName val="TTS-ships-psgr"/>
      <sheetName val="TTS-ships-frgt"/>
      <sheetName val="TTS-motorbikes-psgr"/>
      <sheetName val="TTS-motorbikes-fr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9">
          <cell r="O9">
            <v>2020</v>
          </cell>
          <cell r="P9">
            <v>2021</v>
          </cell>
          <cell r="Q9">
            <v>2022</v>
          </cell>
          <cell r="R9">
            <v>2023</v>
          </cell>
          <cell r="S9">
            <v>2024</v>
          </cell>
          <cell r="T9">
            <v>2025</v>
          </cell>
          <cell r="U9">
            <v>2026</v>
          </cell>
          <cell r="V9">
            <v>2027</v>
          </cell>
          <cell r="W9">
            <v>2028</v>
          </cell>
          <cell r="X9">
            <v>2029</v>
          </cell>
          <cell r="Y9">
            <v>2030</v>
          </cell>
          <cell r="Z9">
            <v>2031</v>
          </cell>
          <cell r="AA9">
            <v>2032</v>
          </cell>
          <cell r="AB9">
            <v>2033</v>
          </cell>
          <cell r="AC9">
            <v>2034</v>
          </cell>
          <cell r="AD9">
            <v>2035</v>
          </cell>
          <cell r="AE9">
            <v>2036</v>
          </cell>
          <cell r="AF9">
            <v>2037</v>
          </cell>
          <cell r="AG9">
            <v>2038</v>
          </cell>
          <cell r="AH9">
            <v>2039</v>
          </cell>
          <cell r="AI9">
            <v>2040</v>
          </cell>
          <cell r="AJ9">
            <v>2041</v>
          </cell>
          <cell r="AK9">
            <v>2042</v>
          </cell>
          <cell r="AL9">
            <v>2043</v>
          </cell>
          <cell r="AM9">
            <v>2044</v>
          </cell>
          <cell r="AN9">
            <v>2045</v>
          </cell>
          <cell r="AO9">
            <v>2046</v>
          </cell>
          <cell r="AP9">
            <v>2047</v>
          </cell>
          <cell r="AQ9">
            <v>2048</v>
          </cell>
          <cell r="AR9">
            <v>2049</v>
          </cell>
          <cell r="AS9">
            <v>2050</v>
          </cell>
        </row>
        <row r="10">
          <cell r="O10">
            <v>0.10493766900950537</v>
          </cell>
          <cell r="P10">
            <v>0.10734631403784391</v>
          </cell>
          <cell r="Q10">
            <v>0.11091559148584682</v>
          </cell>
          <cell r="R10">
            <v>0.11618758896588241</v>
          </cell>
          <cell r="S10">
            <v>0.12393729421917928</v>
          </cell>
          <cell r="T10">
            <v>0.13524915051708791</v>
          </cell>
          <cell r="U10">
            <v>0.15159175830898186</v>
          </cell>
          <cell r="V10">
            <v>0.17485542684453012</v>
          </cell>
          <cell r="W10">
            <v>0.20728262981990581</v>
          </cell>
          <cell r="X10">
            <v>0.25118345337946801</v>
          </cell>
          <cell r="Y10">
            <v>0.30832769485088407</v>
          </cell>
          <cell r="Z10">
            <v>0.37902296698514881</v>
          </cell>
          <cell r="AA10">
            <v>0.46118110589879324</v>
          </cell>
          <cell r="AB10">
            <v>0.55000000000000004</v>
          </cell>
          <cell r="AC10">
            <v>0.63881889410120674</v>
          </cell>
          <cell r="AD10">
            <v>0.72097703301485117</v>
          </cell>
          <cell r="AE10">
            <v>0.79167230514911591</v>
          </cell>
          <cell r="AF10">
            <v>0.84881654662053196</v>
          </cell>
          <cell r="AG10">
            <v>0.89271737018009412</v>
          </cell>
          <cell r="AH10">
            <v>0.92514457315546994</v>
          </cell>
          <cell r="AI10">
            <v>0.94840824169101812</v>
          </cell>
          <cell r="AJ10">
            <v>0.96475084948291212</v>
          </cell>
          <cell r="AK10">
            <v>0.97606270578082066</v>
          </cell>
          <cell r="AL10">
            <v>0.98381241103411754</v>
          </cell>
          <cell r="AM10">
            <v>0.98908440851415313</v>
          </cell>
          <cell r="AN10">
            <v>0.99265368596215608</v>
          </cell>
          <cell r="AO10">
            <v>0.99506233099049457</v>
          </cell>
          <cell r="AP10">
            <v>0.99668418409050774</v>
          </cell>
          <cell r="AQ10">
            <v>0.99777463915902875</v>
          </cell>
          <cell r="AR10">
            <v>0.99850707902784297</v>
          </cell>
          <cell r="AS10">
            <v>0.9989987175704258</v>
          </cell>
          <cell r="AT10">
            <v>0.9989987175704258</v>
          </cell>
          <cell r="AU10">
            <v>0.9989987175704258</v>
          </cell>
          <cell r="AV10">
            <v>0.9989987175704258</v>
          </cell>
          <cell r="AW10">
            <v>0.9989987175704258</v>
          </cell>
          <cell r="AX10">
            <v>0.9989987175704258</v>
          </cell>
          <cell r="AY10">
            <v>0.9989987175704258</v>
          </cell>
          <cell r="AZ10">
            <v>0.9989987175704258</v>
          </cell>
          <cell r="BA10">
            <v>0.9989987175704258</v>
          </cell>
          <cell r="BB10">
            <v>0.9989987175704258</v>
          </cell>
          <cell r="BC10">
            <v>0.9989987175704258</v>
          </cell>
        </row>
        <row r="11">
          <cell r="O11">
            <v>3.8057610451262282E-4</v>
          </cell>
          <cell r="P11">
            <v>3.9320484961125079E-4</v>
          </cell>
          <cell r="Q11">
            <v>3.9753546733222448E-4</v>
          </cell>
          <cell r="R11">
            <v>4.033110396505392E-4</v>
          </cell>
          <cell r="S11">
            <v>4.1098212309343519E-4</v>
          </cell>
          <cell r="T11">
            <v>4.2111542890787591E-4</v>
          </cell>
          <cell r="U11">
            <v>4.3440531499218697E-4</v>
          </cell>
          <cell r="V11">
            <v>4.516715783138295E-4</v>
          </cell>
          <cell r="W11">
            <v>4.7383134956379655E-4</v>
          </cell>
          <cell r="X11">
            <v>5.0182946160490889E-4</v>
          </cell>
          <cell r="Y11">
            <v>5.3651224215358457E-4</v>
          </cell>
          <cell r="Z11">
            <v>5.7843959678952387E-4</v>
          </cell>
          <cell r="AA11">
            <v>6.2765456811457476E-4</v>
          </cell>
          <cell r="AB11">
            <v>6.8346676285730725E-4</v>
          </cell>
          <cell r="AC11">
            <v>7.4433984155985176E-4</v>
          </cell>
          <cell r="AD11">
            <v>8.0797281520121893E-4</v>
          </cell>
          <cell r="AE11">
            <v>8.716057888425861E-4</v>
          </cell>
          <cell r="AF11">
            <v>9.3247886754513061E-4</v>
          </cell>
          <cell r="AG11">
            <v>9.8829106228786288E-4</v>
          </cell>
          <cell r="AH11">
            <v>1.037506033612914E-3</v>
          </cell>
          <cell r="AI11">
            <v>1.0794333882488531E-3</v>
          </cell>
          <cell r="AJ11">
            <v>1.114116168797529E-3</v>
          </cell>
          <cell r="AK11">
            <v>1.1421142808386413E-3</v>
          </cell>
          <cell r="AL11">
            <v>1.1642740520886085E-3</v>
          </cell>
          <cell r="AM11">
            <v>1.1815403154102509E-3</v>
          </cell>
          <cell r="AN11">
            <v>1.1948302014945619E-3</v>
          </cell>
          <cell r="AO11">
            <v>1.2049635073090028E-3</v>
          </cell>
          <cell r="AP11">
            <v>1.2126345907518985E-3</v>
          </cell>
          <cell r="AQ11">
            <v>1.2184101630702134E-3</v>
          </cell>
          <cell r="AR11">
            <v>1.2227407807911871E-3</v>
          </cell>
          <cell r="AS11">
            <v>1.2259779596081354E-3</v>
          </cell>
          <cell r="AT11">
            <v>1.2259779596081354E-3</v>
          </cell>
          <cell r="AU11">
            <v>1.2259779596081354E-3</v>
          </cell>
          <cell r="AV11">
            <v>1.2259779596081354E-3</v>
          </cell>
          <cell r="AW11">
            <v>1.2259779596081354E-3</v>
          </cell>
          <cell r="AX11">
            <v>1.2259779596081354E-3</v>
          </cell>
          <cell r="AY11">
            <v>1.2259779596081354E-3</v>
          </cell>
          <cell r="AZ11">
            <v>1.2259779596081354E-3</v>
          </cell>
          <cell r="BA11">
            <v>1.2259779596081354E-3</v>
          </cell>
          <cell r="BB11">
            <v>1.2259779596081354E-3</v>
          </cell>
          <cell r="BC11">
            <v>1.2259779596081354E-3</v>
          </cell>
        </row>
        <row r="12">
          <cell r="O12">
            <v>3</v>
          </cell>
          <cell r="P12">
            <v>3</v>
          </cell>
          <cell r="Q12">
            <v>3</v>
          </cell>
          <cell r="R12">
            <v>3</v>
          </cell>
          <cell r="S12">
            <v>3</v>
          </cell>
          <cell r="T12">
            <v>3</v>
          </cell>
          <cell r="U12">
            <v>3</v>
          </cell>
          <cell r="V12">
            <v>3</v>
          </cell>
          <cell r="W12">
            <v>3</v>
          </cell>
          <cell r="X12">
            <v>3</v>
          </cell>
          <cell r="Y12">
            <v>3</v>
          </cell>
          <cell r="Z12">
            <v>3</v>
          </cell>
          <cell r="AA12">
            <v>3</v>
          </cell>
          <cell r="AB12">
            <v>3</v>
          </cell>
          <cell r="AC12">
            <v>3</v>
          </cell>
          <cell r="AD12">
            <v>3</v>
          </cell>
          <cell r="AE12">
            <v>3</v>
          </cell>
          <cell r="AF12">
            <v>3</v>
          </cell>
          <cell r="AG12">
            <v>3</v>
          </cell>
          <cell r="AH12">
            <v>3</v>
          </cell>
          <cell r="AI12">
            <v>3</v>
          </cell>
          <cell r="AJ12">
            <v>3</v>
          </cell>
          <cell r="AK12">
            <v>3</v>
          </cell>
          <cell r="AL12">
            <v>3</v>
          </cell>
          <cell r="AM12">
            <v>3</v>
          </cell>
          <cell r="AN12">
            <v>3</v>
          </cell>
          <cell r="AO12">
            <v>3</v>
          </cell>
          <cell r="AP12">
            <v>3</v>
          </cell>
          <cell r="AQ12">
            <v>3</v>
          </cell>
          <cell r="AR12">
            <v>3</v>
          </cell>
          <cell r="AS12">
            <v>3</v>
          </cell>
          <cell r="AT12">
            <v>3</v>
          </cell>
          <cell r="AU12">
            <v>3</v>
          </cell>
          <cell r="AV12">
            <v>3</v>
          </cell>
          <cell r="AW12">
            <v>3</v>
          </cell>
          <cell r="AX12">
            <v>3</v>
          </cell>
          <cell r="AY12">
            <v>3</v>
          </cell>
          <cell r="AZ12">
            <v>3</v>
          </cell>
          <cell r="BA12">
            <v>3</v>
          </cell>
          <cell r="BB12">
            <v>3</v>
          </cell>
          <cell r="BC12">
            <v>3</v>
          </cell>
        </row>
        <row r="13">
          <cell r="O13">
            <v>4.2138566319580755E-3</v>
          </cell>
          <cell r="P13">
            <v>5.1006768751431508E-3</v>
          </cell>
          <cell r="Q13">
            <v>5.9874971183280223E-3</v>
          </cell>
          <cell r="R13">
            <v>6.8743173615128939E-3</v>
          </cell>
          <cell r="S13">
            <v>7.7611376046979874E-3</v>
          </cell>
          <cell r="T13">
            <v>8.6479578478828589E-3</v>
          </cell>
          <cell r="U13">
            <v>9.5347780910677304E-3</v>
          </cell>
          <cell r="V13">
            <v>1.0421598334252602E-2</v>
          </cell>
          <cell r="W13">
            <v>1.1308418577437696E-2</v>
          </cell>
          <cell r="X13">
            <v>1.2195238820622567E-2</v>
          </cell>
          <cell r="Y13">
            <v>1.3082059063807439E-2</v>
          </cell>
          <cell r="Z13">
            <v>1.3968879306992532E-2</v>
          </cell>
          <cell r="AA13">
            <v>1.4855699550177404E-2</v>
          </cell>
          <cell r="AB13">
            <v>1.5742519793362275E-2</v>
          </cell>
          <cell r="AC13">
            <v>1.6629340036547369E-2</v>
          </cell>
          <cell r="AD13">
            <v>1.751616027973224E-2</v>
          </cell>
          <cell r="AE13">
            <v>1.8402980522917112E-2</v>
          </cell>
          <cell r="AF13">
            <v>1.9289800766102205E-2</v>
          </cell>
          <cell r="AG13">
            <v>2.0176621009287077E-2</v>
          </cell>
          <cell r="AH13">
            <v>2.1063441252471948E-2</v>
          </cell>
          <cell r="AI13">
            <v>2.1950261495657042E-2</v>
          </cell>
          <cell r="AJ13">
            <v>2.2837081738841913E-2</v>
          </cell>
          <cell r="AK13">
            <v>2.3723901982026785E-2</v>
          </cell>
          <cell r="AL13">
            <v>2.4610722225211656E-2</v>
          </cell>
          <cell r="AM13">
            <v>2.549754246839675E-2</v>
          </cell>
          <cell r="AN13">
            <v>2.6384362711581621E-2</v>
          </cell>
          <cell r="AO13">
            <v>2.7271182954766493E-2</v>
          </cell>
          <cell r="AP13">
            <v>2.8158003197951587E-2</v>
          </cell>
          <cell r="AQ13">
            <v>2.9044823441136458E-2</v>
          </cell>
          <cell r="AR13">
            <v>2.993164368432133E-2</v>
          </cell>
          <cell r="AS13">
            <v>3.0818463927506423E-2</v>
          </cell>
          <cell r="AT13">
            <v>3.0818463927506423E-2</v>
          </cell>
          <cell r="AU13">
            <v>3.0818463927506423E-2</v>
          </cell>
          <cell r="AV13">
            <v>3.0818463927506423E-2</v>
          </cell>
          <cell r="AW13">
            <v>3.0818463927506423E-2</v>
          </cell>
          <cell r="AX13">
            <v>3.0818463927506423E-2</v>
          </cell>
          <cell r="AY13">
            <v>3.0818463927506423E-2</v>
          </cell>
          <cell r="AZ13">
            <v>3.0818463927506423E-2</v>
          </cell>
          <cell r="BA13">
            <v>3.0818463927506423E-2</v>
          </cell>
          <cell r="BB13">
            <v>3.0818463927506423E-2</v>
          </cell>
          <cell r="BC13">
            <v>3.0818463927506423E-2</v>
          </cell>
        </row>
        <row r="14">
          <cell r="O14">
            <v>2.5000000000000001E-2</v>
          </cell>
          <cell r="P14">
            <v>2.6567428891905699E-2</v>
          </cell>
          <cell r="Q14">
            <v>2.7104927691876762E-2</v>
          </cell>
          <cell r="R14">
            <v>2.7821768426907579E-2</v>
          </cell>
          <cell r="S14">
            <v>2.8773872355422291E-2</v>
          </cell>
          <cell r="T14">
            <v>3.0031577391039493E-2</v>
          </cell>
          <cell r="U14">
            <v>3.168106443476388E-2</v>
          </cell>
          <cell r="V14">
            <v>3.3824083378786625E-2</v>
          </cell>
          <cell r="W14">
            <v>3.6574464784378008E-2</v>
          </cell>
          <cell r="X14">
            <v>4.0049477494613184E-2</v>
          </cell>
          <cell r="Y14">
            <v>4.4354164291207518E-2</v>
          </cell>
          <cell r="Z14">
            <v>4.9558018395815848E-2</v>
          </cell>
          <cell r="AA14">
            <v>5.5666382082527388E-2</v>
          </cell>
          <cell r="AB14">
            <v>6.2593566523832689E-2</v>
          </cell>
          <cell r="AC14">
            <v>7.0148887464468651E-2</v>
          </cell>
          <cell r="AD14">
            <v>7.8046755430319747E-2</v>
          </cell>
          <cell r="AE14">
            <v>8.5944623396170816E-2</v>
          </cell>
          <cell r="AF14">
            <v>9.3499944336806806E-2</v>
          </cell>
          <cell r="AG14">
            <v>0.10042712877811208</v>
          </cell>
          <cell r="AH14">
            <v>0.10653549246482363</v>
          </cell>
          <cell r="AI14">
            <v>0.11173934656943196</v>
          </cell>
          <cell r="AJ14">
            <v>0.11604403336602631</v>
          </cell>
          <cell r="AK14">
            <v>0.11951904607626149</v>
          </cell>
          <cell r="AL14">
            <v>0.12226942748185285</v>
          </cell>
          <cell r="AM14">
            <v>0.12441244642587562</v>
          </cell>
          <cell r="AN14">
            <v>0.12606193346959998</v>
          </cell>
          <cell r="AO14">
            <v>0.12731963850521719</v>
          </cell>
          <cell r="AP14">
            <v>0.12827174243373191</v>
          </cell>
          <cell r="AQ14">
            <v>0.12898858316876272</v>
          </cell>
          <cell r="AR14">
            <v>0.12952608196873377</v>
          </cell>
          <cell r="AS14">
            <v>0.12992786754333543</v>
          </cell>
          <cell r="AT14">
            <v>0.12992786754333543</v>
          </cell>
          <cell r="AU14">
            <v>0.12992786754333543</v>
          </cell>
          <cell r="AV14">
            <v>0.12992786754333543</v>
          </cell>
          <cell r="AW14">
            <v>0.12992786754333543</v>
          </cell>
          <cell r="AX14">
            <v>0.12992786754333543</v>
          </cell>
          <cell r="AY14">
            <v>0.12992786754333543</v>
          </cell>
          <cell r="AZ14">
            <v>0.12992786754333543</v>
          </cell>
          <cell r="BA14">
            <v>0.12992786754333543</v>
          </cell>
          <cell r="BB14">
            <v>0.12992786754333543</v>
          </cell>
          <cell r="BC14">
            <v>0.12992786754333543</v>
          </cell>
        </row>
        <row r="15">
          <cell r="O15">
            <v>3.186067677034385E-4</v>
          </cell>
          <cell r="P15">
            <v>3.3670824346963835E-4</v>
          </cell>
          <cell r="Q15">
            <v>3.5480971923583515E-4</v>
          </cell>
          <cell r="R15">
            <v>3.7291119500203196E-4</v>
          </cell>
          <cell r="S15">
            <v>3.910126707682357E-4</v>
          </cell>
          <cell r="T15">
            <v>4.0911414653443251E-4</v>
          </cell>
          <cell r="U15">
            <v>4.2721562230062932E-4</v>
          </cell>
          <cell r="V15">
            <v>4.4531709806682612E-4</v>
          </cell>
          <cell r="W15">
            <v>4.6341857383302293E-4</v>
          </cell>
          <cell r="X15">
            <v>4.8152004959921973E-4</v>
          </cell>
          <cell r="Y15">
            <v>4.9962152536541654E-4</v>
          </cell>
          <cell r="Z15">
            <v>5.1772300113162029E-4</v>
          </cell>
          <cell r="AA15">
            <v>5.3582447689781709E-4</v>
          </cell>
          <cell r="AB15">
            <v>5.539259526640139E-4</v>
          </cell>
          <cell r="AC15">
            <v>5.720274284302107E-4</v>
          </cell>
          <cell r="AD15">
            <v>5.9012890419640751E-4</v>
          </cell>
          <cell r="AE15">
            <v>6.0823037996260432E-4</v>
          </cell>
          <cell r="AF15">
            <v>6.2633185572880112E-4</v>
          </cell>
          <cell r="AG15">
            <v>6.4443333149500487E-4</v>
          </cell>
          <cell r="AH15">
            <v>6.6253480726120167E-4</v>
          </cell>
          <cell r="AI15">
            <v>6.8063628302739848E-4</v>
          </cell>
          <cell r="AJ15">
            <v>6.9873775879359529E-4</v>
          </cell>
          <cell r="AK15">
            <v>7.1683923455979209E-4</v>
          </cell>
          <cell r="AL15">
            <v>7.349407103259889E-4</v>
          </cell>
          <cell r="AM15">
            <v>7.5304218609218571E-4</v>
          </cell>
          <cell r="AN15">
            <v>7.7114366185838945E-4</v>
          </cell>
          <cell r="AO15">
            <v>7.8924513762458626E-4</v>
          </cell>
          <cell r="AP15">
            <v>8.0734661339078306E-4</v>
          </cell>
          <cell r="AQ15">
            <v>8.2544808915697987E-4</v>
          </cell>
          <cell r="AR15">
            <v>8.4354956492317668E-4</v>
          </cell>
          <cell r="AS15">
            <v>8.6165104068937348E-4</v>
          </cell>
          <cell r="AT15">
            <v>8.6165104068937348E-4</v>
          </cell>
          <cell r="AU15">
            <v>8.6165104068937348E-4</v>
          </cell>
          <cell r="AV15">
            <v>8.6165104068937348E-4</v>
          </cell>
          <cell r="AW15">
            <v>8.6165104068937348E-4</v>
          </cell>
          <cell r="AX15">
            <v>8.6165104068937348E-4</v>
          </cell>
          <cell r="AY15">
            <v>8.6165104068937348E-4</v>
          </cell>
          <cell r="AZ15">
            <v>8.6165104068937348E-4</v>
          </cell>
          <cell r="BA15">
            <v>8.6165104068937348E-4</v>
          </cell>
          <cell r="BB15">
            <v>8.6165104068937348E-4</v>
          </cell>
          <cell r="BC15">
            <v>8.6165104068937348E-4</v>
          </cell>
        </row>
        <row r="16">
          <cell r="O16">
            <v>2.9671627040405578E-5</v>
          </cell>
          <cell r="P16">
            <v>3.3884455367256228E-5</v>
          </cell>
          <cell r="Q16">
            <v>3.5329107932906753E-5</v>
          </cell>
          <cell r="R16">
            <v>3.7255783503309569E-5</v>
          </cell>
          <cell r="S16">
            <v>3.9814783417669883E-5</v>
          </cell>
          <cell r="T16">
            <v>4.319515711642753E-5</v>
          </cell>
          <cell r="U16">
            <v>4.7628535739509144E-5</v>
          </cell>
          <cell r="V16">
            <v>5.3388395698055686E-5</v>
          </cell>
          <cell r="W16">
            <v>6.0780683000499877E-5</v>
          </cell>
          <cell r="X16">
            <v>7.0120584834289462E-5</v>
          </cell>
          <cell r="Y16">
            <v>8.1690428014137938E-5</v>
          </cell>
          <cell r="Z16">
            <v>9.567699167511389E-5</v>
          </cell>
          <cell r="AA16">
            <v>1.1209463441665937E-4</v>
          </cell>
          <cell r="AB16">
            <v>1.3071304766038166E-4</v>
          </cell>
          <cell r="AC16">
            <v>1.5101972328791891E-4</v>
          </cell>
          <cell r="AD16">
            <v>1.7224707341530546E-4</v>
          </cell>
          <cell r="AE16">
            <v>1.9347442354269201E-4</v>
          </cell>
          <cell r="AF16">
            <v>2.1378109917022923E-4</v>
          </cell>
          <cell r="AG16">
            <v>2.3239951241395154E-4</v>
          </cell>
          <cell r="AH16">
            <v>2.4881715515549704E-4</v>
          </cell>
          <cell r="AI16">
            <v>2.6280371881647296E-4</v>
          </cell>
          <cell r="AJ16">
            <v>2.7437356199632151E-4</v>
          </cell>
          <cell r="AK16">
            <v>2.8371346383011109E-4</v>
          </cell>
          <cell r="AL16">
            <v>2.911057511325553E-4</v>
          </cell>
          <cell r="AM16">
            <v>2.9686561109110182E-4</v>
          </cell>
          <cell r="AN16">
            <v>3.0129898971418347E-4</v>
          </cell>
          <cell r="AO16">
            <v>3.046793634129411E-4</v>
          </cell>
          <cell r="AP16">
            <v>3.0723836332730134E-4</v>
          </cell>
          <cell r="AQ16">
            <v>3.091650388977042E-4</v>
          </cell>
          <cell r="AR16">
            <v>3.1060969146335472E-4</v>
          </cell>
          <cell r="AS16">
            <v>3.1168958329050089E-4</v>
          </cell>
          <cell r="AT16">
            <v>3.1168958329050089E-4</v>
          </cell>
          <cell r="AU16">
            <v>3.1168958329050089E-4</v>
          </cell>
          <cell r="AV16">
            <v>3.1168958329050089E-4</v>
          </cell>
          <cell r="AW16">
            <v>3.1168958329050089E-4</v>
          </cell>
          <cell r="AX16">
            <v>3.1168958329050089E-4</v>
          </cell>
          <cell r="AY16">
            <v>3.1168958329050089E-4</v>
          </cell>
          <cell r="AZ16">
            <v>3.1168958329050089E-4</v>
          </cell>
          <cell r="BA16">
            <v>3.1168958329050089E-4</v>
          </cell>
          <cell r="BB16">
            <v>3.1168958329050089E-4</v>
          </cell>
          <cell r="BC16">
            <v>3.1168958329050089E-4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4988.420821064814" createdVersion="8" refreshedVersion="8" minRefreshableVersion="3" recordCount="1161" xr:uid="{00000000-000A-0000-FFFF-FFFF0B000000}">
  <cacheSource type="worksheet">
    <worksheetSource ref="A1:J1048576" sheet="Vehicle Sales Database"/>
  </cacheSource>
  <cacheFields count="10">
    <cacheField name="Index" numFmtId="0">
      <sharedItems containsString="0" containsBlank="1" containsNumber="1" containsInteger="1" minValue="1" maxValue="1160"/>
    </cacheField>
    <cacheField name="Year" numFmtId="0">
      <sharedItems containsString="0" containsBlank="1" containsNumber="1" containsInteger="1" minValue="2015" maxValue="2021" count="8">
        <n v="2015"/>
        <n v="2016"/>
        <n v="2017"/>
        <n v="2018"/>
        <n v="2019"/>
        <n v="2020"/>
        <n v="2021"/>
        <m/>
      </sharedItems>
    </cacheField>
    <cacheField name="FuelType" numFmtId="0">
      <sharedItems containsBlank="1"/>
    </cacheField>
    <cacheField name="Fuel Type Adjusted " numFmtId="0">
      <sharedItems containsBlank="1" count="11">
        <s v="plugin hybrid vehicle"/>
        <s v="diesel vehicle"/>
        <s v="battery electric vehicle"/>
        <s v="hybrid fuel vehicle"/>
        <s v="gasoline vehicle"/>
        <s v="natural gas vehicle"/>
        <s v="hydrogen vehicle"/>
        <s v="unknown"/>
        <s v="other fuel vehicle"/>
        <s v="LPG vehicle"/>
        <m/>
      </sharedItems>
    </cacheField>
    <cacheField name="Class" numFmtId="0">
      <sharedItems containsBlank="1"/>
    </cacheField>
    <cacheField name="UseType" numFmtId="0">
      <sharedItems containsBlank="1"/>
    </cacheField>
    <cacheField name="Class2" numFmtId="0">
      <sharedItems containsBlank="1"/>
    </cacheField>
    <cacheField name="Database Class" numFmtId="0">
      <sharedItems containsBlank="1" count="8">
        <s v="公交车"/>
        <s v="道路客车"/>
        <s v="轻型货车"/>
        <s v="出租车"/>
        <s v="中重型货车"/>
        <s v="Unknown"/>
        <s v="乘用车"/>
        <m/>
      </sharedItems>
    </cacheField>
    <cacheField name="EPS Class" numFmtId="0">
      <sharedItems containsBlank="1" count="6">
        <s v="Passenger HDV"/>
        <s v="Passenger LDV"/>
        <s v="Freight LDV"/>
        <s v="Freight HDV"/>
        <s v="Unknown"/>
        <m/>
      </sharedItems>
    </cacheField>
    <cacheField name="Sales" numFmtId="0">
      <sharedItems containsString="0" containsBlank="1" containsNumber="1" containsInteger="1" minValue="1" maxValue="237694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1">
  <r>
    <n v="1"/>
    <x v="0"/>
    <s v="插电式混合动力"/>
    <x v="0"/>
    <s v="大型客车"/>
    <s v="城市公交"/>
    <s v="商用车"/>
    <x v="0"/>
    <x v="0"/>
    <n v="16295"/>
  </r>
  <r>
    <n v="2"/>
    <x v="1"/>
    <s v="插电式混合动力"/>
    <x v="0"/>
    <s v="大型客车"/>
    <s v="城市公交"/>
    <s v="商用车"/>
    <x v="0"/>
    <x v="0"/>
    <n v="4474"/>
  </r>
  <r>
    <n v="3"/>
    <x v="2"/>
    <s v="插电式混合动力"/>
    <x v="0"/>
    <s v="大型客车"/>
    <s v="城市公交"/>
    <s v="商用车"/>
    <x v="0"/>
    <x v="0"/>
    <n v="12043"/>
  </r>
  <r>
    <n v="4"/>
    <x v="3"/>
    <s v="插电式混合动力"/>
    <x v="0"/>
    <s v="大型客车"/>
    <s v="城市公交"/>
    <s v="商用车"/>
    <x v="0"/>
    <x v="0"/>
    <n v="5764"/>
  </r>
  <r>
    <n v="5"/>
    <x v="4"/>
    <s v="插电式混合动力"/>
    <x v="0"/>
    <s v="大型客车"/>
    <s v="城市公交"/>
    <s v="商用车"/>
    <x v="0"/>
    <x v="0"/>
    <n v="4294"/>
  </r>
  <r>
    <n v="6"/>
    <x v="5"/>
    <s v="插电式混合动力"/>
    <x v="0"/>
    <s v="大型客车"/>
    <s v="城市公交"/>
    <s v="商用车"/>
    <x v="0"/>
    <x v="0"/>
    <n v="5040"/>
  </r>
  <r>
    <n v="7"/>
    <x v="6"/>
    <s v="插电式混合动力"/>
    <x v="0"/>
    <s v="大型客车"/>
    <s v="城市公交"/>
    <s v="商用车"/>
    <x v="0"/>
    <x v="0"/>
    <n v="1224"/>
  </r>
  <r>
    <n v="8"/>
    <x v="0"/>
    <s v="柴油"/>
    <x v="1"/>
    <s v="大型客车"/>
    <s v="城市公交"/>
    <s v="商用车"/>
    <x v="0"/>
    <x v="0"/>
    <n v="21733"/>
  </r>
  <r>
    <n v="9"/>
    <x v="1"/>
    <s v="柴油"/>
    <x v="1"/>
    <s v="大型客车"/>
    <s v="城市公交"/>
    <s v="商用车"/>
    <x v="0"/>
    <x v="0"/>
    <n v="7308"/>
  </r>
  <r>
    <n v="10"/>
    <x v="2"/>
    <s v="柴油"/>
    <x v="1"/>
    <s v="大型客车"/>
    <s v="城市公交"/>
    <s v="商用车"/>
    <x v="0"/>
    <x v="0"/>
    <n v="4681"/>
  </r>
  <r>
    <n v="11"/>
    <x v="3"/>
    <s v="柴油"/>
    <x v="1"/>
    <s v="大型客车"/>
    <s v="城市公交"/>
    <s v="商用车"/>
    <x v="0"/>
    <x v="0"/>
    <n v="2329"/>
  </r>
  <r>
    <n v="12"/>
    <x v="4"/>
    <s v="柴油"/>
    <x v="1"/>
    <s v="大型客车"/>
    <s v="城市公交"/>
    <s v="商用车"/>
    <x v="0"/>
    <x v="0"/>
    <n v="1012"/>
  </r>
  <r>
    <n v="13"/>
    <x v="5"/>
    <s v="柴油"/>
    <x v="1"/>
    <s v="大型客车"/>
    <s v="城市公交"/>
    <s v="商用车"/>
    <x v="0"/>
    <x v="0"/>
    <n v="662"/>
  </r>
  <r>
    <n v="14"/>
    <x v="6"/>
    <s v="柴油"/>
    <x v="1"/>
    <s v="大型客车"/>
    <s v="城市公交"/>
    <s v="商用车"/>
    <x v="0"/>
    <x v="0"/>
    <n v="377"/>
  </r>
  <r>
    <n v="15"/>
    <x v="0"/>
    <s v="纯电动"/>
    <x v="2"/>
    <s v="大型客车"/>
    <s v="城市公交"/>
    <s v="商用车"/>
    <x v="0"/>
    <x v="0"/>
    <n v="44539"/>
  </r>
  <r>
    <n v="16"/>
    <x v="1"/>
    <s v="纯电动"/>
    <x v="2"/>
    <s v="大型客车"/>
    <s v="城市公交"/>
    <s v="商用车"/>
    <x v="0"/>
    <x v="0"/>
    <n v="60979"/>
  </r>
  <r>
    <n v="17"/>
    <x v="2"/>
    <s v="纯电动"/>
    <x v="2"/>
    <s v="大型客车"/>
    <s v="城市公交"/>
    <s v="商用车"/>
    <x v="0"/>
    <x v="0"/>
    <n v="56938"/>
  </r>
  <r>
    <n v="18"/>
    <x v="3"/>
    <s v="纯电动"/>
    <x v="2"/>
    <s v="大型客车"/>
    <s v="城市公交"/>
    <s v="商用车"/>
    <x v="0"/>
    <x v="0"/>
    <n v="79727"/>
  </r>
  <r>
    <n v="19"/>
    <x v="4"/>
    <s v="纯电动"/>
    <x v="2"/>
    <s v="大型客车"/>
    <s v="城市公交"/>
    <s v="商用车"/>
    <x v="0"/>
    <x v="0"/>
    <n v="67030"/>
  </r>
  <r>
    <n v="20"/>
    <x v="5"/>
    <s v="纯电动"/>
    <x v="2"/>
    <s v="大型客车"/>
    <s v="城市公交"/>
    <s v="商用车"/>
    <x v="0"/>
    <x v="0"/>
    <n v="51600"/>
  </r>
  <r>
    <n v="21"/>
    <x v="6"/>
    <s v="纯电动"/>
    <x v="2"/>
    <s v="大型客车"/>
    <s v="城市公交"/>
    <s v="商用车"/>
    <x v="0"/>
    <x v="0"/>
    <n v="39634"/>
  </r>
  <r>
    <n v="22"/>
    <x v="0"/>
    <s v="混合动力"/>
    <x v="3"/>
    <s v="大型客车"/>
    <s v="城市公交"/>
    <s v="商用车"/>
    <x v="0"/>
    <x v="0"/>
    <n v="7940"/>
  </r>
  <r>
    <n v="23"/>
    <x v="1"/>
    <s v="混合动力"/>
    <x v="3"/>
    <s v="大型客车"/>
    <s v="城市公交"/>
    <s v="商用车"/>
    <x v="0"/>
    <x v="0"/>
    <n v="12742"/>
  </r>
  <r>
    <n v="24"/>
    <x v="2"/>
    <s v="混合动力"/>
    <x v="3"/>
    <s v="大型客车"/>
    <s v="城市公交"/>
    <s v="商用车"/>
    <x v="0"/>
    <x v="0"/>
    <n v="2171"/>
  </r>
  <r>
    <n v="25"/>
    <x v="3"/>
    <s v="混合动力"/>
    <x v="3"/>
    <s v="大型客车"/>
    <s v="城市公交"/>
    <s v="商用车"/>
    <x v="0"/>
    <x v="0"/>
    <n v="228"/>
  </r>
  <r>
    <n v="26"/>
    <x v="4"/>
    <s v="混合动力"/>
    <x v="3"/>
    <s v="大型客车"/>
    <s v="城市公交"/>
    <s v="商用车"/>
    <x v="0"/>
    <x v="0"/>
    <n v="3"/>
  </r>
  <r>
    <n v="27"/>
    <x v="6"/>
    <s v="混合动力"/>
    <x v="3"/>
    <s v="大型客车"/>
    <s v="城市公交"/>
    <s v="商用车"/>
    <x v="0"/>
    <x v="0"/>
    <n v="2"/>
  </r>
  <r>
    <n v="28"/>
    <x v="0"/>
    <s v="汽油"/>
    <x v="4"/>
    <s v="大型客车"/>
    <s v="城市公交"/>
    <s v="商用车"/>
    <x v="0"/>
    <x v="0"/>
    <n v="3"/>
  </r>
  <r>
    <n v="29"/>
    <x v="1"/>
    <s v="汽油"/>
    <x v="4"/>
    <s v="大型客车"/>
    <s v="城市公交"/>
    <s v="商用车"/>
    <x v="0"/>
    <x v="0"/>
    <n v="5"/>
  </r>
  <r>
    <n v="30"/>
    <x v="2"/>
    <s v="汽油"/>
    <x v="4"/>
    <s v="大型客车"/>
    <s v="城市公交"/>
    <s v="商用车"/>
    <x v="0"/>
    <x v="0"/>
    <n v="20"/>
  </r>
  <r>
    <n v="31"/>
    <x v="3"/>
    <s v="汽油"/>
    <x v="4"/>
    <s v="大型客车"/>
    <s v="城市公交"/>
    <s v="商用车"/>
    <x v="0"/>
    <x v="0"/>
    <n v="4"/>
  </r>
  <r>
    <n v="32"/>
    <x v="4"/>
    <s v="汽油"/>
    <x v="4"/>
    <s v="大型客车"/>
    <s v="城市公交"/>
    <s v="商用车"/>
    <x v="0"/>
    <x v="0"/>
    <n v="2"/>
  </r>
  <r>
    <n v="33"/>
    <x v="5"/>
    <s v="汽油"/>
    <x v="4"/>
    <s v="大型客车"/>
    <s v="城市公交"/>
    <s v="商用车"/>
    <x v="0"/>
    <x v="0"/>
    <n v="35"/>
  </r>
  <r>
    <n v="34"/>
    <x v="6"/>
    <s v="汽油"/>
    <x v="4"/>
    <s v="大型客车"/>
    <s v="城市公交"/>
    <s v="商用车"/>
    <x v="0"/>
    <x v="0"/>
    <n v="17"/>
  </r>
  <r>
    <n v="35"/>
    <x v="2"/>
    <s v="汽油-天然气"/>
    <x v="5"/>
    <s v="大型客车"/>
    <s v="城市公交"/>
    <s v="商用车"/>
    <x v="0"/>
    <x v="0"/>
    <n v="20"/>
  </r>
  <r>
    <n v="36"/>
    <x v="1"/>
    <s v="燃料电池"/>
    <x v="6"/>
    <s v="大型客车"/>
    <s v="城市公交"/>
    <s v="商用车"/>
    <x v="0"/>
    <x v="0"/>
    <n v="24"/>
  </r>
  <r>
    <n v="37"/>
    <x v="2"/>
    <s v="燃料电池"/>
    <x v="6"/>
    <s v="大型客车"/>
    <s v="城市公交"/>
    <s v="商用车"/>
    <x v="0"/>
    <x v="0"/>
    <n v="3"/>
  </r>
  <r>
    <n v="38"/>
    <x v="3"/>
    <s v="燃料电池"/>
    <x v="6"/>
    <s v="大型客车"/>
    <s v="城市公交"/>
    <s v="商用车"/>
    <x v="0"/>
    <x v="0"/>
    <n v="305"/>
  </r>
  <r>
    <n v="39"/>
    <x v="4"/>
    <s v="燃料电池"/>
    <x v="6"/>
    <s v="大型客车"/>
    <s v="城市公交"/>
    <s v="商用车"/>
    <x v="0"/>
    <x v="0"/>
    <n v="740"/>
  </r>
  <r>
    <n v="40"/>
    <x v="5"/>
    <s v="燃料电池"/>
    <x v="6"/>
    <s v="大型客车"/>
    <s v="城市公交"/>
    <s v="商用车"/>
    <x v="0"/>
    <x v="0"/>
    <n v="1339"/>
  </r>
  <r>
    <n v="41"/>
    <x v="6"/>
    <s v="燃料电池"/>
    <x v="6"/>
    <s v="大型客车"/>
    <s v="城市公交"/>
    <s v="商用车"/>
    <x v="0"/>
    <x v="0"/>
    <n v="808"/>
  </r>
  <r>
    <n v="42"/>
    <x v="0"/>
    <s v="天然气"/>
    <x v="5"/>
    <s v="大型客车"/>
    <s v="城市公交"/>
    <s v="商用车"/>
    <x v="0"/>
    <x v="0"/>
    <n v="19202"/>
  </r>
  <r>
    <n v="43"/>
    <x v="1"/>
    <s v="天然气"/>
    <x v="5"/>
    <s v="大型客车"/>
    <s v="城市公交"/>
    <s v="商用车"/>
    <x v="0"/>
    <x v="0"/>
    <n v="7957"/>
  </r>
  <r>
    <n v="44"/>
    <x v="2"/>
    <s v="天然气"/>
    <x v="5"/>
    <s v="大型客车"/>
    <s v="城市公交"/>
    <s v="商用车"/>
    <x v="0"/>
    <x v="0"/>
    <n v="5956"/>
  </r>
  <r>
    <n v="45"/>
    <x v="3"/>
    <s v="天然气"/>
    <x v="5"/>
    <s v="大型客车"/>
    <s v="城市公交"/>
    <s v="商用车"/>
    <x v="0"/>
    <x v="0"/>
    <n v="2470"/>
  </r>
  <r>
    <n v="46"/>
    <x v="4"/>
    <s v="天然气"/>
    <x v="5"/>
    <s v="大型客车"/>
    <s v="城市公交"/>
    <s v="商用车"/>
    <x v="0"/>
    <x v="0"/>
    <n v="1088"/>
  </r>
  <r>
    <n v="47"/>
    <x v="5"/>
    <s v="天然气"/>
    <x v="5"/>
    <s v="大型客车"/>
    <s v="城市公交"/>
    <s v="商用车"/>
    <x v="0"/>
    <x v="0"/>
    <n v="416"/>
  </r>
  <r>
    <n v="48"/>
    <x v="6"/>
    <s v="天然气"/>
    <x v="5"/>
    <s v="大型客车"/>
    <s v="城市公交"/>
    <s v="商用车"/>
    <x v="0"/>
    <x v="0"/>
    <n v="110"/>
  </r>
  <r>
    <n v="49"/>
    <x v="0"/>
    <s v="柴油"/>
    <x v="1"/>
    <s v="未知"/>
    <s v="城市公交"/>
    <s v="商用车"/>
    <x v="0"/>
    <x v="0"/>
    <n v="13"/>
  </r>
  <r>
    <n v="50"/>
    <x v="0"/>
    <s v="纯电动"/>
    <x v="2"/>
    <s v="未知"/>
    <s v="城市公交"/>
    <s v="商用车"/>
    <x v="0"/>
    <x v="0"/>
    <n v="150"/>
  </r>
  <r>
    <n v="51"/>
    <x v="0"/>
    <s v="汽油"/>
    <x v="4"/>
    <s v="未知"/>
    <s v="城市公交"/>
    <s v="商用车"/>
    <x v="0"/>
    <x v="0"/>
    <n v="410"/>
  </r>
  <r>
    <n v="52"/>
    <x v="0"/>
    <s v="汽油-天然气"/>
    <x v="5"/>
    <s v="未知"/>
    <s v="城市公交"/>
    <s v="商用车"/>
    <x v="0"/>
    <x v="0"/>
    <n v="57"/>
  </r>
  <r>
    <n v="53"/>
    <x v="0"/>
    <s v="柴油"/>
    <x v="1"/>
    <s v="小型客车"/>
    <s v="城市公交"/>
    <s v="商用车"/>
    <x v="0"/>
    <x v="1"/>
    <n v="1"/>
  </r>
  <r>
    <n v="54"/>
    <x v="1"/>
    <s v="柴油"/>
    <x v="1"/>
    <s v="小型客车"/>
    <s v="城市公交"/>
    <s v="商用车"/>
    <x v="0"/>
    <x v="1"/>
    <n v="17"/>
  </r>
  <r>
    <n v="55"/>
    <x v="2"/>
    <s v="柴油"/>
    <x v="1"/>
    <s v="小型客车"/>
    <s v="城市公交"/>
    <s v="商用车"/>
    <x v="0"/>
    <x v="1"/>
    <n v="79"/>
  </r>
  <r>
    <n v="56"/>
    <x v="3"/>
    <s v="柴油"/>
    <x v="1"/>
    <s v="小型客车"/>
    <s v="城市公交"/>
    <s v="商用车"/>
    <x v="0"/>
    <x v="1"/>
    <n v="579"/>
  </r>
  <r>
    <n v="57"/>
    <x v="4"/>
    <s v="柴油"/>
    <x v="1"/>
    <s v="小型客车"/>
    <s v="城市公交"/>
    <s v="商用车"/>
    <x v="0"/>
    <x v="1"/>
    <n v="4"/>
  </r>
  <r>
    <n v="58"/>
    <x v="5"/>
    <s v="柴油"/>
    <x v="1"/>
    <s v="小型客车"/>
    <s v="城市公交"/>
    <s v="商用车"/>
    <x v="0"/>
    <x v="1"/>
    <n v="310"/>
  </r>
  <r>
    <n v="59"/>
    <x v="6"/>
    <s v="柴油"/>
    <x v="1"/>
    <s v="小型客车"/>
    <s v="城市公交"/>
    <s v="商用车"/>
    <x v="0"/>
    <x v="1"/>
    <n v="16"/>
  </r>
  <r>
    <n v="60"/>
    <x v="4"/>
    <s v="纯电动"/>
    <x v="2"/>
    <s v="小型客车"/>
    <s v="城市公交"/>
    <s v="商用车"/>
    <x v="0"/>
    <x v="1"/>
    <n v="13"/>
  </r>
  <r>
    <n v="61"/>
    <x v="5"/>
    <s v="纯电动"/>
    <x v="2"/>
    <s v="小型客车"/>
    <s v="城市公交"/>
    <s v="商用车"/>
    <x v="0"/>
    <x v="1"/>
    <n v="595"/>
  </r>
  <r>
    <n v="62"/>
    <x v="6"/>
    <s v="纯电动"/>
    <x v="2"/>
    <s v="小型客车"/>
    <s v="城市公交"/>
    <s v="商用车"/>
    <x v="0"/>
    <x v="1"/>
    <n v="9"/>
  </r>
  <r>
    <n v="63"/>
    <x v="1"/>
    <s v="汽油"/>
    <x v="4"/>
    <s v="小型客车"/>
    <s v="城市公交"/>
    <s v="商用车"/>
    <x v="0"/>
    <x v="1"/>
    <n v="203"/>
  </r>
  <r>
    <n v="64"/>
    <x v="2"/>
    <s v="汽油"/>
    <x v="4"/>
    <s v="小型客车"/>
    <s v="城市公交"/>
    <s v="商用车"/>
    <x v="0"/>
    <x v="1"/>
    <n v="46"/>
  </r>
  <r>
    <n v="65"/>
    <x v="3"/>
    <s v="汽油"/>
    <x v="4"/>
    <s v="小型客车"/>
    <s v="城市公交"/>
    <s v="商用车"/>
    <x v="0"/>
    <x v="1"/>
    <n v="176"/>
  </r>
  <r>
    <n v="66"/>
    <x v="4"/>
    <s v="汽油"/>
    <x v="4"/>
    <s v="小型客车"/>
    <s v="城市公交"/>
    <s v="商用车"/>
    <x v="0"/>
    <x v="1"/>
    <n v="92"/>
  </r>
  <r>
    <n v="67"/>
    <x v="5"/>
    <s v="汽油"/>
    <x v="4"/>
    <s v="小型客车"/>
    <s v="城市公交"/>
    <s v="商用车"/>
    <x v="0"/>
    <x v="1"/>
    <n v="106"/>
  </r>
  <r>
    <n v="68"/>
    <x v="6"/>
    <s v="汽油"/>
    <x v="4"/>
    <s v="小型客车"/>
    <s v="城市公交"/>
    <s v="商用车"/>
    <x v="0"/>
    <x v="1"/>
    <n v="34"/>
  </r>
  <r>
    <n v="69"/>
    <x v="1"/>
    <s v="汽油-天然气"/>
    <x v="5"/>
    <s v="小型客车"/>
    <s v="城市公交"/>
    <s v="商用车"/>
    <x v="0"/>
    <x v="1"/>
    <n v="88"/>
  </r>
  <r>
    <n v="70"/>
    <x v="2"/>
    <s v="汽油-天然气"/>
    <x v="5"/>
    <s v="小型客车"/>
    <s v="城市公交"/>
    <s v="商用车"/>
    <x v="0"/>
    <x v="1"/>
    <n v="11"/>
  </r>
  <r>
    <n v="71"/>
    <x v="3"/>
    <s v="汽油-天然气"/>
    <x v="5"/>
    <s v="小型客车"/>
    <s v="城市公交"/>
    <s v="商用车"/>
    <x v="0"/>
    <x v="1"/>
    <n v="60"/>
  </r>
  <r>
    <n v="72"/>
    <x v="4"/>
    <s v="汽油-天然气"/>
    <x v="5"/>
    <s v="小型客车"/>
    <s v="城市公交"/>
    <s v="商用车"/>
    <x v="0"/>
    <x v="1"/>
    <n v="129"/>
  </r>
  <r>
    <n v="73"/>
    <x v="5"/>
    <s v="汽油-天然气"/>
    <x v="5"/>
    <s v="小型客车"/>
    <s v="城市公交"/>
    <s v="商用车"/>
    <x v="0"/>
    <x v="1"/>
    <n v="82"/>
  </r>
  <r>
    <n v="74"/>
    <x v="1"/>
    <s v="天然气"/>
    <x v="5"/>
    <s v="小型客车"/>
    <s v="城市公交"/>
    <s v="商用车"/>
    <x v="0"/>
    <x v="1"/>
    <n v="5"/>
  </r>
  <r>
    <n v="75"/>
    <x v="2"/>
    <s v="天然气"/>
    <x v="5"/>
    <s v="小型客车"/>
    <s v="城市公交"/>
    <s v="商用车"/>
    <x v="0"/>
    <x v="1"/>
    <n v="256"/>
  </r>
  <r>
    <n v="76"/>
    <x v="3"/>
    <s v="天然气"/>
    <x v="5"/>
    <s v="小型客车"/>
    <s v="城市公交"/>
    <s v="商用车"/>
    <x v="0"/>
    <x v="1"/>
    <n v="115"/>
  </r>
  <r>
    <n v="77"/>
    <x v="4"/>
    <s v="天然气"/>
    <x v="5"/>
    <s v="小型客车"/>
    <s v="城市公交"/>
    <s v="商用车"/>
    <x v="0"/>
    <x v="1"/>
    <n v="40"/>
  </r>
  <r>
    <n v="78"/>
    <x v="5"/>
    <s v="天然气"/>
    <x v="5"/>
    <s v="小型客车"/>
    <s v="城市公交"/>
    <s v="商用车"/>
    <x v="0"/>
    <x v="1"/>
    <n v="1"/>
  </r>
  <r>
    <n v="79"/>
    <x v="2"/>
    <s v="柴油"/>
    <x v="1"/>
    <s v="中型货车"/>
    <s v="城市公交"/>
    <s v="商用车"/>
    <x v="0"/>
    <x v="0"/>
    <n v="51"/>
  </r>
  <r>
    <n v="80"/>
    <x v="0"/>
    <s v="纯电动"/>
    <x v="2"/>
    <s v="中型货车"/>
    <s v="城市公交"/>
    <s v="商用车"/>
    <x v="0"/>
    <x v="0"/>
    <n v="2"/>
  </r>
  <r>
    <n v="81"/>
    <x v="2"/>
    <s v="纯电动"/>
    <x v="2"/>
    <s v="中型货车"/>
    <s v="城市公交"/>
    <s v="商用车"/>
    <x v="0"/>
    <x v="0"/>
    <n v="83"/>
  </r>
  <r>
    <n v="82"/>
    <x v="2"/>
    <s v="天然气"/>
    <x v="5"/>
    <s v="中型货车"/>
    <s v="城市公交"/>
    <s v="商用车"/>
    <x v="0"/>
    <x v="0"/>
    <n v="137"/>
  </r>
  <r>
    <n v="83"/>
    <x v="0"/>
    <s v="柴油"/>
    <x v="1"/>
    <s v="中型客车"/>
    <s v="城市公交"/>
    <s v="商用车"/>
    <x v="0"/>
    <x v="0"/>
    <n v="14322"/>
  </r>
  <r>
    <n v="84"/>
    <x v="1"/>
    <s v="柴油"/>
    <x v="1"/>
    <s v="中型客车"/>
    <s v="城市公交"/>
    <s v="商用车"/>
    <x v="0"/>
    <x v="0"/>
    <n v="2173"/>
  </r>
  <r>
    <n v="85"/>
    <x v="2"/>
    <s v="柴油"/>
    <x v="1"/>
    <s v="中型客车"/>
    <s v="城市公交"/>
    <s v="商用车"/>
    <x v="0"/>
    <x v="0"/>
    <n v="1873"/>
  </r>
  <r>
    <n v="86"/>
    <x v="3"/>
    <s v="柴油"/>
    <x v="1"/>
    <s v="中型客车"/>
    <s v="城市公交"/>
    <s v="商用车"/>
    <x v="0"/>
    <x v="0"/>
    <n v="879"/>
  </r>
  <r>
    <n v="87"/>
    <x v="4"/>
    <s v="柴油"/>
    <x v="1"/>
    <s v="中型客车"/>
    <s v="城市公交"/>
    <s v="商用车"/>
    <x v="0"/>
    <x v="0"/>
    <n v="867"/>
  </r>
  <r>
    <n v="88"/>
    <x v="5"/>
    <s v="柴油"/>
    <x v="1"/>
    <s v="中型客车"/>
    <s v="城市公交"/>
    <s v="商用车"/>
    <x v="0"/>
    <x v="0"/>
    <n v="130"/>
  </r>
  <r>
    <n v="89"/>
    <x v="6"/>
    <s v="柴油"/>
    <x v="1"/>
    <s v="中型客车"/>
    <s v="城市公交"/>
    <s v="商用车"/>
    <x v="0"/>
    <x v="0"/>
    <n v="146"/>
  </r>
  <r>
    <n v="90"/>
    <x v="3"/>
    <s v="纯电动"/>
    <x v="2"/>
    <s v="中型客车"/>
    <s v="城市公交"/>
    <s v="商用车"/>
    <x v="0"/>
    <x v="0"/>
    <n v="62"/>
  </r>
  <r>
    <n v="91"/>
    <x v="4"/>
    <s v="纯电动"/>
    <x v="2"/>
    <s v="中型客车"/>
    <s v="城市公交"/>
    <s v="商用车"/>
    <x v="0"/>
    <x v="0"/>
    <n v="1105"/>
  </r>
  <r>
    <n v="92"/>
    <x v="5"/>
    <s v="纯电动"/>
    <x v="2"/>
    <s v="中型客车"/>
    <s v="城市公交"/>
    <s v="商用车"/>
    <x v="0"/>
    <x v="0"/>
    <n v="1093"/>
  </r>
  <r>
    <n v="93"/>
    <x v="6"/>
    <s v="纯电动"/>
    <x v="2"/>
    <s v="中型客车"/>
    <s v="城市公交"/>
    <s v="商用车"/>
    <x v="0"/>
    <x v="0"/>
    <n v="1474"/>
  </r>
  <r>
    <n v="94"/>
    <x v="0"/>
    <s v="汽油"/>
    <x v="4"/>
    <s v="中型客车"/>
    <s v="城市公交"/>
    <s v="商用车"/>
    <x v="0"/>
    <x v="0"/>
    <n v="3092"/>
  </r>
  <r>
    <n v="95"/>
    <x v="1"/>
    <s v="汽油"/>
    <x v="4"/>
    <s v="中型客车"/>
    <s v="城市公交"/>
    <s v="商用车"/>
    <x v="0"/>
    <x v="0"/>
    <n v="39"/>
  </r>
  <r>
    <n v="96"/>
    <x v="2"/>
    <s v="汽油"/>
    <x v="4"/>
    <s v="中型客车"/>
    <s v="城市公交"/>
    <s v="商用车"/>
    <x v="0"/>
    <x v="0"/>
    <n v="73"/>
  </r>
  <r>
    <n v="97"/>
    <x v="3"/>
    <s v="汽油"/>
    <x v="4"/>
    <s v="中型客车"/>
    <s v="城市公交"/>
    <s v="商用车"/>
    <x v="0"/>
    <x v="0"/>
    <n v="31"/>
  </r>
  <r>
    <n v="98"/>
    <x v="4"/>
    <s v="汽油"/>
    <x v="4"/>
    <s v="中型客车"/>
    <s v="城市公交"/>
    <s v="商用车"/>
    <x v="0"/>
    <x v="0"/>
    <n v="145"/>
  </r>
  <r>
    <n v="99"/>
    <x v="5"/>
    <s v="汽油"/>
    <x v="4"/>
    <s v="中型客车"/>
    <s v="城市公交"/>
    <s v="商用车"/>
    <x v="0"/>
    <x v="0"/>
    <n v="37"/>
  </r>
  <r>
    <n v="100"/>
    <x v="6"/>
    <s v="汽油"/>
    <x v="4"/>
    <s v="中型客车"/>
    <s v="城市公交"/>
    <s v="商用车"/>
    <x v="0"/>
    <x v="0"/>
    <n v="45"/>
  </r>
  <r>
    <n v="101"/>
    <x v="0"/>
    <s v="汽油-天然气"/>
    <x v="5"/>
    <s v="中型客车"/>
    <s v="城市公交"/>
    <s v="商用车"/>
    <x v="0"/>
    <x v="0"/>
    <n v="309"/>
  </r>
  <r>
    <n v="102"/>
    <x v="1"/>
    <s v="汽油-天然气"/>
    <x v="5"/>
    <s v="中型客车"/>
    <s v="城市公交"/>
    <s v="商用车"/>
    <x v="0"/>
    <x v="0"/>
    <n v="29"/>
  </r>
  <r>
    <n v="103"/>
    <x v="2"/>
    <s v="汽油-天然气"/>
    <x v="5"/>
    <s v="中型客车"/>
    <s v="城市公交"/>
    <s v="商用车"/>
    <x v="0"/>
    <x v="0"/>
    <n v="46"/>
  </r>
  <r>
    <n v="104"/>
    <x v="5"/>
    <s v="汽油-天然气"/>
    <x v="5"/>
    <s v="中型客车"/>
    <s v="城市公交"/>
    <s v="商用车"/>
    <x v="0"/>
    <x v="0"/>
    <n v="15"/>
  </r>
  <r>
    <n v="105"/>
    <x v="0"/>
    <s v="天然气"/>
    <x v="5"/>
    <s v="中型客车"/>
    <s v="城市公交"/>
    <s v="商用车"/>
    <x v="0"/>
    <x v="0"/>
    <n v="1141"/>
  </r>
  <r>
    <n v="106"/>
    <x v="1"/>
    <s v="天然气"/>
    <x v="5"/>
    <s v="中型客车"/>
    <s v="城市公交"/>
    <s v="商用车"/>
    <x v="0"/>
    <x v="0"/>
    <n v="804"/>
  </r>
  <r>
    <n v="107"/>
    <x v="2"/>
    <s v="天然气"/>
    <x v="5"/>
    <s v="中型客车"/>
    <s v="城市公交"/>
    <s v="商用车"/>
    <x v="0"/>
    <x v="0"/>
    <n v="397"/>
  </r>
  <r>
    <n v="108"/>
    <x v="3"/>
    <s v="天然气"/>
    <x v="5"/>
    <s v="中型客车"/>
    <s v="城市公交"/>
    <s v="商用车"/>
    <x v="0"/>
    <x v="0"/>
    <n v="45"/>
  </r>
  <r>
    <n v="109"/>
    <x v="4"/>
    <s v="天然气"/>
    <x v="5"/>
    <s v="中型客车"/>
    <s v="城市公交"/>
    <s v="商用车"/>
    <x v="0"/>
    <x v="0"/>
    <n v="55"/>
  </r>
  <r>
    <n v="110"/>
    <x v="2"/>
    <s v="插电式混合动力"/>
    <x v="0"/>
    <s v="重型货车"/>
    <s v="城市公交"/>
    <s v="商用车"/>
    <x v="0"/>
    <x v="0"/>
    <n v="52"/>
  </r>
  <r>
    <n v="111"/>
    <x v="2"/>
    <s v="柴油"/>
    <x v="1"/>
    <s v="重型货车"/>
    <s v="城市公交"/>
    <s v="商用车"/>
    <x v="0"/>
    <x v="0"/>
    <n v="1"/>
  </r>
  <r>
    <n v="112"/>
    <x v="2"/>
    <s v="纯电动"/>
    <x v="2"/>
    <s v="重型货车"/>
    <s v="城市公交"/>
    <s v="商用车"/>
    <x v="0"/>
    <x v="0"/>
    <n v="1174"/>
  </r>
  <r>
    <n v="113"/>
    <x v="2"/>
    <s v="混合动力"/>
    <x v="3"/>
    <s v="重型货车"/>
    <s v="城市公交"/>
    <s v="商用车"/>
    <x v="0"/>
    <x v="0"/>
    <n v="120"/>
  </r>
  <r>
    <n v="114"/>
    <x v="2"/>
    <s v="天然气"/>
    <x v="5"/>
    <s v="重型货车"/>
    <s v="城市公交"/>
    <s v="商用车"/>
    <x v="0"/>
    <x v="0"/>
    <n v="340"/>
  </r>
  <r>
    <n v="115"/>
    <x v="0"/>
    <s v="插电式混合动力"/>
    <x v="0"/>
    <s v="大型客车"/>
    <s v="出租租赁"/>
    <s v="商用车"/>
    <x v="1"/>
    <x v="0"/>
    <n v="31"/>
  </r>
  <r>
    <n v="116"/>
    <x v="1"/>
    <s v="插电式混合动力"/>
    <x v="0"/>
    <s v="大型客车"/>
    <s v="出租租赁"/>
    <s v="商用车"/>
    <x v="1"/>
    <x v="0"/>
    <n v="15"/>
  </r>
  <r>
    <n v="117"/>
    <x v="5"/>
    <s v="插电式混合动力"/>
    <x v="0"/>
    <s v="大型客车"/>
    <s v="出租租赁"/>
    <s v="商用车"/>
    <x v="1"/>
    <x v="0"/>
    <n v="1"/>
  </r>
  <r>
    <n v="118"/>
    <x v="0"/>
    <s v="柴油"/>
    <x v="1"/>
    <s v="大型客车"/>
    <s v="出租租赁"/>
    <s v="商用车"/>
    <x v="1"/>
    <x v="0"/>
    <n v="790"/>
  </r>
  <r>
    <n v="119"/>
    <x v="1"/>
    <s v="柴油"/>
    <x v="1"/>
    <s v="大型客车"/>
    <s v="出租租赁"/>
    <s v="商用车"/>
    <x v="1"/>
    <x v="0"/>
    <n v="1034"/>
  </r>
  <r>
    <n v="120"/>
    <x v="2"/>
    <s v="柴油"/>
    <x v="1"/>
    <s v="大型客车"/>
    <s v="出租租赁"/>
    <s v="商用车"/>
    <x v="1"/>
    <x v="0"/>
    <n v="1483"/>
  </r>
  <r>
    <n v="121"/>
    <x v="3"/>
    <s v="柴油"/>
    <x v="1"/>
    <s v="大型客车"/>
    <s v="出租租赁"/>
    <s v="商用车"/>
    <x v="1"/>
    <x v="0"/>
    <n v="621"/>
  </r>
  <r>
    <n v="122"/>
    <x v="4"/>
    <s v="柴油"/>
    <x v="1"/>
    <s v="大型客车"/>
    <s v="出租租赁"/>
    <s v="商用车"/>
    <x v="1"/>
    <x v="0"/>
    <n v="544"/>
  </r>
  <r>
    <n v="123"/>
    <x v="5"/>
    <s v="柴油"/>
    <x v="1"/>
    <s v="大型客车"/>
    <s v="出租租赁"/>
    <s v="商用车"/>
    <x v="1"/>
    <x v="0"/>
    <n v="228"/>
  </r>
  <r>
    <n v="124"/>
    <x v="6"/>
    <s v="柴油"/>
    <x v="1"/>
    <s v="大型客车"/>
    <s v="出租租赁"/>
    <s v="商用车"/>
    <x v="1"/>
    <x v="0"/>
    <n v="216"/>
  </r>
  <r>
    <n v="125"/>
    <x v="0"/>
    <s v="纯电动"/>
    <x v="2"/>
    <s v="大型客车"/>
    <s v="出租租赁"/>
    <s v="商用车"/>
    <x v="1"/>
    <x v="0"/>
    <n v="4611"/>
  </r>
  <r>
    <n v="126"/>
    <x v="1"/>
    <s v="纯电动"/>
    <x v="2"/>
    <s v="大型客车"/>
    <s v="出租租赁"/>
    <s v="商用车"/>
    <x v="1"/>
    <x v="0"/>
    <n v="2577"/>
  </r>
  <r>
    <n v="127"/>
    <x v="2"/>
    <s v="纯电动"/>
    <x v="2"/>
    <s v="大型客车"/>
    <s v="出租租赁"/>
    <s v="商用车"/>
    <x v="1"/>
    <x v="0"/>
    <n v="445"/>
  </r>
  <r>
    <n v="128"/>
    <x v="3"/>
    <s v="纯电动"/>
    <x v="2"/>
    <s v="大型客车"/>
    <s v="出租租赁"/>
    <s v="商用车"/>
    <x v="1"/>
    <x v="0"/>
    <n v="199"/>
  </r>
  <r>
    <n v="129"/>
    <x v="4"/>
    <s v="纯电动"/>
    <x v="2"/>
    <s v="大型客车"/>
    <s v="出租租赁"/>
    <s v="商用车"/>
    <x v="1"/>
    <x v="0"/>
    <n v="78"/>
  </r>
  <r>
    <n v="130"/>
    <x v="5"/>
    <s v="纯电动"/>
    <x v="2"/>
    <s v="大型客车"/>
    <s v="出租租赁"/>
    <s v="商用车"/>
    <x v="1"/>
    <x v="0"/>
    <n v="45"/>
  </r>
  <r>
    <n v="131"/>
    <x v="6"/>
    <s v="纯电动"/>
    <x v="2"/>
    <s v="大型客车"/>
    <s v="出租租赁"/>
    <s v="商用车"/>
    <x v="1"/>
    <x v="0"/>
    <n v="87"/>
  </r>
  <r>
    <n v="132"/>
    <x v="0"/>
    <s v="汽油"/>
    <x v="4"/>
    <s v="大型客车"/>
    <s v="出租租赁"/>
    <s v="商用车"/>
    <x v="1"/>
    <x v="0"/>
    <n v="37"/>
  </r>
  <r>
    <n v="133"/>
    <x v="1"/>
    <s v="汽油"/>
    <x v="4"/>
    <s v="大型客车"/>
    <s v="出租租赁"/>
    <s v="商用车"/>
    <x v="1"/>
    <x v="0"/>
    <n v="121"/>
  </r>
  <r>
    <n v="134"/>
    <x v="2"/>
    <s v="汽油"/>
    <x v="4"/>
    <s v="大型客车"/>
    <s v="出租租赁"/>
    <s v="商用车"/>
    <x v="1"/>
    <x v="0"/>
    <n v="254"/>
  </r>
  <r>
    <n v="135"/>
    <x v="3"/>
    <s v="汽油"/>
    <x v="4"/>
    <s v="大型客车"/>
    <s v="出租租赁"/>
    <s v="商用车"/>
    <x v="1"/>
    <x v="0"/>
    <n v="45"/>
  </r>
  <r>
    <n v="136"/>
    <x v="4"/>
    <s v="汽油"/>
    <x v="4"/>
    <s v="大型客车"/>
    <s v="出租租赁"/>
    <s v="商用车"/>
    <x v="1"/>
    <x v="0"/>
    <n v="105"/>
  </r>
  <r>
    <n v="137"/>
    <x v="5"/>
    <s v="汽油"/>
    <x v="4"/>
    <s v="大型客车"/>
    <s v="出租租赁"/>
    <s v="商用车"/>
    <x v="1"/>
    <x v="0"/>
    <n v="23"/>
  </r>
  <r>
    <n v="138"/>
    <x v="6"/>
    <s v="汽油"/>
    <x v="4"/>
    <s v="大型客车"/>
    <s v="出租租赁"/>
    <s v="商用车"/>
    <x v="1"/>
    <x v="0"/>
    <n v="42"/>
  </r>
  <r>
    <n v="139"/>
    <x v="1"/>
    <s v="汽油-天然气"/>
    <x v="5"/>
    <s v="大型客车"/>
    <s v="出租租赁"/>
    <s v="商用车"/>
    <x v="1"/>
    <x v="0"/>
    <n v="5"/>
  </r>
  <r>
    <n v="140"/>
    <x v="5"/>
    <s v="燃料电池"/>
    <x v="6"/>
    <s v="大型客车"/>
    <s v="出租租赁"/>
    <s v="商用车"/>
    <x v="1"/>
    <x v="0"/>
    <n v="10"/>
  </r>
  <r>
    <n v="141"/>
    <x v="6"/>
    <s v="燃料电池"/>
    <x v="6"/>
    <s v="大型客车"/>
    <s v="出租租赁"/>
    <s v="商用车"/>
    <x v="1"/>
    <x v="0"/>
    <n v="20"/>
  </r>
  <r>
    <n v="142"/>
    <x v="0"/>
    <s v="天然气"/>
    <x v="5"/>
    <s v="大型客车"/>
    <s v="出租租赁"/>
    <s v="商用车"/>
    <x v="1"/>
    <x v="0"/>
    <n v="48"/>
  </r>
  <r>
    <n v="143"/>
    <x v="1"/>
    <s v="天然气"/>
    <x v="5"/>
    <s v="大型客车"/>
    <s v="出租租赁"/>
    <s v="商用车"/>
    <x v="1"/>
    <x v="0"/>
    <n v="8"/>
  </r>
  <r>
    <n v="144"/>
    <x v="2"/>
    <s v="天然气"/>
    <x v="5"/>
    <s v="大型客车"/>
    <s v="出租租赁"/>
    <s v="商用车"/>
    <x v="1"/>
    <x v="0"/>
    <n v="6"/>
  </r>
  <r>
    <n v="145"/>
    <x v="3"/>
    <s v="天然气"/>
    <x v="5"/>
    <s v="大型客车"/>
    <s v="出租租赁"/>
    <s v="商用车"/>
    <x v="1"/>
    <x v="0"/>
    <n v="29"/>
  </r>
  <r>
    <n v="146"/>
    <x v="0"/>
    <s v="柴油"/>
    <x v="1"/>
    <s v="轻型货车"/>
    <s v="出租租赁"/>
    <s v="商用车"/>
    <x v="2"/>
    <x v="2"/>
    <n v="103"/>
  </r>
  <r>
    <n v="147"/>
    <x v="1"/>
    <s v="柴油"/>
    <x v="1"/>
    <s v="轻型货车"/>
    <s v="出租租赁"/>
    <s v="商用车"/>
    <x v="2"/>
    <x v="2"/>
    <n v="19"/>
  </r>
  <r>
    <n v="148"/>
    <x v="2"/>
    <s v="柴油"/>
    <x v="1"/>
    <s v="轻型货车"/>
    <s v="出租租赁"/>
    <s v="商用车"/>
    <x v="2"/>
    <x v="2"/>
    <n v="5"/>
  </r>
  <r>
    <n v="149"/>
    <x v="3"/>
    <s v="柴油"/>
    <x v="1"/>
    <s v="轻型货车"/>
    <s v="出租租赁"/>
    <s v="商用车"/>
    <x v="2"/>
    <x v="2"/>
    <n v="19"/>
  </r>
  <r>
    <n v="150"/>
    <x v="4"/>
    <s v="柴油"/>
    <x v="1"/>
    <s v="轻型货车"/>
    <s v="出租租赁"/>
    <s v="商用车"/>
    <x v="2"/>
    <x v="2"/>
    <n v="42"/>
  </r>
  <r>
    <n v="151"/>
    <x v="5"/>
    <s v="柴油"/>
    <x v="1"/>
    <s v="轻型货车"/>
    <s v="出租租赁"/>
    <s v="商用车"/>
    <x v="2"/>
    <x v="2"/>
    <n v="20"/>
  </r>
  <r>
    <n v="152"/>
    <x v="6"/>
    <s v="柴油"/>
    <x v="1"/>
    <s v="轻型货车"/>
    <s v="出租租赁"/>
    <s v="商用车"/>
    <x v="2"/>
    <x v="2"/>
    <n v="10"/>
  </r>
  <r>
    <n v="153"/>
    <x v="0"/>
    <s v="纯电动"/>
    <x v="2"/>
    <s v="轻型货车"/>
    <s v="出租租赁"/>
    <s v="商用车"/>
    <x v="2"/>
    <x v="2"/>
    <n v="283"/>
  </r>
  <r>
    <n v="154"/>
    <x v="3"/>
    <s v="纯电动"/>
    <x v="2"/>
    <s v="轻型货车"/>
    <s v="出租租赁"/>
    <s v="商用车"/>
    <x v="2"/>
    <x v="2"/>
    <n v="1"/>
  </r>
  <r>
    <n v="155"/>
    <x v="0"/>
    <s v="汽油"/>
    <x v="4"/>
    <s v="轻型货车"/>
    <s v="出租租赁"/>
    <s v="商用车"/>
    <x v="2"/>
    <x v="2"/>
    <n v="51"/>
  </r>
  <r>
    <n v="156"/>
    <x v="1"/>
    <s v="汽油"/>
    <x v="4"/>
    <s v="轻型货车"/>
    <s v="出租租赁"/>
    <s v="商用车"/>
    <x v="2"/>
    <x v="2"/>
    <n v="1"/>
  </r>
  <r>
    <n v="157"/>
    <x v="2"/>
    <s v="汽油"/>
    <x v="4"/>
    <s v="轻型货车"/>
    <s v="出租租赁"/>
    <s v="商用车"/>
    <x v="2"/>
    <x v="2"/>
    <n v="15"/>
  </r>
  <r>
    <n v="158"/>
    <x v="3"/>
    <s v="汽油"/>
    <x v="4"/>
    <s v="轻型货车"/>
    <s v="出租租赁"/>
    <s v="商用车"/>
    <x v="2"/>
    <x v="2"/>
    <n v="2"/>
  </r>
  <r>
    <n v="159"/>
    <x v="4"/>
    <s v="汽油"/>
    <x v="4"/>
    <s v="轻型货车"/>
    <s v="出租租赁"/>
    <s v="商用车"/>
    <x v="2"/>
    <x v="2"/>
    <n v="8"/>
  </r>
  <r>
    <n v="160"/>
    <x v="5"/>
    <s v="汽油"/>
    <x v="4"/>
    <s v="轻型货车"/>
    <s v="出租租赁"/>
    <s v="商用车"/>
    <x v="2"/>
    <x v="2"/>
    <n v="4"/>
  </r>
  <r>
    <n v="161"/>
    <x v="6"/>
    <s v="汽油"/>
    <x v="4"/>
    <s v="轻型货车"/>
    <s v="出租租赁"/>
    <s v="商用车"/>
    <x v="2"/>
    <x v="2"/>
    <n v="2"/>
  </r>
  <r>
    <n v="162"/>
    <x v="0"/>
    <s v="汽油-天然气"/>
    <x v="5"/>
    <s v="轻型货车"/>
    <s v="出租租赁"/>
    <s v="商用车"/>
    <x v="2"/>
    <x v="2"/>
    <n v="1"/>
  </r>
  <r>
    <n v="163"/>
    <x v="0"/>
    <s v="柴油"/>
    <x v="1"/>
    <s v="未知"/>
    <s v="出租租赁"/>
    <s v="商用车"/>
    <x v="1"/>
    <x v="0"/>
    <n v="54"/>
  </r>
  <r>
    <n v="164"/>
    <x v="0"/>
    <s v="纯电动"/>
    <x v="2"/>
    <s v="未知"/>
    <s v="出租租赁"/>
    <s v="商用车"/>
    <x v="1"/>
    <x v="0"/>
    <n v="2"/>
  </r>
  <r>
    <n v="165"/>
    <x v="0"/>
    <s v="汽油"/>
    <x v="4"/>
    <s v="未知"/>
    <s v="出租租赁"/>
    <s v="商用车"/>
    <x v="1"/>
    <x v="0"/>
    <n v="1124"/>
  </r>
  <r>
    <n v="166"/>
    <x v="0"/>
    <s v="汽油-天然气"/>
    <x v="5"/>
    <s v="未知"/>
    <s v="出租租赁"/>
    <s v="商用车"/>
    <x v="1"/>
    <x v="0"/>
    <n v="1"/>
  </r>
  <r>
    <n v="167"/>
    <x v="0"/>
    <s v="无"/>
    <x v="7"/>
    <s v="未知"/>
    <s v="出租租赁"/>
    <s v="商用车"/>
    <x v="1"/>
    <x v="0"/>
    <n v="38"/>
  </r>
  <r>
    <n v="168"/>
    <x v="0"/>
    <s v="柴油"/>
    <x v="1"/>
    <s v="小型客车"/>
    <s v="出租租赁"/>
    <s v="商用车"/>
    <x v="3"/>
    <x v="1"/>
    <n v="96"/>
  </r>
  <r>
    <n v="169"/>
    <x v="1"/>
    <s v="柴油"/>
    <x v="1"/>
    <s v="小型客车"/>
    <s v="出租租赁"/>
    <s v="商用车"/>
    <x v="3"/>
    <x v="1"/>
    <n v="63"/>
  </r>
  <r>
    <n v="170"/>
    <x v="2"/>
    <s v="柴油"/>
    <x v="1"/>
    <s v="小型客车"/>
    <s v="出租租赁"/>
    <s v="商用车"/>
    <x v="3"/>
    <x v="1"/>
    <n v="1995"/>
  </r>
  <r>
    <n v="171"/>
    <x v="3"/>
    <s v="柴油"/>
    <x v="1"/>
    <s v="小型客车"/>
    <s v="出租租赁"/>
    <s v="商用车"/>
    <x v="3"/>
    <x v="1"/>
    <n v="225"/>
  </r>
  <r>
    <n v="172"/>
    <x v="4"/>
    <s v="柴油"/>
    <x v="1"/>
    <s v="小型客车"/>
    <s v="出租租赁"/>
    <s v="商用车"/>
    <x v="3"/>
    <x v="1"/>
    <n v="279"/>
  </r>
  <r>
    <n v="173"/>
    <x v="5"/>
    <s v="柴油"/>
    <x v="1"/>
    <s v="小型客车"/>
    <s v="出租租赁"/>
    <s v="商用车"/>
    <x v="3"/>
    <x v="1"/>
    <n v="518"/>
  </r>
  <r>
    <n v="174"/>
    <x v="6"/>
    <s v="柴油"/>
    <x v="1"/>
    <s v="小型客车"/>
    <s v="出租租赁"/>
    <s v="商用车"/>
    <x v="3"/>
    <x v="1"/>
    <n v="414"/>
  </r>
  <r>
    <n v="175"/>
    <x v="0"/>
    <s v="纯电动"/>
    <x v="2"/>
    <s v="小型客车"/>
    <s v="出租租赁"/>
    <s v="商用车"/>
    <x v="3"/>
    <x v="1"/>
    <n v="48"/>
  </r>
  <r>
    <n v="176"/>
    <x v="5"/>
    <s v="纯电动"/>
    <x v="2"/>
    <s v="小型客车"/>
    <s v="出租租赁"/>
    <s v="商用车"/>
    <x v="3"/>
    <x v="1"/>
    <n v="2"/>
  </r>
  <r>
    <n v="177"/>
    <x v="0"/>
    <s v="汽油"/>
    <x v="4"/>
    <s v="小型客车"/>
    <s v="出租租赁"/>
    <s v="商用车"/>
    <x v="3"/>
    <x v="1"/>
    <n v="52"/>
  </r>
  <r>
    <n v="178"/>
    <x v="1"/>
    <s v="汽油"/>
    <x v="4"/>
    <s v="小型客车"/>
    <s v="出租租赁"/>
    <s v="商用车"/>
    <x v="3"/>
    <x v="1"/>
    <n v="99"/>
  </r>
  <r>
    <n v="179"/>
    <x v="2"/>
    <s v="汽油"/>
    <x v="4"/>
    <s v="小型客车"/>
    <s v="出租租赁"/>
    <s v="商用车"/>
    <x v="3"/>
    <x v="1"/>
    <n v="651"/>
  </r>
  <r>
    <n v="180"/>
    <x v="3"/>
    <s v="汽油"/>
    <x v="4"/>
    <s v="小型客车"/>
    <s v="出租租赁"/>
    <s v="商用车"/>
    <x v="3"/>
    <x v="1"/>
    <n v="91"/>
  </r>
  <r>
    <n v="181"/>
    <x v="4"/>
    <s v="汽油"/>
    <x v="4"/>
    <s v="小型客车"/>
    <s v="出租租赁"/>
    <s v="商用车"/>
    <x v="3"/>
    <x v="1"/>
    <n v="59"/>
  </r>
  <r>
    <n v="182"/>
    <x v="5"/>
    <s v="汽油"/>
    <x v="4"/>
    <s v="小型客车"/>
    <s v="出租租赁"/>
    <s v="商用车"/>
    <x v="3"/>
    <x v="1"/>
    <n v="56"/>
  </r>
  <r>
    <n v="183"/>
    <x v="6"/>
    <s v="汽油"/>
    <x v="4"/>
    <s v="小型客车"/>
    <s v="出租租赁"/>
    <s v="商用车"/>
    <x v="3"/>
    <x v="1"/>
    <n v="53"/>
  </r>
  <r>
    <n v="184"/>
    <x v="1"/>
    <s v="汽油-天然气"/>
    <x v="5"/>
    <s v="小型客车"/>
    <s v="出租租赁"/>
    <s v="商用车"/>
    <x v="3"/>
    <x v="1"/>
    <n v="9"/>
  </r>
  <r>
    <n v="185"/>
    <x v="4"/>
    <s v="汽油-天然气"/>
    <x v="5"/>
    <s v="小型客车"/>
    <s v="出租租赁"/>
    <s v="商用车"/>
    <x v="3"/>
    <x v="1"/>
    <n v="3"/>
  </r>
  <r>
    <n v="186"/>
    <x v="0"/>
    <s v="柴油"/>
    <x v="1"/>
    <s v="中型货车"/>
    <s v="出租租赁"/>
    <s v="商用车"/>
    <x v="4"/>
    <x v="3"/>
    <n v="277"/>
  </r>
  <r>
    <n v="187"/>
    <x v="2"/>
    <s v="柴油"/>
    <x v="1"/>
    <s v="中型货车"/>
    <s v="出租租赁"/>
    <s v="商用车"/>
    <x v="4"/>
    <x v="3"/>
    <n v="6"/>
  </r>
  <r>
    <n v="188"/>
    <x v="0"/>
    <s v="柴油"/>
    <x v="1"/>
    <s v="中型客车"/>
    <s v="出租租赁"/>
    <s v="商用车"/>
    <x v="1"/>
    <x v="0"/>
    <n v="459"/>
  </r>
  <r>
    <n v="189"/>
    <x v="1"/>
    <s v="柴油"/>
    <x v="1"/>
    <s v="中型客车"/>
    <s v="出租租赁"/>
    <s v="商用车"/>
    <x v="1"/>
    <x v="0"/>
    <n v="376"/>
  </r>
  <r>
    <n v="190"/>
    <x v="2"/>
    <s v="柴油"/>
    <x v="1"/>
    <s v="中型客车"/>
    <s v="出租租赁"/>
    <s v="商用车"/>
    <x v="1"/>
    <x v="0"/>
    <n v="451"/>
  </r>
  <r>
    <n v="191"/>
    <x v="3"/>
    <s v="柴油"/>
    <x v="1"/>
    <s v="中型客车"/>
    <s v="出租租赁"/>
    <s v="商用车"/>
    <x v="1"/>
    <x v="0"/>
    <n v="124"/>
  </r>
  <r>
    <n v="192"/>
    <x v="4"/>
    <s v="柴油"/>
    <x v="1"/>
    <s v="中型客车"/>
    <s v="出租租赁"/>
    <s v="商用车"/>
    <x v="1"/>
    <x v="0"/>
    <n v="108"/>
  </r>
  <r>
    <n v="193"/>
    <x v="5"/>
    <s v="柴油"/>
    <x v="1"/>
    <s v="中型客车"/>
    <s v="出租租赁"/>
    <s v="商用车"/>
    <x v="1"/>
    <x v="0"/>
    <n v="47"/>
  </r>
  <r>
    <n v="194"/>
    <x v="6"/>
    <s v="柴油"/>
    <x v="1"/>
    <s v="中型客车"/>
    <s v="出租租赁"/>
    <s v="商用车"/>
    <x v="1"/>
    <x v="0"/>
    <n v="54"/>
  </r>
  <r>
    <n v="195"/>
    <x v="5"/>
    <s v="纯电动"/>
    <x v="2"/>
    <s v="中型客车"/>
    <s v="出租租赁"/>
    <s v="商用车"/>
    <x v="1"/>
    <x v="0"/>
    <n v="3"/>
  </r>
  <r>
    <n v="196"/>
    <x v="6"/>
    <s v="纯电动"/>
    <x v="2"/>
    <s v="中型客车"/>
    <s v="出租租赁"/>
    <s v="商用车"/>
    <x v="1"/>
    <x v="0"/>
    <n v="9"/>
  </r>
  <r>
    <n v="197"/>
    <x v="0"/>
    <s v="汽油"/>
    <x v="4"/>
    <s v="中型客车"/>
    <s v="出租租赁"/>
    <s v="商用车"/>
    <x v="1"/>
    <x v="0"/>
    <n v="76"/>
  </r>
  <r>
    <n v="198"/>
    <x v="1"/>
    <s v="汽油"/>
    <x v="4"/>
    <s v="中型客车"/>
    <s v="出租租赁"/>
    <s v="商用车"/>
    <x v="1"/>
    <x v="0"/>
    <n v="101"/>
  </r>
  <r>
    <n v="199"/>
    <x v="2"/>
    <s v="汽油"/>
    <x v="4"/>
    <s v="中型客车"/>
    <s v="出租租赁"/>
    <s v="商用车"/>
    <x v="1"/>
    <x v="0"/>
    <n v="220"/>
  </r>
  <r>
    <n v="200"/>
    <x v="3"/>
    <s v="汽油"/>
    <x v="4"/>
    <s v="中型客车"/>
    <s v="出租租赁"/>
    <s v="商用车"/>
    <x v="1"/>
    <x v="0"/>
    <n v="75"/>
  </r>
  <r>
    <n v="201"/>
    <x v="4"/>
    <s v="汽油"/>
    <x v="4"/>
    <s v="中型客车"/>
    <s v="出租租赁"/>
    <s v="商用车"/>
    <x v="1"/>
    <x v="0"/>
    <n v="27"/>
  </r>
  <r>
    <n v="202"/>
    <x v="5"/>
    <s v="汽油"/>
    <x v="4"/>
    <s v="中型客车"/>
    <s v="出租租赁"/>
    <s v="商用车"/>
    <x v="1"/>
    <x v="0"/>
    <n v="1"/>
  </r>
  <r>
    <n v="203"/>
    <x v="6"/>
    <s v="汽油"/>
    <x v="4"/>
    <s v="中型客车"/>
    <s v="出租租赁"/>
    <s v="商用车"/>
    <x v="1"/>
    <x v="0"/>
    <n v="12"/>
  </r>
  <r>
    <n v="204"/>
    <x v="1"/>
    <s v="天然气"/>
    <x v="5"/>
    <s v="中型客车"/>
    <s v="出租租赁"/>
    <s v="商用车"/>
    <x v="1"/>
    <x v="0"/>
    <n v="2"/>
  </r>
  <r>
    <n v="205"/>
    <x v="0"/>
    <s v="柴油"/>
    <x v="1"/>
    <s v="重型货车"/>
    <s v="出租租赁"/>
    <s v="商用车"/>
    <x v="4"/>
    <x v="3"/>
    <n v="646"/>
  </r>
  <r>
    <n v="206"/>
    <x v="1"/>
    <s v="柴油"/>
    <x v="1"/>
    <s v="重型货车"/>
    <s v="出租租赁"/>
    <s v="商用车"/>
    <x v="4"/>
    <x v="3"/>
    <n v="1"/>
  </r>
  <r>
    <n v="207"/>
    <x v="2"/>
    <s v="柴油"/>
    <x v="1"/>
    <s v="重型货车"/>
    <s v="出租租赁"/>
    <s v="商用车"/>
    <x v="4"/>
    <x v="3"/>
    <n v="1"/>
  </r>
  <r>
    <n v="208"/>
    <x v="4"/>
    <s v="柴油"/>
    <x v="1"/>
    <s v="重型货车"/>
    <s v="出租租赁"/>
    <s v="商用车"/>
    <x v="4"/>
    <x v="3"/>
    <n v="1"/>
  </r>
  <r>
    <n v="209"/>
    <x v="5"/>
    <s v="柴油"/>
    <x v="1"/>
    <s v="重型货车"/>
    <s v="出租租赁"/>
    <s v="商用车"/>
    <x v="4"/>
    <x v="3"/>
    <n v="2"/>
  </r>
  <r>
    <n v="210"/>
    <x v="0"/>
    <s v="插电式混合动力"/>
    <x v="0"/>
    <s v="大型客车"/>
    <s v="非营运"/>
    <s v="商用车"/>
    <x v="1"/>
    <x v="0"/>
    <n v="375"/>
  </r>
  <r>
    <n v="211"/>
    <x v="1"/>
    <s v="插电式混合动力"/>
    <x v="0"/>
    <s v="大型客车"/>
    <s v="非营运"/>
    <s v="商用车"/>
    <x v="1"/>
    <x v="0"/>
    <n v="532"/>
  </r>
  <r>
    <n v="212"/>
    <x v="2"/>
    <s v="插电式混合动力"/>
    <x v="0"/>
    <s v="大型客车"/>
    <s v="非营运"/>
    <s v="商用车"/>
    <x v="1"/>
    <x v="0"/>
    <n v="434"/>
  </r>
  <r>
    <n v="213"/>
    <x v="3"/>
    <s v="插电式混合动力"/>
    <x v="0"/>
    <s v="大型客车"/>
    <s v="非营运"/>
    <s v="商用车"/>
    <x v="1"/>
    <x v="0"/>
    <n v="64"/>
  </r>
  <r>
    <n v="214"/>
    <x v="4"/>
    <s v="插电式混合动力"/>
    <x v="0"/>
    <s v="大型客车"/>
    <s v="非营运"/>
    <s v="商用车"/>
    <x v="1"/>
    <x v="0"/>
    <n v="4"/>
  </r>
  <r>
    <n v="215"/>
    <x v="5"/>
    <s v="插电式混合动力"/>
    <x v="0"/>
    <s v="大型客车"/>
    <s v="非营运"/>
    <s v="商用车"/>
    <x v="1"/>
    <x v="0"/>
    <n v="4"/>
  </r>
  <r>
    <n v="216"/>
    <x v="6"/>
    <s v="插电式混合动力"/>
    <x v="0"/>
    <s v="大型客车"/>
    <s v="非营运"/>
    <s v="商用车"/>
    <x v="1"/>
    <x v="0"/>
    <n v="2"/>
  </r>
  <r>
    <n v="217"/>
    <x v="0"/>
    <s v="柴油"/>
    <x v="1"/>
    <s v="大型客车"/>
    <s v="非营运"/>
    <s v="商用车"/>
    <x v="1"/>
    <x v="0"/>
    <n v="15323"/>
  </r>
  <r>
    <n v="218"/>
    <x v="1"/>
    <s v="柴油"/>
    <x v="1"/>
    <s v="大型客车"/>
    <s v="非营运"/>
    <s v="商用车"/>
    <x v="1"/>
    <x v="0"/>
    <n v="24796"/>
  </r>
  <r>
    <n v="219"/>
    <x v="2"/>
    <s v="柴油"/>
    <x v="1"/>
    <s v="大型客车"/>
    <s v="非营运"/>
    <s v="商用车"/>
    <x v="1"/>
    <x v="0"/>
    <n v="20316"/>
  </r>
  <r>
    <n v="220"/>
    <x v="3"/>
    <s v="柴油"/>
    <x v="1"/>
    <s v="大型客车"/>
    <s v="非营运"/>
    <s v="商用车"/>
    <x v="1"/>
    <x v="0"/>
    <n v="26773"/>
  </r>
  <r>
    <n v="221"/>
    <x v="4"/>
    <s v="柴油"/>
    <x v="1"/>
    <s v="大型客车"/>
    <s v="非营运"/>
    <s v="商用车"/>
    <x v="1"/>
    <x v="0"/>
    <n v="17340"/>
  </r>
  <r>
    <n v="222"/>
    <x v="5"/>
    <s v="柴油"/>
    <x v="1"/>
    <s v="大型客车"/>
    <s v="非营运"/>
    <s v="商用车"/>
    <x v="1"/>
    <x v="0"/>
    <n v="13091"/>
  </r>
  <r>
    <n v="223"/>
    <x v="6"/>
    <s v="柴油"/>
    <x v="1"/>
    <s v="大型客车"/>
    <s v="非营运"/>
    <s v="商用车"/>
    <x v="1"/>
    <x v="0"/>
    <n v="14370"/>
  </r>
  <r>
    <n v="224"/>
    <x v="0"/>
    <s v="纯电动"/>
    <x v="2"/>
    <s v="大型客车"/>
    <s v="非营运"/>
    <s v="商用车"/>
    <x v="1"/>
    <x v="0"/>
    <n v="31331"/>
  </r>
  <r>
    <n v="225"/>
    <x v="1"/>
    <s v="纯电动"/>
    <x v="2"/>
    <s v="大型客车"/>
    <s v="非营运"/>
    <s v="商用车"/>
    <x v="1"/>
    <x v="0"/>
    <n v="23628"/>
  </r>
  <r>
    <n v="226"/>
    <x v="2"/>
    <s v="纯电动"/>
    <x v="2"/>
    <s v="大型客车"/>
    <s v="非营运"/>
    <s v="商用车"/>
    <x v="1"/>
    <x v="0"/>
    <n v="11332"/>
  </r>
  <r>
    <n v="227"/>
    <x v="3"/>
    <s v="纯电动"/>
    <x v="2"/>
    <s v="大型客车"/>
    <s v="非营运"/>
    <s v="商用车"/>
    <x v="1"/>
    <x v="0"/>
    <n v="2929"/>
  </r>
  <r>
    <n v="228"/>
    <x v="4"/>
    <s v="纯电动"/>
    <x v="2"/>
    <s v="大型客车"/>
    <s v="非营运"/>
    <s v="商用车"/>
    <x v="1"/>
    <x v="0"/>
    <n v="1535"/>
  </r>
  <r>
    <n v="229"/>
    <x v="5"/>
    <s v="纯电动"/>
    <x v="2"/>
    <s v="大型客车"/>
    <s v="非营运"/>
    <s v="商用车"/>
    <x v="1"/>
    <x v="0"/>
    <n v="667"/>
  </r>
  <r>
    <n v="230"/>
    <x v="6"/>
    <s v="纯电动"/>
    <x v="2"/>
    <s v="大型客车"/>
    <s v="非营运"/>
    <s v="商用车"/>
    <x v="1"/>
    <x v="0"/>
    <n v="1144"/>
  </r>
  <r>
    <n v="231"/>
    <x v="0"/>
    <s v="混合动力"/>
    <x v="3"/>
    <s v="大型客车"/>
    <s v="非营运"/>
    <s v="商用车"/>
    <x v="1"/>
    <x v="0"/>
    <n v="327"/>
  </r>
  <r>
    <n v="232"/>
    <x v="1"/>
    <s v="混合动力"/>
    <x v="3"/>
    <s v="大型客车"/>
    <s v="非营运"/>
    <s v="商用车"/>
    <x v="1"/>
    <x v="0"/>
    <n v="473"/>
  </r>
  <r>
    <n v="233"/>
    <x v="2"/>
    <s v="混合动力"/>
    <x v="3"/>
    <s v="大型客车"/>
    <s v="非营运"/>
    <s v="商用车"/>
    <x v="1"/>
    <x v="0"/>
    <n v="4"/>
  </r>
  <r>
    <n v="234"/>
    <x v="3"/>
    <s v="混合动力"/>
    <x v="3"/>
    <s v="大型客车"/>
    <s v="非营运"/>
    <s v="商用车"/>
    <x v="1"/>
    <x v="0"/>
    <n v="11"/>
  </r>
  <r>
    <n v="235"/>
    <x v="3"/>
    <s v="甲醇"/>
    <x v="8"/>
    <s v="大型客车"/>
    <s v="非营运"/>
    <s v="商用车"/>
    <x v="1"/>
    <x v="0"/>
    <n v="5"/>
  </r>
  <r>
    <n v="236"/>
    <x v="0"/>
    <s v="汽油"/>
    <x v="4"/>
    <s v="大型客车"/>
    <s v="非营运"/>
    <s v="商用车"/>
    <x v="1"/>
    <x v="0"/>
    <n v="2433"/>
  </r>
  <r>
    <n v="237"/>
    <x v="1"/>
    <s v="汽油"/>
    <x v="4"/>
    <s v="大型客车"/>
    <s v="非营运"/>
    <s v="商用车"/>
    <x v="1"/>
    <x v="0"/>
    <n v="2899"/>
  </r>
  <r>
    <n v="238"/>
    <x v="2"/>
    <s v="汽油"/>
    <x v="4"/>
    <s v="大型客车"/>
    <s v="非营运"/>
    <s v="商用车"/>
    <x v="1"/>
    <x v="0"/>
    <n v="3287"/>
  </r>
  <r>
    <n v="239"/>
    <x v="3"/>
    <s v="汽油"/>
    <x v="4"/>
    <s v="大型客车"/>
    <s v="非营运"/>
    <s v="商用车"/>
    <x v="1"/>
    <x v="0"/>
    <n v="4521"/>
  </r>
  <r>
    <n v="240"/>
    <x v="4"/>
    <s v="汽油"/>
    <x v="4"/>
    <s v="大型客车"/>
    <s v="非营运"/>
    <s v="商用车"/>
    <x v="1"/>
    <x v="0"/>
    <n v="3842"/>
  </r>
  <r>
    <n v="241"/>
    <x v="5"/>
    <s v="汽油"/>
    <x v="4"/>
    <s v="大型客车"/>
    <s v="非营运"/>
    <s v="商用车"/>
    <x v="1"/>
    <x v="0"/>
    <n v="3107"/>
  </r>
  <r>
    <n v="242"/>
    <x v="6"/>
    <s v="汽油"/>
    <x v="4"/>
    <s v="大型客车"/>
    <s v="非营运"/>
    <s v="商用车"/>
    <x v="1"/>
    <x v="0"/>
    <n v="3378"/>
  </r>
  <r>
    <n v="243"/>
    <x v="1"/>
    <s v="汽油-天然气"/>
    <x v="5"/>
    <s v="大型客车"/>
    <s v="非营运"/>
    <s v="商用车"/>
    <x v="1"/>
    <x v="0"/>
    <n v="6"/>
  </r>
  <r>
    <n v="244"/>
    <x v="1"/>
    <s v="燃料电池"/>
    <x v="6"/>
    <s v="大型客车"/>
    <s v="非营运"/>
    <s v="商用车"/>
    <x v="1"/>
    <x v="0"/>
    <n v="5"/>
  </r>
  <r>
    <n v="245"/>
    <x v="2"/>
    <s v="燃料电池"/>
    <x v="6"/>
    <s v="大型客车"/>
    <s v="非营运"/>
    <s v="商用车"/>
    <x v="1"/>
    <x v="0"/>
    <n v="112"/>
  </r>
  <r>
    <n v="246"/>
    <x v="3"/>
    <s v="燃料电池"/>
    <x v="6"/>
    <s v="大型客车"/>
    <s v="非营运"/>
    <s v="商用车"/>
    <x v="1"/>
    <x v="0"/>
    <n v="95"/>
  </r>
  <r>
    <n v="247"/>
    <x v="4"/>
    <s v="燃料电池"/>
    <x v="6"/>
    <s v="大型客车"/>
    <s v="非营运"/>
    <s v="商用车"/>
    <x v="1"/>
    <x v="0"/>
    <n v="121"/>
  </r>
  <r>
    <n v="248"/>
    <x v="5"/>
    <s v="燃料电池"/>
    <x v="6"/>
    <s v="大型客车"/>
    <s v="非营运"/>
    <s v="商用车"/>
    <x v="1"/>
    <x v="0"/>
    <n v="2"/>
  </r>
  <r>
    <n v="249"/>
    <x v="6"/>
    <s v="燃料电池"/>
    <x v="6"/>
    <s v="大型客车"/>
    <s v="非营运"/>
    <s v="商用车"/>
    <x v="1"/>
    <x v="0"/>
    <n v="78"/>
  </r>
  <r>
    <n v="250"/>
    <x v="0"/>
    <s v="天然气"/>
    <x v="5"/>
    <s v="大型客车"/>
    <s v="非营运"/>
    <s v="商用车"/>
    <x v="1"/>
    <x v="0"/>
    <n v="420"/>
  </r>
  <r>
    <n v="251"/>
    <x v="1"/>
    <s v="天然气"/>
    <x v="5"/>
    <s v="大型客车"/>
    <s v="非营运"/>
    <s v="商用车"/>
    <x v="1"/>
    <x v="0"/>
    <n v="538"/>
  </r>
  <r>
    <n v="252"/>
    <x v="2"/>
    <s v="天然气"/>
    <x v="5"/>
    <s v="大型客车"/>
    <s v="非营运"/>
    <s v="商用车"/>
    <x v="1"/>
    <x v="0"/>
    <n v="381"/>
  </r>
  <r>
    <n v="253"/>
    <x v="3"/>
    <s v="天然气"/>
    <x v="5"/>
    <s v="大型客车"/>
    <s v="非营运"/>
    <s v="商用车"/>
    <x v="1"/>
    <x v="0"/>
    <n v="254"/>
  </r>
  <r>
    <n v="254"/>
    <x v="4"/>
    <s v="天然气"/>
    <x v="5"/>
    <s v="大型客车"/>
    <s v="非营运"/>
    <s v="商用车"/>
    <x v="1"/>
    <x v="0"/>
    <n v="106"/>
  </r>
  <r>
    <n v="255"/>
    <x v="5"/>
    <s v="天然气"/>
    <x v="5"/>
    <s v="大型客车"/>
    <s v="非营运"/>
    <s v="商用车"/>
    <x v="1"/>
    <x v="0"/>
    <n v="94"/>
  </r>
  <r>
    <n v="256"/>
    <x v="6"/>
    <s v="天然气"/>
    <x v="5"/>
    <s v="大型客车"/>
    <s v="非营运"/>
    <s v="商用车"/>
    <x v="1"/>
    <x v="0"/>
    <n v="139"/>
  </r>
  <r>
    <n v="257"/>
    <x v="3"/>
    <s v="插电式混合动力"/>
    <x v="0"/>
    <s v="轻型货车"/>
    <s v="非营运"/>
    <s v="商用车"/>
    <x v="2"/>
    <x v="2"/>
    <n v="1"/>
  </r>
  <r>
    <n v="258"/>
    <x v="4"/>
    <s v="插电式混合动力"/>
    <x v="0"/>
    <s v="轻型货车"/>
    <s v="非营运"/>
    <s v="商用车"/>
    <x v="2"/>
    <x v="2"/>
    <n v="33"/>
  </r>
  <r>
    <n v="259"/>
    <x v="5"/>
    <s v="插电式混合动力"/>
    <x v="0"/>
    <s v="轻型货车"/>
    <s v="非营运"/>
    <s v="商用车"/>
    <x v="2"/>
    <x v="2"/>
    <n v="75"/>
  </r>
  <r>
    <n v="260"/>
    <x v="6"/>
    <s v="插电式混合动力"/>
    <x v="0"/>
    <s v="轻型货车"/>
    <s v="非营运"/>
    <s v="商用车"/>
    <x v="2"/>
    <x v="2"/>
    <n v="228"/>
  </r>
  <r>
    <n v="261"/>
    <x v="0"/>
    <s v="柴油"/>
    <x v="1"/>
    <s v="轻型货车"/>
    <s v="非营运"/>
    <s v="商用车"/>
    <x v="2"/>
    <x v="2"/>
    <n v="468624"/>
  </r>
  <r>
    <n v="262"/>
    <x v="1"/>
    <s v="柴油"/>
    <x v="1"/>
    <s v="轻型货车"/>
    <s v="非营运"/>
    <s v="商用车"/>
    <x v="2"/>
    <x v="2"/>
    <n v="530822"/>
  </r>
  <r>
    <n v="263"/>
    <x v="2"/>
    <s v="柴油"/>
    <x v="1"/>
    <s v="轻型货车"/>
    <s v="非营运"/>
    <s v="商用车"/>
    <x v="2"/>
    <x v="2"/>
    <n v="594022"/>
  </r>
  <r>
    <n v="264"/>
    <x v="3"/>
    <s v="柴油"/>
    <x v="1"/>
    <s v="轻型货车"/>
    <s v="非营运"/>
    <s v="商用车"/>
    <x v="2"/>
    <x v="2"/>
    <n v="625602"/>
  </r>
  <r>
    <n v="265"/>
    <x v="4"/>
    <s v="柴油"/>
    <x v="1"/>
    <s v="轻型货车"/>
    <s v="非营运"/>
    <s v="商用车"/>
    <x v="2"/>
    <x v="2"/>
    <n v="753419"/>
  </r>
  <r>
    <n v="266"/>
    <x v="5"/>
    <s v="柴油"/>
    <x v="1"/>
    <s v="轻型货车"/>
    <s v="非营运"/>
    <s v="商用车"/>
    <x v="2"/>
    <x v="2"/>
    <n v="982813"/>
  </r>
  <r>
    <n v="267"/>
    <x v="6"/>
    <s v="柴油"/>
    <x v="1"/>
    <s v="轻型货车"/>
    <s v="非营运"/>
    <s v="商用车"/>
    <x v="2"/>
    <x v="2"/>
    <n v="921203"/>
  </r>
  <r>
    <n v="268"/>
    <x v="0"/>
    <s v="纯电动"/>
    <x v="2"/>
    <s v="轻型货车"/>
    <s v="非营运"/>
    <s v="商用车"/>
    <x v="2"/>
    <x v="2"/>
    <n v="16406"/>
  </r>
  <r>
    <n v="269"/>
    <x v="1"/>
    <s v="纯电动"/>
    <x v="2"/>
    <s v="轻型货车"/>
    <s v="非营运"/>
    <s v="商用车"/>
    <x v="2"/>
    <x v="2"/>
    <n v="4879"/>
  </r>
  <r>
    <n v="270"/>
    <x v="2"/>
    <s v="纯电动"/>
    <x v="2"/>
    <s v="轻型货车"/>
    <s v="非营运"/>
    <s v="商用车"/>
    <x v="2"/>
    <x v="2"/>
    <n v="7500"/>
  </r>
  <r>
    <n v="271"/>
    <x v="3"/>
    <s v="纯电动"/>
    <x v="2"/>
    <s v="轻型货车"/>
    <s v="非营运"/>
    <s v="商用车"/>
    <x v="2"/>
    <x v="2"/>
    <n v="14321"/>
  </r>
  <r>
    <n v="272"/>
    <x v="4"/>
    <s v="纯电动"/>
    <x v="2"/>
    <s v="轻型货车"/>
    <s v="非营运"/>
    <s v="商用车"/>
    <x v="2"/>
    <x v="2"/>
    <n v="6179"/>
  </r>
  <r>
    <n v="273"/>
    <x v="5"/>
    <s v="纯电动"/>
    <x v="2"/>
    <s v="轻型货车"/>
    <s v="非营运"/>
    <s v="商用车"/>
    <x v="2"/>
    <x v="2"/>
    <n v="5402"/>
  </r>
  <r>
    <n v="274"/>
    <x v="6"/>
    <s v="纯电动"/>
    <x v="2"/>
    <s v="轻型货车"/>
    <s v="非营运"/>
    <s v="商用车"/>
    <x v="2"/>
    <x v="2"/>
    <n v="13152"/>
  </r>
  <r>
    <n v="275"/>
    <x v="0"/>
    <s v="混合动力"/>
    <x v="3"/>
    <s v="轻型货车"/>
    <s v="非营运"/>
    <s v="商用车"/>
    <x v="2"/>
    <x v="2"/>
    <n v="1"/>
  </r>
  <r>
    <n v="276"/>
    <x v="6"/>
    <s v="混合动力"/>
    <x v="3"/>
    <s v="轻型货车"/>
    <s v="非营运"/>
    <s v="商用车"/>
    <x v="2"/>
    <x v="2"/>
    <n v="1"/>
  </r>
  <r>
    <n v="277"/>
    <x v="0"/>
    <s v="汽油"/>
    <x v="4"/>
    <s v="轻型货车"/>
    <s v="非营运"/>
    <s v="商用车"/>
    <x v="2"/>
    <x v="2"/>
    <n v="553018"/>
  </r>
  <r>
    <n v="278"/>
    <x v="1"/>
    <s v="汽油"/>
    <x v="4"/>
    <s v="轻型货车"/>
    <s v="非营运"/>
    <s v="商用车"/>
    <x v="2"/>
    <x v="2"/>
    <n v="627167"/>
  </r>
  <r>
    <n v="279"/>
    <x v="2"/>
    <s v="汽油"/>
    <x v="4"/>
    <s v="轻型货车"/>
    <s v="非营运"/>
    <s v="商用车"/>
    <x v="2"/>
    <x v="2"/>
    <n v="674868"/>
  </r>
  <r>
    <n v="280"/>
    <x v="3"/>
    <s v="汽油"/>
    <x v="4"/>
    <s v="轻型货车"/>
    <s v="非营运"/>
    <s v="商用车"/>
    <x v="2"/>
    <x v="2"/>
    <n v="841242"/>
  </r>
  <r>
    <n v="281"/>
    <x v="4"/>
    <s v="汽油"/>
    <x v="4"/>
    <s v="轻型货车"/>
    <s v="非营运"/>
    <s v="商用车"/>
    <x v="2"/>
    <x v="2"/>
    <n v="1015382"/>
  </r>
  <r>
    <n v="282"/>
    <x v="5"/>
    <s v="汽油"/>
    <x v="4"/>
    <s v="轻型货车"/>
    <s v="非营运"/>
    <s v="商用车"/>
    <x v="2"/>
    <x v="2"/>
    <n v="1102949"/>
  </r>
  <r>
    <n v="283"/>
    <x v="6"/>
    <s v="汽油"/>
    <x v="4"/>
    <s v="轻型货车"/>
    <s v="非营运"/>
    <s v="商用车"/>
    <x v="2"/>
    <x v="2"/>
    <n v="1025054"/>
  </r>
  <r>
    <n v="284"/>
    <x v="0"/>
    <s v="汽油-天然气"/>
    <x v="5"/>
    <s v="轻型货车"/>
    <s v="非营运"/>
    <s v="商用车"/>
    <x v="2"/>
    <x v="2"/>
    <n v="19425"/>
  </r>
  <r>
    <n v="285"/>
    <x v="1"/>
    <s v="汽油-天然气"/>
    <x v="5"/>
    <s v="轻型货车"/>
    <s v="非营运"/>
    <s v="商用车"/>
    <x v="2"/>
    <x v="2"/>
    <n v="8941"/>
  </r>
  <r>
    <n v="286"/>
    <x v="2"/>
    <s v="汽油-天然气"/>
    <x v="5"/>
    <s v="轻型货车"/>
    <s v="非营运"/>
    <s v="商用车"/>
    <x v="2"/>
    <x v="2"/>
    <n v="12380"/>
  </r>
  <r>
    <n v="287"/>
    <x v="3"/>
    <s v="汽油-天然气"/>
    <x v="5"/>
    <s v="轻型货车"/>
    <s v="非营运"/>
    <s v="商用车"/>
    <x v="2"/>
    <x v="2"/>
    <n v="18248"/>
  </r>
  <r>
    <n v="288"/>
    <x v="4"/>
    <s v="汽油-天然气"/>
    <x v="5"/>
    <s v="轻型货车"/>
    <s v="非营运"/>
    <s v="商用车"/>
    <x v="2"/>
    <x v="2"/>
    <n v="25076"/>
  </r>
  <r>
    <n v="289"/>
    <x v="5"/>
    <s v="汽油-天然气"/>
    <x v="5"/>
    <s v="轻型货车"/>
    <s v="非营运"/>
    <s v="商用车"/>
    <x v="2"/>
    <x v="2"/>
    <n v="11747"/>
  </r>
  <r>
    <n v="290"/>
    <x v="6"/>
    <s v="汽油-天然气"/>
    <x v="5"/>
    <s v="轻型货车"/>
    <s v="非营运"/>
    <s v="商用车"/>
    <x v="2"/>
    <x v="2"/>
    <n v="158"/>
  </r>
  <r>
    <n v="291"/>
    <x v="0"/>
    <s v="天然气"/>
    <x v="5"/>
    <s v="轻型货车"/>
    <s v="非营运"/>
    <s v="商用车"/>
    <x v="2"/>
    <x v="2"/>
    <n v="96"/>
  </r>
  <r>
    <n v="292"/>
    <x v="1"/>
    <s v="天然气"/>
    <x v="5"/>
    <s v="轻型货车"/>
    <s v="非营运"/>
    <s v="商用车"/>
    <x v="2"/>
    <x v="2"/>
    <n v="760"/>
  </r>
  <r>
    <n v="293"/>
    <x v="2"/>
    <s v="天然气"/>
    <x v="5"/>
    <s v="轻型货车"/>
    <s v="非营运"/>
    <s v="商用车"/>
    <x v="2"/>
    <x v="2"/>
    <n v="111"/>
  </r>
  <r>
    <n v="294"/>
    <x v="3"/>
    <s v="天然气"/>
    <x v="5"/>
    <s v="轻型货车"/>
    <s v="非营运"/>
    <s v="商用车"/>
    <x v="2"/>
    <x v="2"/>
    <n v="179"/>
  </r>
  <r>
    <n v="295"/>
    <x v="4"/>
    <s v="天然气"/>
    <x v="5"/>
    <s v="轻型货车"/>
    <s v="非营运"/>
    <s v="商用车"/>
    <x v="2"/>
    <x v="2"/>
    <n v="651"/>
  </r>
  <r>
    <n v="296"/>
    <x v="5"/>
    <s v="天然气"/>
    <x v="5"/>
    <s v="轻型货车"/>
    <s v="非营运"/>
    <s v="商用车"/>
    <x v="2"/>
    <x v="2"/>
    <n v="6804"/>
  </r>
  <r>
    <n v="297"/>
    <x v="6"/>
    <s v="天然气"/>
    <x v="5"/>
    <s v="轻型货车"/>
    <s v="非营运"/>
    <s v="商用车"/>
    <x v="2"/>
    <x v="2"/>
    <n v="18862"/>
  </r>
  <r>
    <n v="298"/>
    <x v="1"/>
    <s v="柴油"/>
    <x v="1"/>
    <s v="微型货车"/>
    <s v="非营运"/>
    <s v="商用车"/>
    <x v="2"/>
    <x v="2"/>
    <n v="270"/>
  </r>
  <r>
    <n v="299"/>
    <x v="2"/>
    <s v="柴油"/>
    <x v="1"/>
    <s v="微型货车"/>
    <s v="非营运"/>
    <s v="商用车"/>
    <x v="2"/>
    <x v="2"/>
    <n v="58"/>
  </r>
  <r>
    <n v="300"/>
    <x v="0"/>
    <s v="纯电动"/>
    <x v="2"/>
    <s v="微型货车"/>
    <s v="非营运"/>
    <s v="商用车"/>
    <x v="2"/>
    <x v="2"/>
    <n v="1370"/>
  </r>
  <r>
    <n v="301"/>
    <x v="1"/>
    <s v="纯电动"/>
    <x v="2"/>
    <s v="微型货车"/>
    <s v="非营运"/>
    <s v="商用车"/>
    <x v="2"/>
    <x v="2"/>
    <n v="8"/>
  </r>
  <r>
    <n v="302"/>
    <x v="3"/>
    <s v="纯电动"/>
    <x v="2"/>
    <s v="微型货车"/>
    <s v="非营运"/>
    <s v="商用车"/>
    <x v="2"/>
    <x v="2"/>
    <n v="2"/>
  </r>
  <r>
    <n v="303"/>
    <x v="4"/>
    <s v="纯电动"/>
    <x v="2"/>
    <s v="微型货车"/>
    <s v="非营运"/>
    <s v="商用车"/>
    <x v="2"/>
    <x v="2"/>
    <n v="1"/>
  </r>
  <r>
    <n v="304"/>
    <x v="5"/>
    <s v="纯电动"/>
    <x v="2"/>
    <s v="微型货车"/>
    <s v="非营运"/>
    <s v="商用车"/>
    <x v="2"/>
    <x v="2"/>
    <n v="10"/>
  </r>
  <r>
    <n v="305"/>
    <x v="6"/>
    <s v="纯电动"/>
    <x v="2"/>
    <s v="微型货车"/>
    <s v="非营运"/>
    <s v="商用车"/>
    <x v="2"/>
    <x v="2"/>
    <n v="50"/>
  </r>
  <r>
    <n v="306"/>
    <x v="1"/>
    <s v="汽油"/>
    <x v="4"/>
    <s v="微型货车"/>
    <s v="非营运"/>
    <s v="商用车"/>
    <x v="2"/>
    <x v="2"/>
    <n v="1"/>
  </r>
  <r>
    <n v="307"/>
    <x v="1"/>
    <s v="柴油"/>
    <x v="1"/>
    <s v="微型客车"/>
    <s v="非营运"/>
    <s v="商用车"/>
    <x v="3"/>
    <x v="1"/>
    <n v="12"/>
  </r>
  <r>
    <n v="308"/>
    <x v="2"/>
    <s v="柴油"/>
    <x v="1"/>
    <s v="微型客车"/>
    <s v="非营运"/>
    <s v="商用车"/>
    <x v="3"/>
    <x v="1"/>
    <n v="24"/>
  </r>
  <r>
    <n v="309"/>
    <x v="0"/>
    <s v="柴油"/>
    <x v="1"/>
    <s v="未知"/>
    <s v="非营运"/>
    <s v="商用车"/>
    <x v="5"/>
    <x v="4"/>
    <n v="16188"/>
  </r>
  <r>
    <n v="310"/>
    <x v="0"/>
    <s v="纯电动"/>
    <x v="2"/>
    <s v="未知"/>
    <s v="非营运"/>
    <s v="商用车"/>
    <x v="5"/>
    <x v="4"/>
    <n v="261"/>
  </r>
  <r>
    <n v="311"/>
    <x v="0"/>
    <s v="汽油"/>
    <x v="4"/>
    <s v="未知"/>
    <s v="非营运"/>
    <s v="商用车"/>
    <x v="5"/>
    <x v="4"/>
    <n v="2164290"/>
  </r>
  <r>
    <n v="312"/>
    <x v="0"/>
    <s v="汽油-天然气"/>
    <x v="5"/>
    <s v="未知"/>
    <s v="非营运"/>
    <s v="商用车"/>
    <x v="5"/>
    <x v="4"/>
    <n v="10062"/>
  </r>
  <r>
    <n v="313"/>
    <x v="0"/>
    <s v="无"/>
    <x v="7"/>
    <s v="未知"/>
    <s v="非营运"/>
    <s v="商用车"/>
    <x v="5"/>
    <x v="4"/>
    <n v="2410"/>
  </r>
  <r>
    <n v="314"/>
    <x v="0"/>
    <s v="柴油"/>
    <x v="1"/>
    <s v="小型客车"/>
    <s v="非营运"/>
    <s v="商用车"/>
    <x v="6"/>
    <x v="1"/>
    <n v="72743"/>
  </r>
  <r>
    <n v="315"/>
    <x v="1"/>
    <s v="柴油"/>
    <x v="1"/>
    <s v="小型客车"/>
    <s v="非营运"/>
    <s v="商用车"/>
    <x v="6"/>
    <x v="1"/>
    <n v="91128"/>
  </r>
  <r>
    <n v="316"/>
    <x v="2"/>
    <s v="柴油"/>
    <x v="1"/>
    <s v="小型客车"/>
    <s v="非营运"/>
    <s v="商用车"/>
    <x v="6"/>
    <x v="1"/>
    <n v="93275"/>
  </r>
  <r>
    <n v="317"/>
    <x v="3"/>
    <s v="柴油"/>
    <x v="1"/>
    <s v="小型客车"/>
    <s v="非营运"/>
    <s v="商用车"/>
    <x v="6"/>
    <x v="1"/>
    <n v="105538"/>
  </r>
  <r>
    <n v="318"/>
    <x v="4"/>
    <s v="柴油"/>
    <x v="1"/>
    <s v="小型客车"/>
    <s v="非营运"/>
    <s v="商用车"/>
    <x v="6"/>
    <x v="1"/>
    <n v="107315"/>
  </r>
  <r>
    <n v="319"/>
    <x v="5"/>
    <s v="柴油"/>
    <x v="1"/>
    <s v="小型客车"/>
    <s v="非营运"/>
    <s v="商用车"/>
    <x v="6"/>
    <x v="1"/>
    <n v="154146"/>
  </r>
  <r>
    <n v="320"/>
    <x v="6"/>
    <s v="柴油"/>
    <x v="1"/>
    <s v="小型客车"/>
    <s v="非营运"/>
    <s v="商用车"/>
    <x v="6"/>
    <x v="1"/>
    <n v="161750"/>
  </r>
  <r>
    <n v="321"/>
    <x v="0"/>
    <s v="纯电动"/>
    <x v="2"/>
    <s v="小型客车"/>
    <s v="非营运"/>
    <s v="商用车"/>
    <x v="6"/>
    <x v="1"/>
    <n v="41"/>
  </r>
  <r>
    <n v="322"/>
    <x v="1"/>
    <s v="纯电动"/>
    <x v="2"/>
    <s v="小型客车"/>
    <s v="非营运"/>
    <s v="商用车"/>
    <x v="6"/>
    <x v="1"/>
    <n v="2126"/>
  </r>
  <r>
    <n v="323"/>
    <x v="2"/>
    <s v="纯电动"/>
    <x v="2"/>
    <s v="小型客车"/>
    <s v="非营运"/>
    <s v="商用车"/>
    <x v="6"/>
    <x v="1"/>
    <n v="9568"/>
  </r>
  <r>
    <n v="324"/>
    <x v="3"/>
    <s v="纯电动"/>
    <x v="2"/>
    <s v="小型客车"/>
    <s v="非营运"/>
    <s v="商用车"/>
    <x v="6"/>
    <x v="1"/>
    <n v="8534"/>
  </r>
  <r>
    <n v="325"/>
    <x v="4"/>
    <s v="纯电动"/>
    <x v="2"/>
    <s v="小型客车"/>
    <s v="非营运"/>
    <s v="商用车"/>
    <x v="6"/>
    <x v="1"/>
    <n v="2332"/>
  </r>
  <r>
    <n v="326"/>
    <x v="5"/>
    <s v="纯电动"/>
    <x v="2"/>
    <s v="小型客车"/>
    <s v="非营运"/>
    <s v="商用车"/>
    <x v="6"/>
    <x v="1"/>
    <n v="4882"/>
  </r>
  <r>
    <n v="327"/>
    <x v="6"/>
    <s v="纯电动"/>
    <x v="2"/>
    <s v="小型客车"/>
    <s v="非营运"/>
    <s v="商用车"/>
    <x v="6"/>
    <x v="1"/>
    <n v="7727"/>
  </r>
  <r>
    <n v="328"/>
    <x v="0"/>
    <s v="汽油"/>
    <x v="4"/>
    <s v="小型客车"/>
    <s v="非营运"/>
    <s v="商用车"/>
    <x v="6"/>
    <x v="1"/>
    <n v="14375"/>
  </r>
  <r>
    <n v="329"/>
    <x v="1"/>
    <s v="汽油"/>
    <x v="4"/>
    <s v="小型客车"/>
    <s v="非营运"/>
    <s v="商用车"/>
    <x v="6"/>
    <x v="1"/>
    <n v="71782"/>
  </r>
  <r>
    <n v="330"/>
    <x v="2"/>
    <s v="汽油"/>
    <x v="4"/>
    <s v="小型客车"/>
    <s v="非营运"/>
    <s v="商用车"/>
    <x v="6"/>
    <x v="1"/>
    <n v="61557"/>
  </r>
  <r>
    <n v="331"/>
    <x v="3"/>
    <s v="汽油"/>
    <x v="4"/>
    <s v="小型客车"/>
    <s v="非营运"/>
    <s v="商用车"/>
    <x v="6"/>
    <x v="1"/>
    <n v="54881"/>
  </r>
  <r>
    <n v="332"/>
    <x v="4"/>
    <s v="汽油"/>
    <x v="4"/>
    <s v="小型客车"/>
    <s v="非营运"/>
    <s v="商用车"/>
    <x v="6"/>
    <x v="1"/>
    <n v="43710"/>
  </r>
  <r>
    <n v="333"/>
    <x v="5"/>
    <s v="汽油"/>
    <x v="4"/>
    <s v="小型客车"/>
    <s v="非营运"/>
    <s v="商用车"/>
    <x v="6"/>
    <x v="1"/>
    <n v="37401"/>
  </r>
  <r>
    <n v="334"/>
    <x v="6"/>
    <s v="汽油"/>
    <x v="4"/>
    <s v="小型客车"/>
    <s v="非营运"/>
    <s v="商用车"/>
    <x v="6"/>
    <x v="1"/>
    <n v="40042"/>
  </r>
  <r>
    <n v="335"/>
    <x v="1"/>
    <s v="汽油-天然气"/>
    <x v="5"/>
    <s v="小型客车"/>
    <s v="非营运"/>
    <s v="商用车"/>
    <x v="6"/>
    <x v="1"/>
    <n v="1594"/>
  </r>
  <r>
    <n v="336"/>
    <x v="2"/>
    <s v="汽油-天然气"/>
    <x v="5"/>
    <s v="小型客车"/>
    <s v="非营运"/>
    <s v="商用车"/>
    <x v="6"/>
    <x v="1"/>
    <n v="610"/>
  </r>
  <r>
    <n v="337"/>
    <x v="3"/>
    <s v="汽油-天然气"/>
    <x v="5"/>
    <s v="小型客车"/>
    <s v="非营运"/>
    <s v="商用车"/>
    <x v="6"/>
    <x v="1"/>
    <n v="1571"/>
  </r>
  <r>
    <n v="338"/>
    <x v="4"/>
    <s v="汽油-天然气"/>
    <x v="5"/>
    <s v="小型客车"/>
    <s v="非营运"/>
    <s v="商用车"/>
    <x v="6"/>
    <x v="1"/>
    <n v="2519"/>
  </r>
  <r>
    <n v="339"/>
    <x v="5"/>
    <s v="汽油-天然气"/>
    <x v="5"/>
    <s v="小型客车"/>
    <s v="非营运"/>
    <s v="商用车"/>
    <x v="6"/>
    <x v="1"/>
    <n v="516"/>
  </r>
  <r>
    <n v="340"/>
    <x v="1"/>
    <s v="天然气"/>
    <x v="5"/>
    <s v="小型客车"/>
    <s v="非营运"/>
    <s v="商用车"/>
    <x v="6"/>
    <x v="1"/>
    <n v="13"/>
  </r>
  <r>
    <n v="341"/>
    <x v="2"/>
    <s v="天然气"/>
    <x v="5"/>
    <s v="小型客车"/>
    <s v="非营运"/>
    <s v="商用车"/>
    <x v="6"/>
    <x v="1"/>
    <n v="58"/>
  </r>
  <r>
    <n v="342"/>
    <x v="3"/>
    <s v="天然气"/>
    <x v="5"/>
    <s v="小型客车"/>
    <s v="非营运"/>
    <s v="商用车"/>
    <x v="6"/>
    <x v="1"/>
    <n v="14"/>
  </r>
  <r>
    <n v="343"/>
    <x v="4"/>
    <s v="天然气"/>
    <x v="5"/>
    <s v="小型客车"/>
    <s v="非营运"/>
    <s v="商用车"/>
    <x v="6"/>
    <x v="1"/>
    <n v="4"/>
  </r>
  <r>
    <n v="344"/>
    <x v="5"/>
    <s v="天然气"/>
    <x v="5"/>
    <s v="小型客车"/>
    <s v="非营运"/>
    <s v="商用车"/>
    <x v="6"/>
    <x v="1"/>
    <n v="180"/>
  </r>
  <r>
    <n v="345"/>
    <x v="6"/>
    <s v="天然气"/>
    <x v="5"/>
    <s v="小型客车"/>
    <s v="非营运"/>
    <s v="商用车"/>
    <x v="6"/>
    <x v="1"/>
    <n v="847"/>
  </r>
  <r>
    <n v="346"/>
    <x v="5"/>
    <s v="插电式混合动力"/>
    <x v="0"/>
    <s v="中型货车"/>
    <s v="非营运"/>
    <s v="商用车"/>
    <x v="4"/>
    <x v="3"/>
    <n v="6"/>
  </r>
  <r>
    <n v="347"/>
    <x v="6"/>
    <s v="插电式混合动力"/>
    <x v="0"/>
    <s v="中型货车"/>
    <s v="非营运"/>
    <s v="商用车"/>
    <x v="4"/>
    <x v="3"/>
    <n v="18"/>
  </r>
  <r>
    <n v="348"/>
    <x v="0"/>
    <s v="柴油"/>
    <x v="1"/>
    <s v="中型货车"/>
    <s v="非营运"/>
    <s v="商用车"/>
    <x v="4"/>
    <x v="3"/>
    <n v="38845"/>
  </r>
  <r>
    <n v="349"/>
    <x v="1"/>
    <s v="柴油"/>
    <x v="1"/>
    <s v="中型货车"/>
    <s v="非营运"/>
    <s v="商用车"/>
    <x v="4"/>
    <x v="3"/>
    <n v="19424"/>
  </r>
  <r>
    <n v="350"/>
    <x v="2"/>
    <s v="柴油"/>
    <x v="1"/>
    <s v="中型货车"/>
    <s v="非营运"/>
    <s v="商用车"/>
    <x v="4"/>
    <x v="3"/>
    <n v="22091"/>
  </r>
  <r>
    <n v="351"/>
    <x v="3"/>
    <s v="柴油"/>
    <x v="1"/>
    <s v="中型货车"/>
    <s v="非营运"/>
    <s v="商用车"/>
    <x v="4"/>
    <x v="3"/>
    <n v="22098"/>
  </r>
  <r>
    <n v="352"/>
    <x v="4"/>
    <s v="柴油"/>
    <x v="1"/>
    <s v="中型货车"/>
    <s v="非营运"/>
    <s v="商用车"/>
    <x v="4"/>
    <x v="3"/>
    <n v="23665"/>
  </r>
  <r>
    <n v="353"/>
    <x v="5"/>
    <s v="柴油"/>
    <x v="1"/>
    <s v="中型货车"/>
    <s v="非营运"/>
    <s v="商用车"/>
    <x v="4"/>
    <x v="3"/>
    <n v="30952"/>
  </r>
  <r>
    <n v="354"/>
    <x v="6"/>
    <s v="柴油"/>
    <x v="1"/>
    <s v="中型货车"/>
    <s v="非营运"/>
    <s v="商用车"/>
    <x v="4"/>
    <x v="3"/>
    <n v="32738"/>
  </r>
  <r>
    <n v="355"/>
    <x v="0"/>
    <s v="纯电动"/>
    <x v="2"/>
    <s v="中型货车"/>
    <s v="非营运"/>
    <s v="商用车"/>
    <x v="4"/>
    <x v="3"/>
    <n v="25"/>
  </r>
  <r>
    <n v="356"/>
    <x v="1"/>
    <s v="纯电动"/>
    <x v="2"/>
    <s v="中型货车"/>
    <s v="非营运"/>
    <s v="商用车"/>
    <x v="4"/>
    <x v="3"/>
    <n v="99"/>
  </r>
  <r>
    <n v="357"/>
    <x v="2"/>
    <s v="纯电动"/>
    <x v="2"/>
    <s v="中型货车"/>
    <s v="非营运"/>
    <s v="商用车"/>
    <x v="4"/>
    <x v="3"/>
    <n v="350"/>
  </r>
  <r>
    <n v="358"/>
    <x v="3"/>
    <s v="纯电动"/>
    <x v="2"/>
    <s v="中型货车"/>
    <s v="非营运"/>
    <s v="商用车"/>
    <x v="4"/>
    <x v="3"/>
    <n v="153"/>
  </r>
  <r>
    <n v="359"/>
    <x v="4"/>
    <s v="纯电动"/>
    <x v="2"/>
    <s v="中型货车"/>
    <s v="非营运"/>
    <s v="商用车"/>
    <x v="4"/>
    <x v="3"/>
    <n v="239"/>
  </r>
  <r>
    <n v="360"/>
    <x v="5"/>
    <s v="纯电动"/>
    <x v="2"/>
    <s v="中型货车"/>
    <s v="非营运"/>
    <s v="商用车"/>
    <x v="4"/>
    <x v="3"/>
    <n v="546"/>
  </r>
  <r>
    <n v="361"/>
    <x v="6"/>
    <s v="纯电动"/>
    <x v="2"/>
    <s v="中型货车"/>
    <s v="非营运"/>
    <s v="商用车"/>
    <x v="4"/>
    <x v="3"/>
    <n v="826"/>
  </r>
  <r>
    <n v="362"/>
    <x v="0"/>
    <s v="汽油"/>
    <x v="4"/>
    <s v="中型货车"/>
    <s v="非营运"/>
    <s v="商用车"/>
    <x v="4"/>
    <x v="3"/>
    <n v="177"/>
  </r>
  <r>
    <n v="363"/>
    <x v="1"/>
    <s v="汽油"/>
    <x v="4"/>
    <s v="中型货车"/>
    <s v="非营运"/>
    <s v="商用车"/>
    <x v="4"/>
    <x v="3"/>
    <n v="2"/>
  </r>
  <r>
    <n v="364"/>
    <x v="2"/>
    <s v="汽油"/>
    <x v="4"/>
    <s v="中型货车"/>
    <s v="非营运"/>
    <s v="商用车"/>
    <x v="4"/>
    <x v="3"/>
    <n v="22"/>
  </r>
  <r>
    <n v="365"/>
    <x v="3"/>
    <s v="汽油"/>
    <x v="4"/>
    <s v="中型货车"/>
    <s v="非营运"/>
    <s v="商用车"/>
    <x v="4"/>
    <x v="3"/>
    <n v="18"/>
  </r>
  <r>
    <n v="366"/>
    <x v="4"/>
    <s v="汽油"/>
    <x v="4"/>
    <s v="中型货车"/>
    <s v="非营运"/>
    <s v="商用车"/>
    <x v="4"/>
    <x v="3"/>
    <n v="18"/>
  </r>
  <r>
    <n v="367"/>
    <x v="5"/>
    <s v="汽油"/>
    <x v="4"/>
    <s v="中型货车"/>
    <s v="非营运"/>
    <s v="商用车"/>
    <x v="4"/>
    <x v="3"/>
    <n v="39"/>
  </r>
  <r>
    <n v="368"/>
    <x v="6"/>
    <s v="汽油"/>
    <x v="4"/>
    <s v="中型货车"/>
    <s v="非营运"/>
    <s v="商用车"/>
    <x v="4"/>
    <x v="3"/>
    <n v="3"/>
  </r>
  <r>
    <n v="369"/>
    <x v="0"/>
    <s v="汽油-天然气"/>
    <x v="5"/>
    <s v="中型货车"/>
    <s v="非营运"/>
    <s v="商用车"/>
    <x v="4"/>
    <x v="3"/>
    <n v="1"/>
  </r>
  <r>
    <n v="370"/>
    <x v="1"/>
    <s v="汽油-天然气"/>
    <x v="5"/>
    <s v="中型货车"/>
    <s v="非营运"/>
    <s v="商用车"/>
    <x v="4"/>
    <x v="3"/>
    <n v="9"/>
  </r>
  <r>
    <n v="371"/>
    <x v="2"/>
    <s v="汽油-天然气"/>
    <x v="5"/>
    <s v="中型货车"/>
    <s v="非营运"/>
    <s v="商用车"/>
    <x v="4"/>
    <x v="3"/>
    <n v="5"/>
  </r>
  <r>
    <n v="372"/>
    <x v="3"/>
    <s v="燃料电池"/>
    <x v="6"/>
    <s v="中型货车"/>
    <s v="非营运"/>
    <s v="商用车"/>
    <x v="4"/>
    <x v="3"/>
    <n v="1"/>
  </r>
  <r>
    <n v="373"/>
    <x v="4"/>
    <s v="燃料电池"/>
    <x v="6"/>
    <s v="中型货车"/>
    <s v="非营运"/>
    <s v="商用车"/>
    <x v="4"/>
    <x v="3"/>
    <n v="85"/>
  </r>
  <r>
    <n v="374"/>
    <x v="5"/>
    <s v="燃料电池"/>
    <x v="6"/>
    <s v="中型货车"/>
    <s v="非营运"/>
    <s v="商用车"/>
    <x v="4"/>
    <x v="3"/>
    <n v="1"/>
  </r>
  <r>
    <n v="375"/>
    <x v="6"/>
    <s v="燃料电池"/>
    <x v="6"/>
    <s v="中型货车"/>
    <s v="非营运"/>
    <s v="商用车"/>
    <x v="4"/>
    <x v="3"/>
    <n v="8"/>
  </r>
  <r>
    <n v="376"/>
    <x v="0"/>
    <s v="天然气"/>
    <x v="5"/>
    <s v="中型货车"/>
    <s v="非营运"/>
    <s v="商用车"/>
    <x v="4"/>
    <x v="3"/>
    <n v="33"/>
  </r>
  <r>
    <n v="377"/>
    <x v="1"/>
    <s v="天然气"/>
    <x v="5"/>
    <s v="中型货车"/>
    <s v="非营运"/>
    <s v="商用车"/>
    <x v="4"/>
    <x v="3"/>
    <n v="16"/>
  </r>
  <r>
    <n v="378"/>
    <x v="2"/>
    <s v="天然气"/>
    <x v="5"/>
    <s v="中型货车"/>
    <s v="非营运"/>
    <s v="商用车"/>
    <x v="4"/>
    <x v="3"/>
    <n v="49"/>
  </r>
  <r>
    <n v="379"/>
    <x v="3"/>
    <s v="天然气"/>
    <x v="5"/>
    <s v="中型货车"/>
    <s v="非营运"/>
    <s v="商用车"/>
    <x v="4"/>
    <x v="3"/>
    <n v="99"/>
  </r>
  <r>
    <n v="380"/>
    <x v="4"/>
    <s v="天然气"/>
    <x v="5"/>
    <s v="中型货车"/>
    <s v="非营运"/>
    <s v="商用车"/>
    <x v="4"/>
    <x v="3"/>
    <n v="85"/>
  </r>
  <r>
    <n v="381"/>
    <x v="5"/>
    <s v="天然气"/>
    <x v="5"/>
    <s v="中型货车"/>
    <s v="非营运"/>
    <s v="商用车"/>
    <x v="4"/>
    <x v="3"/>
    <n v="210"/>
  </r>
  <r>
    <n v="382"/>
    <x v="6"/>
    <s v="天然气"/>
    <x v="5"/>
    <s v="中型货车"/>
    <s v="非营运"/>
    <s v="商用车"/>
    <x v="4"/>
    <x v="3"/>
    <n v="238"/>
  </r>
  <r>
    <n v="383"/>
    <x v="1"/>
    <s v="无"/>
    <x v="7"/>
    <s v="中型货车"/>
    <s v="非营运"/>
    <s v="商用车"/>
    <x v="4"/>
    <x v="3"/>
    <n v="3"/>
  </r>
  <r>
    <n v="384"/>
    <x v="0"/>
    <s v="柴油"/>
    <x v="1"/>
    <s v="中型客车"/>
    <s v="非营运"/>
    <s v="商用车"/>
    <x v="1"/>
    <x v="0"/>
    <n v="18522"/>
  </r>
  <r>
    <n v="385"/>
    <x v="1"/>
    <s v="柴油"/>
    <x v="1"/>
    <s v="中型客车"/>
    <s v="非营运"/>
    <s v="商用车"/>
    <x v="1"/>
    <x v="0"/>
    <n v="24535"/>
  </r>
  <r>
    <n v="386"/>
    <x v="2"/>
    <s v="柴油"/>
    <x v="1"/>
    <s v="中型客车"/>
    <s v="非营运"/>
    <s v="商用车"/>
    <x v="1"/>
    <x v="0"/>
    <n v="18547"/>
  </r>
  <r>
    <n v="387"/>
    <x v="3"/>
    <s v="柴油"/>
    <x v="1"/>
    <s v="中型客车"/>
    <s v="非营运"/>
    <s v="商用车"/>
    <x v="1"/>
    <x v="0"/>
    <n v="11601"/>
  </r>
  <r>
    <n v="388"/>
    <x v="4"/>
    <s v="柴油"/>
    <x v="1"/>
    <s v="中型客车"/>
    <s v="非营运"/>
    <s v="商用车"/>
    <x v="1"/>
    <x v="0"/>
    <n v="16189"/>
  </r>
  <r>
    <n v="389"/>
    <x v="5"/>
    <s v="柴油"/>
    <x v="1"/>
    <s v="中型客车"/>
    <s v="非营运"/>
    <s v="商用车"/>
    <x v="1"/>
    <x v="0"/>
    <n v="5557"/>
  </r>
  <r>
    <n v="390"/>
    <x v="6"/>
    <s v="柴油"/>
    <x v="1"/>
    <s v="中型客车"/>
    <s v="非营运"/>
    <s v="商用车"/>
    <x v="1"/>
    <x v="0"/>
    <n v="10167"/>
  </r>
  <r>
    <n v="391"/>
    <x v="0"/>
    <s v="纯电动"/>
    <x v="2"/>
    <s v="中型客车"/>
    <s v="非营运"/>
    <s v="商用车"/>
    <x v="1"/>
    <x v="0"/>
    <n v="2"/>
  </r>
  <r>
    <n v="392"/>
    <x v="4"/>
    <s v="纯电动"/>
    <x v="2"/>
    <s v="中型客车"/>
    <s v="非营运"/>
    <s v="商用车"/>
    <x v="1"/>
    <x v="0"/>
    <n v="45"/>
  </r>
  <r>
    <n v="393"/>
    <x v="5"/>
    <s v="纯电动"/>
    <x v="2"/>
    <s v="中型客车"/>
    <s v="非营运"/>
    <s v="商用车"/>
    <x v="1"/>
    <x v="0"/>
    <n v="205"/>
  </r>
  <r>
    <n v="394"/>
    <x v="6"/>
    <s v="纯电动"/>
    <x v="2"/>
    <s v="中型客车"/>
    <s v="非营运"/>
    <s v="商用车"/>
    <x v="1"/>
    <x v="0"/>
    <n v="516"/>
  </r>
  <r>
    <n v="395"/>
    <x v="0"/>
    <s v="汽油"/>
    <x v="4"/>
    <s v="中型客车"/>
    <s v="非营运"/>
    <s v="商用车"/>
    <x v="1"/>
    <x v="0"/>
    <n v="9403"/>
  </r>
  <r>
    <n v="396"/>
    <x v="1"/>
    <s v="汽油"/>
    <x v="4"/>
    <s v="中型客车"/>
    <s v="非营运"/>
    <s v="商用车"/>
    <x v="1"/>
    <x v="0"/>
    <n v="12812"/>
  </r>
  <r>
    <n v="397"/>
    <x v="2"/>
    <s v="汽油"/>
    <x v="4"/>
    <s v="中型客车"/>
    <s v="非营运"/>
    <s v="商用车"/>
    <x v="1"/>
    <x v="0"/>
    <n v="9768"/>
  </r>
  <r>
    <n v="398"/>
    <x v="3"/>
    <s v="汽油"/>
    <x v="4"/>
    <s v="中型客车"/>
    <s v="非营运"/>
    <s v="商用车"/>
    <x v="1"/>
    <x v="0"/>
    <n v="6389"/>
  </r>
  <r>
    <n v="399"/>
    <x v="4"/>
    <s v="汽油"/>
    <x v="4"/>
    <s v="中型客车"/>
    <s v="非营运"/>
    <s v="商用车"/>
    <x v="1"/>
    <x v="0"/>
    <n v="8586"/>
  </r>
  <r>
    <n v="400"/>
    <x v="5"/>
    <s v="汽油"/>
    <x v="4"/>
    <s v="中型客车"/>
    <s v="非营运"/>
    <s v="商用车"/>
    <x v="1"/>
    <x v="0"/>
    <n v="2266"/>
  </r>
  <r>
    <n v="401"/>
    <x v="6"/>
    <s v="汽油"/>
    <x v="4"/>
    <s v="中型客车"/>
    <s v="非营运"/>
    <s v="商用车"/>
    <x v="1"/>
    <x v="0"/>
    <n v="6175"/>
  </r>
  <r>
    <n v="402"/>
    <x v="0"/>
    <s v="汽油-天然气"/>
    <x v="5"/>
    <s v="中型客车"/>
    <s v="非营运"/>
    <s v="商用车"/>
    <x v="1"/>
    <x v="0"/>
    <n v="165"/>
  </r>
  <r>
    <n v="403"/>
    <x v="1"/>
    <s v="汽油-天然气"/>
    <x v="5"/>
    <s v="中型客车"/>
    <s v="非营运"/>
    <s v="商用车"/>
    <x v="1"/>
    <x v="0"/>
    <n v="53"/>
  </r>
  <r>
    <n v="404"/>
    <x v="0"/>
    <s v="天然气"/>
    <x v="5"/>
    <s v="中型客车"/>
    <s v="非营运"/>
    <s v="商用车"/>
    <x v="1"/>
    <x v="0"/>
    <n v="37"/>
  </r>
  <r>
    <n v="405"/>
    <x v="1"/>
    <s v="天然气"/>
    <x v="5"/>
    <s v="中型客车"/>
    <s v="非营运"/>
    <s v="商用车"/>
    <x v="1"/>
    <x v="0"/>
    <n v="257"/>
  </r>
  <r>
    <n v="406"/>
    <x v="2"/>
    <s v="天然气"/>
    <x v="5"/>
    <s v="中型客车"/>
    <s v="非营运"/>
    <s v="商用车"/>
    <x v="1"/>
    <x v="0"/>
    <n v="17"/>
  </r>
  <r>
    <n v="407"/>
    <x v="3"/>
    <s v="天然气"/>
    <x v="5"/>
    <s v="中型客车"/>
    <s v="非营运"/>
    <s v="商用车"/>
    <x v="1"/>
    <x v="0"/>
    <n v="2"/>
  </r>
  <r>
    <n v="408"/>
    <x v="4"/>
    <s v="天然气"/>
    <x v="5"/>
    <s v="中型客车"/>
    <s v="非营运"/>
    <s v="商用车"/>
    <x v="1"/>
    <x v="0"/>
    <n v="3"/>
  </r>
  <r>
    <n v="409"/>
    <x v="5"/>
    <s v="天然气"/>
    <x v="5"/>
    <s v="中型客车"/>
    <s v="非营运"/>
    <s v="商用车"/>
    <x v="1"/>
    <x v="0"/>
    <n v="1"/>
  </r>
  <r>
    <n v="410"/>
    <x v="6"/>
    <s v="天然气"/>
    <x v="5"/>
    <s v="中型客车"/>
    <s v="非营运"/>
    <s v="商用车"/>
    <x v="1"/>
    <x v="0"/>
    <n v="2"/>
  </r>
  <r>
    <n v="411"/>
    <x v="0"/>
    <s v="柴油"/>
    <x v="1"/>
    <s v="重型货车"/>
    <s v="非营运"/>
    <s v="商用车"/>
    <x v="4"/>
    <x v="3"/>
    <n v="61970"/>
  </r>
  <r>
    <n v="412"/>
    <x v="1"/>
    <s v="柴油"/>
    <x v="1"/>
    <s v="重型货车"/>
    <s v="非营运"/>
    <s v="商用车"/>
    <x v="4"/>
    <x v="3"/>
    <n v="37269"/>
  </r>
  <r>
    <n v="413"/>
    <x v="2"/>
    <s v="柴油"/>
    <x v="1"/>
    <s v="重型货车"/>
    <s v="非营运"/>
    <s v="商用车"/>
    <x v="4"/>
    <x v="3"/>
    <n v="66387"/>
  </r>
  <r>
    <n v="414"/>
    <x v="3"/>
    <s v="柴油"/>
    <x v="1"/>
    <s v="重型货车"/>
    <s v="非营运"/>
    <s v="商用车"/>
    <x v="4"/>
    <x v="3"/>
    <n v="65358"/>
  </r>
  <r>
    <n v="415"/>
    <x v="4"/>
    <s v="柴油"/>
    <x v="1"/>
    <s v="重型货车"/>
    <s v="非营运"/>
    <s v="商用车"/>
    <x v="4"/>
    <x v="3"/>
    <n v="68521"/>
  </r>
  <r>
    <n v="416"/>
    <x v="5"/>
    <s v="柴油"/>
    <x v="1"/>
    <s v="重型货车"/>
    <s v="非营运"/>
    <s v="商用车"/>
    <x v="4"/>
    <x v="3"/>
    <n v="98234"/>
  </r>
  <r>
    <n v="417"/>
    <x v="6"/>
    <s v="柴油"/>
    <x v="1"/>
    <s v="重型货车"/>
    <s v="非营运"/>
    <s v="商用车"/>
    <x v="4"/>
    <x v="3"/>
    <n v="92698"/>
  </r>
  <r>
    <n v="418"/>
    <x v="0"/>
    <s v="柴油-天然气"/>
    <x v="5"/>
    <s v="重型货车"/>
    <s v="非营运"/>
    <s v="商用车"/>
    <x v="4"/>
    <x v="3"/>
    <n v="1"/>
  </r>
  <r>
    <n v="419"/>
    <x v="0"/>
    <s v="纯电动"/>
    <x v="2"/>
    <s v="重型货车"/>
    <s v="非营运"/>
    <s v="商用车"/>
    <x v="4"/>
    <x v="3"/>
    <n v="37"/>
  </r>
  <r>
    <n v="420"/>
    <x v="1"/>
    <s v="纯电动"/>
    <x v="2"/>
    <s v="重型货车"/>
    <s v="非营运"/>
    <s v="商用车"/>
    <x v="4"/>
    <x v="3"/>
    <n v="5"/>
  </r>
  <r>
    <n v="421"/>
    <x v="2"/>
    <s v="纯电动"/>
    <x v="2"/>
    <s v="重型货车"/>
    <s v="非营运"/>
    <s v="商用车"/>
    <x v="4"/>
    <x v="3"/>
    <n v="91"/>
  </r>
  <r>
    <n v="422"/>
    <x v="3"/>
    <s v="纯电动"/>
    <x v="2"/>
    <s v="重型货车"/>
    <s v="非营运"/>
    <s v="商用车"/>
    <x v="4"/>
    <x v="3"/>
    <n v="60"/>
  </r>
  <r>
    <n v="423"/>
    <x v="4"/>
    <s v="纯电动"/>
    <x v="2"/>
    <s v="重型货车"/>
    <s v="非营运"/>
    <s v="商用车"/>
    <x v="4"/>
    <x v="3"/>
    <n v="385"/>
  </r>
  <r>
    <n v="424"/>
    <x v="5"/>
    <s v="纯电动"/>
    <x v="2"/>
    <s v="重型货车"/>
    <s v="非营运"/>
    <s v="商用车"/>
    <x v="4"/>
    <x v="3"/>
    <n v="932"/>
  </r>
  <r>
    <n v="425"/>
    <x v="6"/>
    <s v="纯电动"/>
    <x v="2"/>
    <s v="重型货车"/>
    <s v="非营运"/>
    <s v="商用车"/>
    <x v="4"/>
    <x v="3"/>
    <n v="1461"/>
  </r>
  <r>
    <n v="426"/>
    <x v="1"/>
    <s v="混合动力"/>
    <x v="3"/>
    <s v="重型货车"/>
    <s v="非营运"/>
    <s v="商用车"/>
    <x v="4"/>
    <x v="3"/>
    <n v="5"/>
  </r>
  <r>
    <n v="427"/>
    <x v="5"/>
    <s v="混合动力"/>
    <x v="3"/>
    <s v="重型货车"/>
    <s v="非营运"/>
    <s v="商用车"/>
    <x v="4"/>
    <x v="3"/>
    <n v="7"/>
  </r>
  <r>
    <n v="428"/>
    <x v="0"/>
    <s v="汽油"/>
    <x v="4"/>
    <s v="重型货车"/>
    <s v="非营运"/>
    <s v="商用车"/>
    <x v="4"/>
    <x v="3"/>
    <n v="4"/>
  </r>
  <r>
    <n v="429"/>
    <x v="1"/>
    <s v="汽油"/>
    <x v="4"/>
    <s v="重型货车"/>
    <s v="非营运"/>
    <s v="商用车"/>
    <x v="4"/>
    <x v="3"/>
    <n v="3"/>
  </r>
  <r>
    <n v="430"/>
    <x v="6"/>
    <s v="燃料电池"/>
    <x v="6"/>
    <s v="重型货车"/>
    <s v="非营运"/>
    <s v="商用车"/>
    <x v="4"/>
    <x v="3"/>
    <n v="9"/>
  </r>
  <r>
    <n v="431"/>
    <x v="0"/>
    <s v="天然气"/>
    <x v="5"/>
    <s v="重型货车"/>
    <s v="非营运"/>
    <s v="商用车"/>
    <x v="4"/>
    <x v="3"/>
    <n v="713"/>
  </r>
  <r>
    <n v="432"/>
    <x v="1"/>
    <s v="天然气"/>
    <x v="5"/>
    <s v="重型货车"/>
    <s v="非营运"/>
    <s v="商用车"/>
    <x v="4"/>
    <x v="3"/>
    <n v="417"/>
  </r>
  <r>
    <n v="433"/>
    <x v="2"/>
    <s v="天然气"/>
    <x v="5"/>
    <s v="重型货车"/>
    <s v="非营运"/>
    <s v="商用车"/>
    <x v="4"/>
    <x v="3"/>
    <n v="826"/>
  </r>
  <r>
    <n v="434"/>
    <x v="3"/>
    <s v="天然气"/>
    <x v="5"/>
    <s v="重型货车"/>
    <s v="非营运"/>
    <s v="商用车"/>
    <x v="4"/>
    <x v="3"/>
    <n v="1255"/>
  </r>
  <r>
    <n v="435"/>
    <x v="4"/>
    <s v="天然气"/>
    <x v="5"/>
    <s v="重型货车"/>
    <s v="非营运"/>
    <s v="商用车"/>
    <x v="4"/>
    <x v="3"/>
    <n v="1015"/>
  </r>
  <r>
    <n v="436"/>
    <x v="5"/>
    <s v="天然气"/>
    <x v="5"/>
    <s v="重型货车"/>
    <s v="非营运"/>
    <s v="商用车"/>
    <x v="4"/>
    <x v="3"/>
    <n v="1452"/>
  </r>
  <r>
    <n v="437"/>
    <x v="6"/>
    <s v="天然气"/>
    <x v="5"/>
    <s v="重型货车"/>
    <s v="非营运"/>
    <s v="商用车"/>
    <x v="4"/>
    <x v="3"/>
    <n v="1086"/>
  </r>
  <r>
    <n v="438"/>
    <x v="1"/>
    <s v="无"/>
    <x v="7"/>
    <s v="重型货车"/>
    <s v="非营运"/>
    <s v="商用车"/>
    <x v="4"/>
    <x v="3"/>
    <n v="1"/>
  </r>
  <r>
    <n v="439"/>
    <x v="0"/>
    <s v="插电式混合动力"/>
    <x v="0"/>
    <s v="大型客车"/>
    <s v="公路客运"/>
    <s v="商用车"/>
    <x v="1"/>
    <x v="0"/>
    <n v="200"/>
  </r>
  <r>
    <n v="440"/>
    <x v="1"/>
    <s v="插电式混合动力"/>
    <x v="0"/>
    <s v="大型客车"/>
    <s v="公路客运"/>
    <s v="商用车"/>
    <x v="1"/>
    <x v="0"/>
    <n v="323"/>
  </r>
  <r>
    <n v="441"/>
    <x v="2"/>
    <s v="插电式混合动力"/>
    <x v="0"/>
    <s v="大型客车"/>
    <s v="公路客运"/>
    <s v="商用车"/>
    <x v="1"/>
    <x v="0"/>
    <n v="32"/>
  </r>
  <r>
    <n v="442"/>
    <x v="3"/>
    <s v="插电式混合动力"/>
    <x v="0"/>
    <s v="大型客车"/>
    <s v="公路客运"/>
    <s v="商用车"/>
    <x v="1"/>
    <x v="0"/>
    <n v="11"/>
  </r>
  <r>
    <n v="443"/>
    <x v="5"/>
    <s v="插电式混合动力"/>
    <x v="0"/>
    <s v="大型客车"/>
    <s v="公路客运"/>
    <s v="商用车"/>
    <x v="1"/>
    <x v="0"/>
    <n v="4"/>
  </r>
  <r>
    <n v="444"/>
    <x v="0"/>
    <s v="柴油"/>
    <x v="1"/>
    <s v="大型客车"/>
    <s v="公路客运"/>
    <s v="商用车"/>
    <x v="1"/>
    <x v="0"/>
    <n v="35945"/>
  </r>
  <r>
    <n v="445"/>
    <x v="1"/>
    <s v="柴油"/>
    <x v="1"/>
    <s v="大型客车"/>
    <s v="公路客运"/>
    <s v="商用车"/>
    <x v="1"/>
    <x v="0"/>
    <n v="33685"/>
  </r>
  <r>
    <n v="446"/>
    <x v="2"/>
    <s v="柴油"/>
    <x v="1"/>
    <s v="大型客车"/>
    <s v="公路客运"/>
    <s v="商用车"/>
    <x v="1"/>
    <x v="0"/>
    <n v="24788"/>
  </r>
  <r>
    <n v="447"/>
    <x v="3"/>
    <s v="柴油"/>
    <x v="1"/>
    <s v="大型客车"/>
    <s v="公路客运"/>
    <s v="商用车"/>
    <x v="1"/>
    <x v="0"/>
    <n v="20043"/>
  </r>
  <r>
    <n v="448"/>
    <x v="4"/>
    <s v="柴油"/>
    <x v="1"/>
    <s v="大型客车"/>
    <s v="公路客运"/>
    <s v="商用车"/>
    <x v="1"/>
    <x v="0"/>
    <n v="22695"/>
  </r>
  <r>
    <n v="449"/>
    <x v="5"/>
    <s v="柴油"/>
    <x v="1"/>
    <s v="大型客车"/>
    <s v="公路客运"/>
    <s v="商用车"/>
    <x v="1"/>
    <x v="0"/>
    <n v="11684"/>
  </r>
  <r>
    <n v="450"/>
    <x v="6"/>
    <s v="柴油"/>
    <x v="1"/>
    <s v="大型客车"/>
    <s v="公路客运"/>
    <s v="商用车"/>
    <x v="1"/>
    <x v="0"/>
    <n v="15332"/>
  </r>
  <r>
    <n v="451"/>
    <x v="0"/>
    <s v="纯电动"/>
    <x v="2"/>
    <s v="大型客车"/>
    <s v="公路客运"/>
    <s v="商用车"/>
    <x v="1"/>
    <x v="0"/>
    <n v="5300"/>
  </r>
  <r>
    <n v="452"/>
    <x v="1"/>
    <s v="纯电动"/>
    <x v="2"/>
    <s v="大型客车"/>
    <s v="公路客运"/>
    <s v="商用车"/>
    <x v="1"/>
    <x v="0"/>
    <n v="3874"/>
  </r>
  <r>
    <n v="453"/>
    <x v="2"/>
    <s v="纯电动"/>
    <x v="2"/>
    <s v="大型客车"/>
    <s v="公路客运"/>
    <s v="商用车"/>
    <x v="1"/>
    <x v="0"/>
    <n v="6588"/>
  </r>
  <r>
    <n v="454"/>
    <x v="3"/>
    <s v="纯电动"/>
    <x v="2"/>
    <s v="大型客车"/>
    <s v="公路客运"/>
    <s v="商用车"/>
    <x v="1"/>
    <x v="0"/>
    <n v="3008"/>
  </r>
  <r>
    <n v="455"/>
    <x v="4"/>
    <s v="纯电动"/>
    <x v="2"/>
    <s v="大型客车"/>
    <s v="公路客运"/>
    <s v="商用车"/>
    <x v="1"/>
    <x v="0"/>
    <n v="2268"/>
  </r>
  <r>
    <n v="456"/>
    <x v="5"/>
    <s v="纯电动"/>
    <x v="2"/>
    <s v="大型客车"/>
    <s v="公路客运"/>
    <s v="商用车"/>
    <x v="1"/>
    <x v="0"/>
    <n v="1479"/>
  </r>
  <r>
    <n v="457"/>
    <x v="6"/>
    <s v="纯电动"/>
    <x v="2"/>
    <s v="大型客车"/>
    <s v="公路客运"/>
    <s v="商用车"/>
    <x v="1"/>
    <x v="0"/>
    <n v="2845"/>
  </r>
  <r>
    <n v="458"/>
    <x v="0"/>
    <s v="混合动力"/>
    <x v="3"/>
    <s v="大型客车"/>
    <s v="公路客运"/>
    <s v="商用车"/>
    <x v="1"/>
    <x v="0"/>
    <n v="87"/>
  </r>
  <r>
    <n v="459"/>
    <x v="1"/>
    <s v="混合动力"/>
    <x v="3"/>
    <s v="大型客车"/>
    <s v="公路客运"/>
    <s v="商用车"/>
    <x v="1"/>
    <x v="0"/>
    <n v="55"/>
  </r>
  <r>
    <n v="460"/>
    <x v="0"/>
    <s v="汽油"/>
    <x v="4"/>
    <s v="大型客车"/>
    <s v="公路客运"/>
    <s v="商用车"/>
    <x v="1"/>
    <x v="0"/>
    <n v="77"/>
  </r>
  <r>
    <n v="461"/>
    <x v="1"/>
    <s v="汽油"/>
    <x v="4"/>
    <s v="大型客车"/>
    <s v="公路客运"/>
    <s v="商用车"/>
    <x v="1"/>
    <x v="0"/>
    <n v="260"/>
  </r>
  <r>
    <n v="462"/>
    <x v="2"/>
    <s v="汽油"/>
    <x v="4"/>
    <s v="大型客车"/>
    <s v="公路客运"/>
    <s v="商用车"/>
    <x v="1"/>
    <x v="0"/>
    <n v="620"/>
  </r>
  <r>
    <n v="463"/>
    <x v="3"/>
    <s v="汽油"/>
    <x v="4"/>
    <s v="大型客车"/>
    <s v="公路客运"/>
    <s v="商用车"/>
    <x v="1"/>
    <x v="0"/>
    <n v="174"/>
  </r>
  <r>
    <n v="464"/>
    <x v="4"/>
    <s v="汽油"/>
    <x v="4"/>
    <s v="大型客车"/>
    <s v="公路客运"/>
    <s v="商用车"/>
    <x v="1"/>
    <x v="0"/>
    <n v="193"/>
  </r>
  <r>
    <n v="465"/>
    <x v="5"/>
    <s v="汽油"/>
    <x v="4"/>
    <s v="大型客车"/>
    <s v="公路客运"/>
    <s v="商用车"/>
    <x v="1"/>
    <x v="0"/>
    <n v="152"/>
  </r>
  <r>
    <n v="466"/>
    <x v="6"/>
    <s v="汽油"/>
    <x v="4"/>
    <s v="大型客车"/>
    <s v="公路客运"/>
    <s v="商用车"/>
    <x v="1"/>
    <x v="0"/>
    <n v="431"/>
  </r>
  <r>
    <n v="467"/>
    <x v="1"/>
    <s v="汽油-天然气"/>
    <x v="5"/>
    <s v="大型客车"/>
    <s v="公路客运"/>
    <s v="商用车"/>
    <x v="1"/>
    <x v="0"/>
    <n v="1"/>
  </r>
  <r>
    <n v="468"/>
    <x v="4"/>
    <s v="燃料电池"/>
    <x v="6"/>
    <s v="大型客车"/>
    <s v="公路客运"/>
    <s v="商用车"/>
    <x v="1"/>
    <x v="0"/>
    <n v="315"/>
  </r>
  <r>
    <n v="469"/>
    <x v="6"/>
    <s v="燃料电池"/>
    <x v="6"/>
    <s v="大型客车"/>
    <s v="公路客运"/>
    <s v="商用车"/>
    <x v="1"/>
    <x v="0"/>
    <n v="141"/>
  </r>
  <r>
    <n v="470"/>
    <x v="0"/>
    <s v="天然气"/>
    <x v="5"/>
    <s v="大型客车"/>
    <s v="公路客运"/>
    <s v="商用车"/>
    <x v="1"/>
    <x v="0"/>
    <n v="3668"/>
  </r>
  <r>
    <n v="471"/>
    <x v="1"/>
    <s v="天然气"/>
    <x v="5"/>
    <s v="大型客车"/>
    <s v="公路客运"/>
    <s v="商用车"/>
    <x v="1"/>
    <x v="0"/>
    <n v="1617"/>
  </r>
  <r>
    <n v="472"/>
    <x v="2"/>
    <s v="天然气"/>
    <x v="5"/>
    <s v="大型客车"/>
    <s v="公路客运"/>
    <s v="商用车"/>
    <x v="1"/>
    <x v="0"/>
    <n v="1304"/>
  </r>
  <r>
    <n v="473"/>
    <x v="3"/>
    <s v="天然气"/>
    <x v="5"/>
    <s v="大型客车"/>
    <s v="公路客运"/>
    <s v="商用车"/>
    <x v="1"/>
    <x v="0"/>
    <n v="973"/>
  </r>
  <r>
    <n v="474"/>
    <x v="4"/>
    <s v="天然气"/>
    <x v="5"/>
    <s v="大型客车"/>
    <s v="公路客运"/>
    <s v="商用车"/>
    <x v="1"/>
    <x v="0"/>
    <n v="746"/>
  </r>
  <r>
    <n v="475"/>
    <x v="5"/>
    <s v="天然气"/>
    <x v="5"/>
    <s v="大型客车"/>
    <s v="公路客运"/>
    <s v="商用车"/>
    <x v="1"/>
    <x v="0"/>
    <n v="385"/>
  </r>
  <r>
    <n v="476"/>
    <x v="6"/>
    <s v="天然气"/>
    <x v="5"/>
    <s v="大型客车"/>
    <s v="公路客运"/>
    <s v="商用车"/>
    <x v="1"/>
    <x v="0"/>
    <n v="261"/>
  </r>
  <r>
    <n v="477"/>
    <x v="1"/>
    <s v="柴油"/>
    <x v="1"/>
    <s v="轻型货车"/>
    <s v="公路客运"/>
    <s v="商用车"/>
    <x v="1"/>
    <x v="1"/>
    <n v="2"/>
  </r>
  <r>
    <n v="478"/>
    <x v="2"/>
    <s v="柴油"/>
    <x v="1"/>
    <s v="轻型货车"/>
    <s v="公路客运"/>
    <s v="商用车"/>
    <x v="1"/>
    <x v="1"/>
    <n v="2"/>
  </r>
  <r>
    <n v="479"/>
    <x v="6"/>
    <s v="柴油"/>
    <x v="1"/>
    <s v="轻型货车"/>
    <s v="公路客运"/>
    <s v="商用车"/>
    <x v="1"/>
    <x v="1"/>
    <n v="1"/>
  </r>
  <r>
    <n v="480"/>
    <x v="0"/>
    <s v="汽油"/>
    <x v="4"/>
    <s v="轻型货车"/>
    <s v="公路客运"/>
    <s v="商用车"/>
    <x v="1"/>
    <x v="1"/>
    <n v="2"/>
  </r>
  <r>
    <n v="481"/>
    <x v="0"/>
    <s v="柴油"/>
    <x v="1"/>
    <s v="未知"/>
    <s v="公路客运"/>
    <s v="商用车"/>
    <x v="1"/>
    <x v="4"/>
    <n v="232"/>
  </r>
  <r>
    <n v="482"/>
    <x v="0"/>
    <s v="汽油"/>
    <x v="4"/>
    <s v="未知"/>
    <s v="公路客运"/>
    <s v="商用车"/>
    <x v="1"/>
    <x v="4"/>
    <n v="7424"/>
  </r>
  <r>
    <n v="483"/>
    <x v="0"/>
    <s v="汽油-天然气"/>
    <x v="5"/>
    <s v="未知"/>
    <s v="公路客运"/>
    <s v="商用车"/>
    <x v="1"/>
    <x v="4"/>
    <n v="138"/>
  </r>
  <r>
    <n v="484"/>
    <x v="0"/>
    <s v="柴油"/>
    <x v="1"/>
    <s v="小型客车"/>
    <s v="公路客运"/>
    <s v="商用车"/>
    <x v="1"/>
    <x v="1"/>
    <n v="32"/>
  </r>
  <r>
    <n v="485"/>
    <x v="1"/>
    <s v="柴油"/>
    <x v="1"/>
    <s v="小型客车"/>
    <s v="公路客运"/>
    <s v="商用车"/>
    <x v="1"/>
    <x v="1"/>
    <n v="303"/>
  </r>
  <r>
    <n v="486"/>
    <x v="2"/>
    <s v="柴油"/>
    <x v="1"/>
    <s v="小型客车"/>
    <s v="公路客运"/>
    <s v="商用车"/>
    <x v="1"/>
    <x v="1"/>
    <n v="1114"/>
  </r>
  <r>
    <n v="487"/>
    <x v="3"/>
    <s v="柴油"/>
    <x v="1"/>
    <s v="小型客车"/>
    <s v="公路客运"/>
    <s v="商用车"/>
    <x v="1"/>
    <x v="1"/>
    <n v="2906"/>
  </r>
  <r>
    <n v="488"/>
    <x v="4"/>
    <s v="柴油"/>
    <x v="1"/>
    <s v="小型客车"/>
    <s v="公路客运"/>
    <s v="商用车"/>
    <x v="1"/>
    <x v="1"/>
    <n v="595"/>
  </r>
  <r>
    <n v="489"/>
    <x v="5"/>
    <s v="柴油"/>
    <x v="1"/>
    <s v="小型客车"/>
    <s v="公路客运"/>
    <s v="商用车"/>
    <x v="1"/>
    <x v="1"/>
    <n v="5700"/>
  </r>
  <r>
    <n v="490"/>
    <x v="6"/>
    <s v="柴油"/>
    <x v="1"/>
    <s v="小型客车"/>
    <s v="公路客运"/>
    <s v="商用车"/>
    <x v="1"/>
    <x v="1"/>
    <n v="5033"/>
  </r>
  <r>
    <n v="491"/>
    <x v="4"/>
    <s v="纯电动"/>
    <x v="2"/>
    <s v="小型客车"/>
    <s v="公路客运"/>
    <s v="商用车"/>
    <x v="1"/>
    <x v="1"/>
    <n v="14"/>
  </r>
  <r>
    <n v="492"/>
    <x v="5"/>
    <s v="纯电动"/>
    <x v="2"/>
    <s v="小型客车"/>
    <s v="公路客运"/>
    <s v="商用车"/>
    <x v="1"/>
    <x v="1"/>
    <n v="42"/>
  </r>
  <r>
    <n v="493"/>
    <x v="6"/>
    <s v="纯电动"/>
    <x v="2"/>
    <s v="小型客车"/>
    <s v="公路客运"/>
    <s v="商用车"/>
    <x v="1"/>
    <x v="1"/>
    <n v="40"/>
  </r>
  <r>
    <n v="494"/>
    <x v="0"/>
    <s v="汽油"/>
    <x v="4"/>
    <s v="小型客车"/>
    <s v="公路客运"/>
    <s v="商用车"/>
    <x v="1"/>
    <x v="1"/>
    <n v="15"/>
  </r>
  <r>
    <n v="495"/>
    <x v="1"/>
    <s v="汽油"/>
    <x v="4"/>
    <s v="小型客车"/>
    <s v="公路客运"/>
    <s v="商用车"/>
    <x v="1"/>
    <x v="1"/>
    <n v="687"/>
  </r>
  <r>
    <n v="496"/>
    <x v="2"/>
    <s v="汽油"/>
    <x v="4"/>
    <s v="小型客车"/>
    <s v="公路客运"/>
    <s v="商用车"/>
    <x v="1"/>
    <x v="1"/>
    <n v="1461"/>
  </r>
  <r>
    <n v="497"/>
    <x v="3"/>
    <s v="汽油"/>
    <x v="4"/>
    <s v="小型客车"/>
    <s v="公路客运"/>
    <s v="商用车"/>
    <x v="1"/>
    <x v="1"/>
    <n v="1261"/>
  </r>
  <r>
    <n v="498"/>
    <x v="4"/>
    <s v="汽油"/>
    <x v="4"/>
    <s v="小型客车"/>
    <s v="公路客运"/>
    <s v="商用车"/>
    <x v="1"/>
    <x v="1"/>
    <n v="1100"/>
  </r>
  <r>
    <n v="499"/>
    <x v="5"/>
    <s v="汽油"/>
    <x v="4"/>
    <s v="小型客车"/>
    <s v="公路客运"/>
    <s v="商用车"/>
    <x v="1"/>
    <x v="1"/>
    <n v="1131"/>
  </r>
  <r>
    <n v="500"/>
    <x v="6"/>
    <s v="汽油"/>
    <x v="4"/>
    <s v="小型客车"/>
    <s v="公路客运"/>
    <s v="商用车"/>
    <x v="1"/>
    <x v="1"/>
    <n v="569"/>
  </r>
  <r>
    <n v="501"/>
    <x v="1"/>
    <s v="汽油-天然气"/>
    <x v="5"/>
    <s v="小型客车"/>
    <s v="公路客运"/>
    <s v="商用车"/>
    <x v="1"/>
    <x v="1"/>
    <n v="24"/>
  </r>
  <r>
    <n v="502"/>
    <x v="2"/>
    <s v="汽油-天然气"/>
    <x v="5"/>
    <s v="小型客车"/>
    <s v="公路客运"/>
    <s v="商用车"/>
    <x v="1"/>
    <x v="1"/>
    <n v="72"/>
  </r>
  <r>
    <n v="503"/>
    <x v="3"/>
    <s v="汽油-天然气"/>
    <x v="5"/>
    <s v="小型客车"/>
    <s v="公路客运"/>
    <s v="商用车"/>
    <x v="1"/>
    <x v="1"/>
    <n v="67"/>
  </r>
  <r>
    <n v="504"/>
    <x v="4"/>
    <s v="汽油-天然气"/>
    <x v="5"/>
    <s v="小型客车"/>
    <s v="公路客运"/>
    <s v="商用车"/>
    <x v="1"/>
    <x v="1"/>
    <n v="38"/>
  </r>
  <r>
    <n v="505"/>
    <x v="5"/>
    <s v="汽油-天然气"/>
    <x v="5"/>
    <s v="小型客车"/>
    <s v="公路客运"/>
    <s v="商用车"/>
    <x v="1"/>
    <x v="1"/>
    <n v="10"/>
  </r>
  <r>
    <n v="506"/>
    <x v="1"/>
    <s v="天然气"/>
    <x v="5"/>
    <s v="小型客车"/>
    <s v="公路客运"/>
    <s v="商用车"/>
    <x v="1"/>
    <x v="1"/>
    <n v="13"/>
  </r>
  <r>
    <n v="507"/>
    <x v="2"/>
    <s v="天然气"/>
    <x v="5"/>
    <s v="小型客车"/>
    <s v="公路客运"/>
    <s v="商用车"/>
    <x v="1"/>
    <x v="1"/>
    <n v="12"/>
  </r>
  <r>
    <n v="508"/>
    <x v="3"/>
    <s v="天然气"/>
    <x v="5"/>
    <s v="小型客车"/>
    <s v="公路客运"/>
    <s v="商用车"/>
    <x v="1"/>
    <x v="1"/>
    <n v="52"/>
  </r>
  <r>
    <n v="509"/>
    <x v="5"/>
    <s v="天然气"/>
    <x v="5"/>
    <s v="小型客车"/>
    <s v="公路客运"/>
    <s v="商用车"/>
    <x v="1"/>
    <x v="1"/>
    <n v="8"/>
  </r>
  <r>
    <n v="510"/>
    <x v="2"/>
    <s v="柴油"/>
    <x v="1"/>
    <s v="中型货车"/>
    <s v="公路客运"/>
    <s v="商用车"/>
    <x v="1"/>
    <x v="0"/>
    <n v="29"/>
  </r>
  <r>
    <n v="511"/>
    <x v="2"/>
    <s v="纯电动"/>
    <x v="2"/>
    <s v="中型货车"/>
    <s v="公路客运"/>
    <s v="商用车"/>
    <x v="1"/>
    <x v="0"/>
    <n v="6"/>
  </r>
  <r>
    <n v="512"/>
    <x v="2"/>
    <s v="天然气"/>
    <x v="5"/>
    <s v="中型货车"/>
    <s v="公路客运"/>
    <s v="商用车"/>
    <x v="1"/>
    <x v="0"/>
    <n v="2"/>
  </r>
  <r>
    <n v="513"/>
    <x v="0"/>
    <s v="柴油"/>
    <x v="1"/>
    <s v="中型客车"/>
    <s v="公路客运"/>
    <s v="商用车"/>
    <x v="1"/>
    <x v="0"/>
    <n v="15160"/>
  </r>
  <r>
    <n v="514"/>
    <x v="1"/>
    <s v="柴油"/>
    <x v="1"/>
    <s v="中型客车"/>
    <s v="公路客运"/>
    <s v="商用车"/>
    <x v="1"/>
    <x v="0"/>
    <n v="15083"/>
  </r>
  <r>
    <n v="515"/>
    <x v="2"/>
    <s v="柴油"/>
    <x v="1"/>
    <s v="中型客车"/>
    <s v="公路客运"/>
    <s v="商用车"/>
    <x v="1"/>
    <x v="0"/>
    <n v="9743"/>
  </r>
  <r>
    <n v="516"/>
    <x v="3"/>
    <s v="柴油"/>
    <x v="1"/>
    <s v="中型客车"/>
    <s v="公路客运"/>
    <s v="商用车"/>
    <x v="1"/>
    <x v="0"/>
    <n v="7579"/>
  </r>
  <r>
    <n v="517"/>
    <x v="4"/>
    <s v="柴油"/>
    <x v="1"/>
    <s v="中型客车"/>
    <s v="公路客运"/>
    <s v="商用车"/>
    <x v="1"/>
    <x v="0"/>
    <n v="8614"/>
  </r>
  <r>
    <n v="518"/>
    <x v="5"/>
    <s v="柴油"/>
    <x v="1"/>
    <s v="中型客车"/>
    <s v="公路客运"/>
    <s v="商用车"/>
    <x v="1"/>
    <x v="0"/>
    <n v="2894"/>
  </r>
  <r>
    <n v="519"/>
    <x v="6"/>
    <s v="柴油"/>
    <x v="1"/>
    <s v="中型客车"/>
    <s v="公路客运"/>
    <s v="商用车"/>
    <x v="1"/>
    <x v="0"/>
    <n v="4601"/>
  </r>
  <r>
    <n v="520"/>
    <x v="3"/>
    <s v="纯电动"/>
    <x v="2"/>
    <s v="中型客车"/>
    <s v="公路客运"/>
    <s v="商用车"/>
    <x v="1"/>
    <x v="0"/>
    <n v="1"/>
  </r>
  <r>
    <n v="521"/>
    <x v="4"/>
    <s v="纯电动"/>
    <x v="2"/>
    <s v="中型客车"/>
    <s v="公路客运"/>
    <s v="商用车"/>
    <x v="1"/>
    <x v="0"/>
    <n v="181"/>
  </r>
  <r>
    <n v="522"/>
    <x v="5"/>
    <s v="纯电动"/>
    <x v="2"/>
    <s v="中型客车"/>
    <s v="公路客运"/>
    <s v="商用车"/>
    <x v="1"/>
    <x v="0"/>
    <n v="52"/>
  </r>
  <r>
    <n v="523"/>
    <x v="6"/>
    <s v="纯电动"/>
    <x v="2"/>
    <s v="中型客车"/>
    <s v="公路客运"/>
    <s v="商用车"/>
    <x v="1"/>
    <x v="0"/>
    <n v="258"/>
  </r>
  <r>
    <n v="524"/>
    <x v="0"/>
    <s v="汽油"/>
    <x v="4"/>
    <s v="中型客车"/>
    <s v="公路客运"/>
    <s v="商用车"/>
    <x v="1"/>
    <x v="0"/>
    <n v="929"/>
  </r>
  <r>
    <n v="525"/>
    <x v="1"/>
    <s v="汽油"/>
    <x v="4"/>
    <s v="中型客车"/>
    <s v="公路客运"/>
    <s v="商用车"/>
    <x v="1"/>
    <x v="0"/>
    <n v="1040"/>
  </r>
  <r>
    <n v="526"/>
    <x v="2"/>
    <s v="汽油"/>
    <x v="4"/>
    <s v="中型客车"/>
    <s v="公路客运"/>
    <s v="商用车"/>
    <x v="1"/>
    <x v="0"/>
    <n v="853"/>
  </r>
  <r>
    <n v="527"/>
    <x v="3"/>
    <s v="汽油"/>
    <x v="4"/>
    <s v="中型客车"/>
    <s v="公路客运"/>
    <s v="商用车"/>
    <x v="1"/>
    <x v="0"/>
    <n v="374"/>
  </r>
  <r>
    <n v="528"/>
    <x v="4"/>
    <s v="汽油"/>
    <x v="4"/>
    <s v="中型客车"/>
    <s v="公路客运"/>
    <s v="商用车"/>
    <x v="1"/>
    <x v="0"/>
    <n v="505"/>
  </r>
  <r>
    <n v="529"/>
    <x v="5"/>
    <s v="汽油"/>
    <x v="4"/>
    <s v="中型客车"/>
    <s v="公路客运"/>
    <s v="商用车"/>
    <x v="1"/>
    <x v="0"/>
    <n v="159"/>
  </r>
  <r>
    <n v="530"/>
    <x v="6"/>
    <s v="汽油"/>
    <x v="4"/>
    <s v="中型客车"/>
    <s v="公路客运"/>
    <s v="商用车"/>
    <x v="1"/>
    <x v="0"/>
    <n v="358"/>
  </r>
  <r>
    <n v="531"/>
    <x v="0"/>
    <s v="汽油-天然气"/>
    <x v="5"/>
    <s v="中型客车"/>
    <s v="公路客运"/>
    <s v="商用车"/>
    <x v="1"/>
    <x v="0"/>
    <n v="316"/>
  </r>
  <r>
    <n v="532"/>
    <x v="1"/>
    <s v="汽油-天然气"/>
    <x v="5"/>
    <s v="中型客车"/>
    <s v="公路客运"/>
    <s v="商用车"/>
    <x v="1"/>
    <x v="0"/>
    <n v="61"/>
  </r>
  <r>
    <n v="533"/>
    <x v="6"/>
    <s v="汽油-天然气"/>
    <x v="5"/>
    <s v="中型客车"/>
    <s v="公路客运"/>
    <s v="商用车"/>
    <x v="1"/>
    <x v="0"/>
    <n v="1"/>
  </r>
  <r>
    <n v="534"/>
    <x v="0"/>
    <s v="天然气"/>
    <x v="5"/>
    <s v="中型客车"/>
    <s v="公路客运"/>
    <s v="商用车"/>
    <x v="1"/>
    <x v="0"/>
    <n v="195"/>
  </r>
  <r>
    <n v="535"/>
    <x v="1"/>
    <s v="天然气"/>
    <x v="5"/>
    <s v="中型客车"/>
    <s v="公路客运"/>
    <s v="商用车"/>
    <x v="1"/>
    <x v="0"/>
    <n v="250"/>
  </r>
  <r>
    <n v="536"/>
    <x v="2"/>
    <s v="天然气"/>
    <x v="5"/>
    <s v="中型客车"/>
    <s v="公路客运"/>
    <s v="商用车"/>
    <x v="1"/>
    <x v="0"/>
    <n v="144"/>
  </r>
  <r>
    <n v="537"/>
    <x v="3"/>
    <s v="天然气"/>
    <x v="5"/>
    <s v="中型客车"/>
    <s v="公路客运"/>
    <s v="商用车"/>
    <x v="1"/>
    <x v="0"/>
    <n v="57"/>
  </r>
  <r>
    <n v="538"/>
    <x v="4"/>
    <s v="天然气"/>
    <x v="5"/>
    <s v="中型客车"/>
    <s v="公路客运"/>
    <s v="商用车"/>
    <x v="1"/>
    <x v="0"/>
    <n v="82"/>
  </r>
  <r>
    <n v="539"/>
    <x v="5"/>
    <s v="天然气"/>
    <x v="5"/>
    <s v="中型客车"/>
    <s v="公路客运"/>
    <s v="商用车"/>
    <x v="1"/>
    <x v="0"/>
    <n v="4"/>
  </r>
  <r>
    <n v="540"/>
    <x v="6"/>
    <s v="天然气"/>
    <x v="5"/>
    <s v="中型客车"/>
    <s v="公路客运"/>
    <s v="商用车"/>
    <x v="1"/>
    <x v="0"/>
    <n v="16"/>
  </r>
  <r>
    <n v="541"/>
    <x v="2"/>
    <s v="柴油"/>
    <x v="1"/>
    <s v="重型货车"/>
    <s v="公路客运"/>
    <s v="商用车"/>
    <x v="1"/>
    <x v="0"/>
    <n v="51"/>
  </r>
  <r>
    <n v="542"/>
    <x v="2"/>
    <s v="天然气"/>
    <x v="5"/>
    <s v="重型货车"/>
    <s v="公路客运"/>
    <s v="商用车"/>
    <x v="1"/>
    <x v="0"/>
    <n v="30"/>
  </r>
  <r>
    <n v="543"/>
    <x v="1"/>
    <s v="柴油"/>
    <x v="1"/>
    <s v="大型客车"/>
    <s v="未知"/>
    <s v="商用车"/>
    <x v="1"/>
    <x v="0"/>
    <n v="1347"/>
  </r>
  <r>
    <n v="544"/>
    <x v="2"/>
    <s v="柴油"/>
    <x v="1"/>
    <s v="大型客车"/>
    <s v="未知"/>
    <s v="商用车"/>
    <x v="1"/>
    <x v="0"/>
    <n v="1157"/>
  </r>
  <r>
    <n v="545"/>
    <x v="3"/>
    <s v="柴油"/>
    <x v="1"/>
    <s v="大型客车"/>
    <s v="未知"/>
    <s v="商用车"/>
    <x v="1"/>
    <x v="0"/>
    <n v="1353"/>
  </r>
  <r>
    <n v="546"/>
    <x v="4"/>
    <s v="柴油"/>
    <x v="1"/>
    <s v="大型客车"/>
    <s v="未知"/>
    <s v="商用车"/>
    <x v="1"/>
    <x v="0"/>
    <n v="943"/>
  </r>
  <r>
    <n v="547"/>
    <x v="5"/>
    <s v="柴油"/>
    <x v="1"/>
    <s v="大型客车"/>
    <s v="未知"/>
    <s v="商用车"/>
    <x v="1"/>
    <x v="0"/>
    <n v="588"/>
  </r>
  <r>
    <n v="548"/>
    <x v="6"/>
    <s v="柴油"/>
    <x v="1"/>
    <s v="大型客车"/>
    <s v="未知"/>
    <s v="商用车"/>
    <x v="1"/>
    <x v="0"/>
    <n v="520"/>
  </r>
  <r>
    <n v="549"/>
    <x v="4"/>
    <s v="纯电动"/>
    <x v="2"/>
    <s v="大型客车"/>
    <s v="未知"/>
    <s v="商用车"/>
    <x v="1"/>
    <x v="0"/>
    <n v="1"/>
  </r>
  <r>
    <n v="550"/>
    <x v="5"/>
    <s v="纯电动"/>
    <x v="2"/>
    <s v="大型客车"/>
    <s v="未知"/>
    <s v="商用车"/>
    <x v="1"/>
    <x v="0"/>
    <n v="1"/>
  </r>
  <r>
    <n v="551"/>
    <x v="6"/>
    <s v="纯电动"/>
    <x v="2"/>
    <s v="大型客车"/>
    <s v="未知"/>
    <s v="商用车"/>
    <x v="1"/>
    <x v="0"/>
    <n v="3"/>
  </r>
  <r>
    <n v="552"/>
    <x v="1"/>
    <s v="汽油"/>
    <x v="4"/>
    <s v="大型客车"/>
    <s v="未知"/>
    <s v="商用车"/>
    <x v="1"/>
    <x v="0"/>
    <n v="49"/>
  </r>
  <r>
    <n v="553"/>
    <x v="2"/>
    <s v="汽油"/>
    <x v="4"/>
    <s v="大型客车"/>
    <s v="未知"/>
    <s v="商用车"/>
    <x v="1"/>
    <x v="0"/>
    <n v="25"/>
  </r>
  <r>
    <n v="554"/>
    <x v="3"/>
    <s v="汽油"/>
    <x v="4"/>
    <s v="大型客车"/>
    <s v="未知"/>
    <s v="商用车"/>
    <x v="1"/>
    <x v="0"/>
    <n v="267"/>
  </r>
  <r>
    <n v="555"/>
    <x v="4"/>
    <s v="汽油"/>
    <x v="4"/>
    <s v="大型客车"/>
    <s v="未知"/>
    <s v="商用车"/>
    <x v="1"/>
    <x v="0"/>
    <n v="257"/>
  </r>
  <r>
    <n v="556"/>
    <x v="5"/>
    <s v="汽油"/>
    <x v="4"/>
    <s v="大型客车"/>
    <s v="未知"/>
    <s v="商用车"/>
    <x v="1"/>
    <x v="0"/>
    <n v="33"/>
  </r>
  <r>
    <n v="557"/>
    <x v="6"/>
    <s v="汽油"/>
    <x v="4"/>
    <s v="大型客车"/>
    <s v="未知"/>
    <s v="商用车"/>
    <x v="1"/>
    <x v="0"/>
    <n v="32"/>
  </r>
  <r>
    <n v="558"/>
    <x v="3"/>
    <s v="燃料电池"/>
    <x v="6"/>
    <s v="大型客车"/>
    <s v="未知"/>
    <s v="商用车"/>
    <x v="1"/>
    <x v="0"/>
    <n v="1"/>
  </r>
  <r>
    <n v="559"/>
    <x v="1"/>
    <s v="天然气"/>
    <x v="5"/>
    <s v="大型客车"/>
    <s v="未知"/>
    <s v="商用车"/>
    <x v="1"/>
    <x v="0"/>
    <n v="3"/>
  </r>
  <r>
    <n v="560"/>
    <x v="4"/>
    <s v="天然气"/>
    <x v="5"/>
    <s v="大型客车"/>
    <s v="未知"/>
    <s v="商用车"/>
    <x v="1"/>
    <x v="0"/>
    <n v="2"/>
  </r>
  <r>
    <n v="561"/>
    <x v="4"/>
    <s v="插电式混合动力"/>
    <x v="0"/>
    <s v="轻型货车"/>
    <s v="未知"/>
    <s v="商用车"/>
    <x v="2"/>
    <x v="2"/>
    <n v="16"/>
  </r>
  <r>
    <n v="562"/>
    <x v="5"/>
    <s v="插电式混合动力"/>
    <x v="0"/>
    <s v="轻型货车"/>
    <s v="未知"/>
    <s v="商用车"/>
    <x v="2"/>
    <x v="2"/>
    <n v="47"/>
  </r>
  <r>
    <n v="563"/>
    <x v="6"/>
    <s v="插电式混合动力"/>
    <x v="0"/>
    <s v="轻型货车"/>
    <s v="未知"/>
    <s v="商用车"/>
    <x v="2"/>
    <x v="2"/>
    <n v="128"/>
  </r>
  <r>
    <n v="564"/>
    <x v="1"/>
    <s v="柴油"/>
    <x v="1"/>
    <s v="轻型货车"/>
    <s v="未知"/>
    <s v="商用车"/>
    <x v="2"/>
    <x v="2"/>
    <n v="21019"/>
  </r>
  <r>
    <n v="565"/>
    <x v="2"/>
    <s v="柴油"/>
    <x v="1"/>
    <s v="轻型货车"/>
    <s v="未知"/>
    <s v="商用车"/>
    <x v="2"/>
    <x v="2"/>
    <n v="26223"/>
  </r>
  <r>
    <n v="566"/>
    <x v="3"/>
    <s v="柴油"/>
    <x v="1"/>
    <s v="轻型货车"/>
    <s v="未知"/>
    <s v="商用车"/>
    <x v="2"/>
    <x v="2"/>
    <n v="27453"/>
  </r>
  <r>
    <n v="567"/>
    <x v="4"/>
    <s v="柴油"/>
    <x v="1"/>
    <s v="轻型货车"/>
    <s v="未知"/>
    <s v="商用车"/>
    <x v="2"/>
    <x v="2"/>
    <n v="35385"/>
  </r>
  <r>
    <n v="568"/>
    <x v="5"/>
    <s v="柴油"/>
    <x v="1"/>
    <s v="轻型货车"/>
    <s v="未知"/>
    <s v="商用车"/>
    <x v="2"/>
    <x v="2"/>
    <n v="29548"/>
  </r>
  <r>
    <n v="569"/>
    <x v="6"/>
    <s v="柴油"/>
    <x v="1"/>
    <s v="轻型货车"/>
    <s v="未知"/>
    <s v="商用车"/>
    <x v="2"/>
    <x v="2"/>
    <n v="33028"/>
  </r>
  <r>
    <n v="570"/>
    <x v="1"/>
    <s v="纯电动"/>
    <x v="2"/>
    <s v="轻型货车"/>
    <s v="未知"/>
    <s v="商用车"/>
    <x v="2"/>
    <x v="2"/>
    <n v="657"/>
  </r>
  <r>
    <n v="571"/>
    <x v="2"/>
    <s v="纯电动"/>
    <x v="2"/>
    <s v="轻型货车"/>
    <s v="未知"/>
    <s v="商用车"/>
    <x v="2"/>
    <x v="2"/>
    <n v="12290"/>
  </r>
  <r>
    <n v="572"/>
    <x v="3"/>
    <s v="纯电动"/>
    <x v="2"/>
    <s v="轻型货车"/>
    <s v="未知"/>
    <s v="商用车"/>
    <x v="2"/>
    <x v="2"/>
    <n v="963"/>
  </r>
  <r>
    <n v="573"/>
    <x v="4"/>
    <s v="纯电动"/>
    <x v="2"/>
    <s v="轻型货车"/>
    <s v="未知"/>
    <s v="商用车"/>
    <x v="2"/>
    <x v="2"/>
    <n v="963"/>
  </r>
  <r>
    <n v="574"/>
    <x v="5"/>
    <s v="纯电动"/>
    <x v="2"/>
    <s v="轻型货车"/>
    <s v="未知"/>
    <s v="商用车"/>
    <x v="2"/>
    <x v="2"/>
    <n v="613"/>
  </r>
  <r>
    <n v="575"/>
    <x v="6"/>
    <s v="纯电动"/>
    <x v="2"/>
    <s v="轻型货车"/>
    <s v="未知"/>
    <s v="商用车"/>
    <x v="2"/>
    <x v="2"/>
    <n v="727"/>
  </r>
  <r>
    <n v="576"/>
    <x v="1"/>
    <s v="汽油"/>
    <x v="4"/>
    <s v="轻型货车"/>
    <s v="未知"/>
    <s v="商用车"/>
    <x v="2"/>
    <x v="2"/>
    <n v="12569"/>
  </r>
  <r>
    <n v="577"/>
    <x v="2"/>
    <s v="汽油"/>
    <x v="4"/>
    <s v="轻型货车"/>
    <s v="未知"/>
    <s v="商用车"/>
    <x v="2"/>
    <x v="2"/>
    <n v="19171"/>
  </r>
  <r>
    <n v="578"/>
    <x v="3"/>
    <s v="汽油"/>
    <x v="4"/>
    <s v="轻型货车"/>
    <s v="未知"/>
    <s v="商用车"/>
    <x v="2"/>
    <x v="2"/>
    <n v="13738"/>
  </r>
  <r>
    <n v="579"/>
    <x v="4"/>
    <s v="汽油"/>
    <x v="4"/>
    <s v="轻型货车"/>
    <s v="未知"/>
    <s v="商用车"/>
    <x v="2"/>
    <x v="2"/>
    <n v="13035"/>
  </r>
  <r>
    <n v="580"/>
    <x v="5"/>
    <s v="汽油"/>
    <x v="4"/>
    <s v="轻型货车"/>
    <s v="未知"/>
    <s v="商用车"/>
    <x v="2"/>
    <x v="2"/>
    <n v="7411"/>
  </r>
  <r>
    <n v="581"/>
    <x v="6"/>
    <s v="汽油"/>
    <x v="4"/>
    <s v="轻型货车"/>
    <s v="未知"/>
    <s v="商用车"/>
    <x v="2"/>
    <x v="2"/>
    <n v="6224"/>
  </r>
  <r>
    <n v="582"/>
    <x v="1"/>
    <s v="汽油-天然气"/>
    <x v="5"/>
    <s v="轻型货车"/>
    <s v="未知"/>
    <s v="商用车"/>
    <x v="2"/>
    <x v="2"/>
    <n v="113"/>
  </r>
  <r>
    <n v="583"/>
    <x v="2"/>
    <s v="汽油-天然气"/>
    <x v="5"/>
    <s v="轻型货车"/>
    <s v="未知"/>
    <s v="商用车"/>
    <x v="2"/>
    <x v="2"/>
    <n v="65"/>
  </r>
  <r>
    <n v="584"/>
    <x v="3"/>
    <s v="汽油-天然气"/>
    <x v="5"/>
    <s v="轻型货车"/>
    <s v="未知"/>
    <s v="商用车"/>
    <x v="2"/>
    <x v="2"/>
    <n v="20"/>
  </r>
  <r>
    <n v="585"/>
    <x v="4"/>
    <s v="汽油-天然气"/>
    <x v="5"/>
    <s v="轻型货车"/>
    <s v="未知"/>
    <s v="商用车"/>
    <x v="2"/>
    <x v="2"/>
    <n v="38"/>
  </r>
  <r>
    <n v="586"/>
    <x v="6"/>
    <s v="汽油-天然气"/>
    <x v="5"/>
    <s v="轻型货车"/>
    <s v="未知"/>
    <s v="商用车"/>
    <x v="2"/>
    <x v="2"/>
    <n v="1"/>
  </r>
  <r>
    <n v="587"/>
    <x v="1"/>
    <s v="天然气"/>
    <x v="5"/>
    <s v="轻型货车"/>
    <s v="未知"/>
    <s v="商用车"/>
    <x v="2"/>
    <x v="2"/>
    <n v="27"/>
  </r>
  <r>
    <n v="588"/>
    <x v="2"/>
    <s v="天然气"/>
    <x v="5"/>
    <s v="轻型货车"/>
    <s v="未知"/>
    <s v="商用车"/>
    <x v="2"/>
    <x v="2"/>
    <n v="38"/>
  </r>
  <r>
    <n v="589"/>
    <x v="3"/>
    <s v="天然气"/>
    <x v="5"/>
    <s v="轻型货车"/>
    <s v="未知"/>
    <s v="商用车"/>
    <x v="2"/>
    <x v="2"/>
    <n v="6"/>
  </r>
  <r>
    <n v="590"/>
    <x v="4"/>
    <s v="天然气"/>
    <x v="5"/>
    <s v="轻型货车"/>
    <s v="未知"/>
    <s v="商用车"/>
    <x v="2"/>
    <x v="2"/>
    <n v="4"/>
  </r>
  <r>
    <n v="591"/>
    <x v="5"/>
    <s v="天然气"/>
    <x v="5"/>
    <s v="轻型货车"/>
    <s v="未知"/>
    <s v="商用车"/>
    <x v="2"/>
    <x v="2"/>
    <n v="5"/>
  </r>
  <r>
    <n v="592"/>
    <x v="6"/>
    <s v="天然气"/>
    <x v="5"/>
    <s v="轻型货车"/>
    <s v="未知"/>
    <s v="商用车"/>
    <x v="2"/>
    <x v="2"/>
    <n v="1"/>
  </r>
  <r>
    <n v="593"/>
    <x v="1"/>
    <s v="柴油"/>
    <x v="1"/>
    <s v="微型货车"/>
    <s v="未知"/>
    <s v="商用车"/>
    <x v="2"/>
    <x v="2"/>
    <n v="64"/>
  </r>
  <r>
    <n v="594"/>
    <x v="2"/>
    <s v="柴油"/>
    <x v="1"/>
    <s v="微型货车"/>
    <s v="未知"/>
    <s v="商用车"/>
    <x v="2"/>
    <x v="2"/>
    <n v="19"/>
  </r>
  <r>
    <n v="595"/>
    <x v="2"/>
    <s v="纯电动"/>
    <x v="2"/>
    <s v="微型货车"/>
    <s v="未知"/>
    <s v="商用车"/>
    <x v="2"/>
    <x v="2"/>
    <n v="3"/>
  </r>
  <r>
    <n v="596"/>
    <x v="5"/>
    <s v="纯电动"/>
    <x v="2"/>
    <s v="微型货车"/>
    <s v="未知"/>
    <s v="商用车"/>
    <x v="2"/>
    <x v="2"/>
    <n v="1"/>
  </r>
  <r>
    <n v="597"/>
    <x v="1"/>
    <s v="柴油"/>
    <x v="1"/>
    <s v="微型客车"/>
    <s v="未知"/>
    <s v="商用车"/>
    <x v="3"/>
    <x v="1"/>
    <n v="7"/>
  </r>
  <r>
    <n v="598"/>
    <x v="2"/>
    <s v="柴油"/>
    <x v="1"/>
    <s v="微型客车"/>
    <s v="未知"/>
    <s v="商用车"/>
    <x v="3"/>
    <x v="1"/>
    <n v="2"/>
  </r>
  <r>
    <n v="599"/>
    <x v="1"/>
    <s v="柴油"/>
    <x v="1"/>
    <s v="小型客车"/>
    <s v="未知"/>
    <s v="商用车"/>
    <x v="3"/>
    <x v="1"/>
    <n v="11732"/>
  </r>
  <r>
    <n v="600"/>
    <x v="2"/>
    <s v="柴油"/>
    <x v="1"/>
    <s v="小型客车"/>
    <s v="未知"/>
    <s v="商用车"/>
    <x v="3"/>
    <x v="1"/>
    <n v="9427"/>
  </r>
  <r>
    <n v="601"/>
    <x v="3"/>
    <s v="柴油"/>
    <x v="1"/>
    <s v="小型客车"/>
    <s v="未知"/>
    <s v="商用车"/>
    <x v="3"/>
    <x v="1"/>
    <n v="10374"/>
  </r>
  <r>
    <n v="602"/>
    <x v="4"/>
    <s v="柴油"/>
    <x v="1"/>
    <s v="小型客车"/>
    <s v="未知"/>
    <s v="商用车"/>
    <x v="3"/>
    <x v="1"/>
    <n v="7494"/>
  </r>
  <r>
    <n v="603"/>
    <x v="5"/>
    <s v="柴油"/>
    <x v="1"/>
    <s v="小型客车"/>
    <s v="未知"/>
    <s v="商用车"/>
    <x v="3"/>
    <x v="1"/>
    <n v="6595"/>
  </r>
  <r>
    <n v="604"/>
    <x v="6"/>
    <s v="柴油"/>
    <x v="1"/>
    <s v="小型客车"/>
    <s v="未知"/>
    <s v="商用车"/>
    <x v="3"/>
    <x v="1"/>
    <n v="4512"/>
  </r>
  <r>
    <n v="605"/>
    <x v="1"/>
    <s v="纯电动"/>
    <x v="2"/>
    <s v="小型客车"/>
    <s v="未知"/>
    <s v="商用车"/>
    <x v="3"/>
    <x v="1"/>
    <n v="28"/>
  </r>
  <r>
    <n v="606"/>
    <x v="2"/>
    <s v="纯电动"/>
    <x v="2"/>
    <s v="小型客车"/>
    <s v="未知"/>
    <s v="商用车"/>
    <x v="3"/>
    <x v="1"/>
    <n v="60"/>
  </r>
  <r>
    <n v="607"/>
    <x v="3"/>
    <s v="纯电动"/>
    <x v="2"/>
    <s v="小型客车"/>
    <s v="未知"/>
    <s v="商用车"/>
    <x v="3"/>
    <x v="1"/>
    <n v="49"/>
  </r>
  <r>
    <n v="608"/>
    <x v="4"/>
    <s v="纯电动"/>
    <x v="2"/>
    <s v="小型客车"/>
    <s v="未知"/>
    <s v="商用车"/>
    <x v="3"/>
    <x v="1"/>
    <n v="35"/>
  </r>
  <r>
    <n v="609"/>
    <x v="5"/>
    <s v="纯电动"/>
    <x v="2"/>
    <s v="小型客车"/>
    <s v="未知"/>
    <s v="商用车"/>
    <x v="3"/>
    <x v="1"/>
    <n v="167"/>
  </r>
  <r>
    <n v="610"/>
    <x v="6"/>
    <s v="纯电动"/>
    <x v="2"/>
    <s v="小型客车"/>
    <s v="未知"/>
    <s v="商用车"/>
    <x v="3"/>
    <x v="1"/>
    <n v="143"/>
  </r>
  <r>
    <n v="611"/>
    <x v="1"/>
    <s v="汽油"/>
    <x v="4"/>
    <s v="小型客车"/>
    <s v="未知"/>
    <s v="商用车"/>
    <x v="3"/>
    <x v="1"/>
    <n v="7690"/>
  </r>
  <r>
    <n v="612"/>
    <x v="2"/>
    <s v="汽油"/>
    <x v="4"/>
    <s v="小型客车"/>
    <s v="未知"/>
    <s v="商用车"/>
    <x v="3"/>
    <x v="1"/>
    <n v="7191"/>
  </r>
  <r>
    <n v="613"/>
    <x v="3"/>
    <s v="汽油"/>
    <x v="4"/>
    <s v="小型客车"/>
    <s v="未知"/>
    <s v="商用车"/>
    <x v="3"/>
    <x v="1"/>
    <n v="5253"/>
  </r>
  <r>
    <n v="614"/>
    <x v="4"/>
    <s v="汽油"/>
    <x v="4"/>
    <s v="小型客车"/>
    <s v="未知"/>
    <s v="商用车"/>
    <x v="3"/>
    <x v="1"/>
    <n v="4099"/>
  </r>
  <r>
    <n v="615"/>
    <x v="5"/>
    <s v="汽油"/>
    <x v="4"/>
    <s v="小型客车"/>
    <s v="未知"/>
    <s v="商用车"/>
    <x v="3"/>
    <x v="1"/>
    <n v="2696"/>
  </r>
  <r>
    <n v="616"/>
    <x v="6"/>
    <s v="汽油"/>
    <x v="4"/>
    <s v="小型客车"/>
    <s v="未知"/>
    <s v="商用车"/>
    <x v="3"/>
    <x v="1"/>
    <n v="3776"/>
  </r>
  <r>
    <n v="617"/>
    <x v="2"/>
    <s v="插电式混合动力"/>
    <x v="0"/>
    <s v="中型货车"/>
    <s v="未知"/>
    <s v="商用车"/>
    <x v="4"/>
    <x v="3"/>
    <n v="200"/>
  </r>
  <r>
    <n v="618"/>
    <x v="5"/>
    <s v="插电式混合动力"/>
    <x v="0"/>
    <s v="中型货车"/>
    <s v="未知"/>
    <s v="商用车"/>
    <x v="4"/>
    <x v="3"/>
    <n v="3"/>
  </r>
  <r>
    <n v="619"/>
    <x v="6"/>
    <s v="插电式混合动力"/>
    <x v="0"/>
    <s v="中型货车"/>
    <s v="未知"/>
    <s v="商用车"/>
    <x v="4"/>
    <x v="3"/>
    <n v="6"/>
  </r>
  <r>
    <n v="620"/>
    <x v="1"/>
    <s v="柴油"/>
    <x v="1"/>
    <s v="中型货车"/>
    <s v="未知"/>
    <s v="商用车"/>
    <x v="4"/>
    <x v="3"/>
    <n v="32490"/>
  </r>
  <r>
    <n v="621"/>
    <x v="2"/>
    <s v="柴油"/>
    <x v="1"/>
    <s v="中型货车"/>
    <s v="未知"/>
    <s v="商用车"/>
    <x v="4"/>
    <x v="3"/>
    <n v="29338"/>
  </r>
  <r>
    <n v="622"/>
    <x v="3"/>
    <s v="柴油"/>
    <x v="1"/>
    <s v="中型货车"/>
    <s v="未知"/>
    <s v="商用车"/>
    <x v="4"/>
    <x v="3"/>
    <n v="27092"/>
  </r>
  <r>
    <n v="623"/>
    <x v="4"/>
    <s v="柴油"/>
    <x v="1"/>
    <s v="中型货车"/>
    <s v="未知"/>
    <s v="商用车"/>
    <x v="4"/>
    <x v="3"/>
    <n v="27024"/>
  </r>
  <r>
    <n v="624"/>
    <x v="5"/>
    <s v="柴油"/>
    <x v="1"/>
    <s v="中型货车"/>
    <s v="未知"/>
    <s v="商用车"/>
    <x v="4"/>
    <x v="3"/>
    <n v="18610"/>
  </r>
  <r>
    <n v="625"/>
    <x v="6"/>
    <s v="柴油"/>
    <x v="1"/>
    <s v="中型货车"/>
    <s v="未知"/>
    <s v="商用车"/>
    <x v="4"/>
    <x v="3"/>
    <n v="15686"/>
  </r>
  <r>
    <n v="626"/>
    <x v="1"/>
    <s v="纯电动"/>
    <x v="2"/>
    <s v="中型货车"/>
    <s v="未知"/>
    <s v="商用车"/>
    <x v="4"/>
    <x v="3"/>
    <n v="319"/>
  </r>
  <r>
    <n v="627"/>
    <x v="2"/>
    <s v="纯电动"/>
    <x v="2"/>
    <s v="中型货车"/>
    <s v="未知"/>
    <s v="商用车"/>
    <x v="4"/>
    <x v="3"/>
    <n v="4720"/>
  </r>
  <r>
    <n v="628"/>
    <x v="3"/>
    <s v="纯电动"/>
    <x v="2"/>
    <s v="中型货车"/>
    <s v="未知"/>
    <s v="商用车"/>
    <x v="4"/>
    <x v="3"/>
    <n v="741"/>
  </r>
  <r>
    <n v="629"/>
    <x v="4"/>
    <s v="纯电动"/>
    <x v="2"/>
    <s v="中型货车"/>
    <s v="未知"/>
    <s v="商用车"/>
    <x v="4"/>
    <x v="3"/>
    <n v="639"/>
  </r>
  <r>
    <n v="630"/>
    <x v="5"/>
    <s v="纯电动"/>
    <x v="2"/>
    <s v="中型货车"/>
    <s v="未知"/>
    <s v="商用车"/>
    <x v="4"/>
    <x v="3"/>
    <n v="705"/>
  </r>
  <r>
    <n v="631"/>
    <x v="6"/>
    <s v="纯电动"/>
    <x v="2"/>
    <s v="中型货车"/>
    <s v="未知"/>
    <s v="商用车"/>
    <x v="4"/>
    <x v="3"/>
    <n v="270"/>
  </r>
  <r>
    <n v="632"/>
    <x v="2"/>
    <s v="混合动力"/>
    <x v="3"/>
    <s v="中型货车"/>
    <s v="未知"/>
    <s v="商用车"/>
    <x v="4"/>
    <x v="3"/>
    <n v="1"/>
  </r>
  <r>
    <n v="633"/>
    <x v="1"/>
    <s v="汽油"/>
    <x v="4"/>
    <s v="中型货车"/>
    <s v="未知"/>
    <s v="商用车"/>
    <x v="4"/>
    <x v="3"/>
    <n v="12"/>
  </r>
  <r>
    <n v="634"/>
    <x v="2"/>
    <s v="汽油"/>
    <x v="4"/>
    <s v="中型货车"/>
    <s v="未知"/>
    <s v="商用车"/>
    <x v="4"/>
    <x v="3"/>
    <n v="24"/>
  </r>
  <r>
    <n v="635"/>
    <x v="3"/>
    <s v="汽油"/>
    <x v="4"/>
    <s v="中型货车"/>
    <s v="未知"/>
    <s v="商用车"/>
    <x v="4"/>
    <x v="3"/>
    <n v="18"/>
  </r>
  <r>
    <n v="636"/>
    <x v="4"/>
    <s v="汽油"/>
    <x v="4"/>
    <s v="中型货车"/>
    <s v="未知"/>
    <s v="商用车"/>
    <x v="4"/>
    <x v="3"/>
    <n v="12"/>
  </r>
  <r>
    <n v="637"/>
    <x v="5"/>
    <s v="汽油"/>
    <x v="4"/>
    <s v="中型货车"/>
    <s v="未知"/>
    <s v="商用车"/>
    <x v="4"/>
    <x v="3"/>
    <n v="5"/>
  </r>
  <r>
    <n v="638"/>
    <x v="1"/>
    <s v="汽油-天然气"/>
    <x v="5"/>
    <s v="中型货车"/>
    <s v="未知"/>
    <s v="商用车"/>
    <x v="4"/>
    <x v="3"/>
    <n v="5"/>
  </r>
  <r>
    <n v="639"/>
    <x v="2"/>
    <s v="燃料电池"/>
    <x v="6"/>
    <s v="中型货车"/>
    <s v="未知"/>
    <s v="商用车"/>
    <x v="4"/>
    <x v="3"/>
    <n v="531"/>
  </r>
  <r>
    <n v="640"/>
    <x v="3"/>
    <s v="燃料电池"/>
    <x v="6"/>
    <s v="中型货车"/>
    <s v="未知"/>
    <s v="商用车"/>
    <x v="4"/>
    <x v="3"/>
    <n v="1"/>
  </r>
  <r>
    <n v="641"/>
    <x v="4"/>
    <s v="燃料电池"/>
    <x v="6"/>
    <s v="中型货车"/>
    <s v="未知"/>
    <s v="商用车"/>
    <x v="4"/>
    <x v="3"/>
    <n v="411"/>
  </r>
  <r>
    <n v="642"/>
    <x v="5"/>
    <s v="燃料电池"/>
    <x v="6"/>
    <s v="中型货车"/>
    <s v="未知"/>
    <s v="商用车"/>
    <x v="4"/>
    <x v="3"/>
    <n v="63"/>
  </r>
  <r>
    <n v="643"/>
    <x v="6"/>
    <s v="燃料电池"/>
    <x v="6"/>
    <s v="中型货车"/>
    <s v="未知"/>
    <s v="商用车"/>
    <x v="4"/>
    <x v="3"/>
    <n v="7"/>
  </r>
  <r>
    <n v="644"/>
    <x v="1"/>
    <s v="天然气"/>
    <x v="5"/>
    <s v="中型货车"/>
    <s v="未知"/>
    <s v="商用车"/>
    <x v="4"/>
    <x v="3"/>
    <n v="121"/>
  </r>
  <r>
    <n v="645"/>
    <x v="2"/>
    <s v="天然气"/>
    <x v="5"/>
    <s v="中型货车"/>
    <s v="未知"/>
    <s v="商用车"/>
    <x v="4"/>
    <x v="3"/>
    <n v="319"/>
  </r>
  <r>
    <n v="646"/>
    <x v="3"/>
    <s v="天然气"/>
    <x v="5"/>
    <s v="中型货车"/>
    <s v="未知"/>
    <s v="商用车"/>
    <x v="4"/>
    <x v="3"/>
    <n v="264"/>
  </r>
  <r>
    <n v="647"/>
    <x v="4"/>
    <s v="天然气"/>
    <x v="5"/>
    <s v="中型货车"/>
    <s v="未知"/>
    <s v="商用车"/>
    <x v="4"/>
    <x v="3"/>
    <n v="121"/>
  </r>
  <r>
    <n v="648"/>
    <x v="5"/>
    <s v="天然气"/>
    <x v="5"/>
    <s v="中型货车"/>
    <s v="未知"/>
    <s v="商用车"/>
    <x v="4"/>
    <x v="3"/>
    <n v="62"/>
  </r>
  <r>
    <n v="649"/>
    <x v="6"/>
    <s v="天然气"/>
    <x v="5"/>
    <s v="中型货车"/>
    <s v="未知"/>
    <s v="商用车"/>
    <x v="4"/>
    <x v="3"/>
    <n v="28"/>
  </r>
  <r>
    <n v="650"/>
    <x v="1"/>
    <s v="柴油"/>
    <x v="1"/>
    <s v="中型客车"/>
    <s v="未知"/>
    <s v="商用车"/>
    <x v="1"/>
    <x v="0"/>
    <n v="2975"/>
  </r>
  <r>
    <n v="651"/>
    <x v="2"/>
    <s v="柴油"/>
    <x v="1"/>
    <s v="中型客车"/>
    <s v="未知"/>
    <s v="商用车"/>
    <x v="1"/>
    <x v="0"/>
    <n v="1412"/>
  </r>
  <r>
    <n v="652"/>
    <x v="3"/>
    <s v="柴油"/>
    <x v="1"/>
    <s v="中型客车"/>
    <s v="未知"/>
    <s v="商用车"/>
    <x v="1"/>
    <x v="0"/>
    <n v="675"/>
  </r>
  <r>
    <n v="653"/>
    <x v="4"/>
    <s v="柴油"/>
    <x v="1"/>
    <s v="中型客车"/>
    <s v="未知"/>
    <s v="商用车"/>
    <x v="1"/>
    <x v="0"/>
    <n v="1400"/>
  </r>
  <r>
    <n v="654"/>
    <x v="5"/>
    <s v="柴油"/>
    <x v="1"/>
    <s v="中型客车"/>
    <s v="未知"/>
    <s v="商用车"/>
    <x v="1"/>
    <x v="0"/>
    <n v="695"/>
  </r>
  <r>
    <n v="655"/>
    <x v="6"/>
    <s v="柴油"/>
    <x v="1"/>
    <s v="中型客车"/>
    <s v="未知"/>
    <s v="商用车"/>
    <x v="1"/>
    <x v="0"/>
    <n v="775"/>
  </r>
  <r>
    <n v="656"/>
    <x v="6"/>
    <s v="纯电动"/>
    <x v="2"/>
    <s v="中型客车"/>
    <s v="未知"/>
    <s v="商用车"/>
    <x v="1"/>
    <x v="0"/>
    <n v="15"/>
  </r>
  <r>
    <n v="657"/>
    <x v="1"/>
    <s v="汽油"/>
    <x v="4"/>
    <s v="中型客车"/>
    <s v="未知"/>
    <s v="商用车"/>
    <x v="1"/>
    <x v="0"/>
    <n v="417"/>
  </r>
  <r>
    <n v="658"/>
    <x v="2"/>
    <s v="汽油"/>
    <x v="4"/>
    <s v="中型客车"/>
    <s v="未知"/>
    <s v="商用车"/>
    <x v="1"/>
    <x v="0"/>
    <n v="281"/>
  </r>
  <r>
    <n v="659"/>
    <x v="3"/>
    <s v="汽油"/>
    <x v="4"/>
    <s v="中型客车"/>
    <s v="未知"/>
    <s v="商用车"/>
    <x v="1"/>
    <x v="0"/>
    <n v="103"/>
  </r>
  <r>
    <n v="660"/>
    <x v="4"/>
    <s v="汽油"/>
    <x v="4"/>
    <s v="中型客车"/>
    <s v="未知"/>
    <s v="商用车"/>
    <x v="1"/>
    <x v="0"/>
    <n v="117"/>
  </r>
  <r>
    <n v="661"/>
    <x v="5"/>
    <s v="汽油"/>
    <x v="4"/>
    <s v="中型客车"/>
    <s v="未知"/>
    <s v="商用车"/>
    <x v="1"/>
    <x v="0"/>
    <n v="37"/>
  </r>
  <r>
    <n v="662"/>
    <x v="6"/>
    <s v="汽油"/>
    <x v="4"/>
    <s v="中型客车"/>
    <s v="未知"/>
    <s v="商用车"/>
    <x v="1"/>
    <x v="0"/>
    <n v="56"/>
  </r>
  <r>
    <n v="663"/>
    <x v="2"/>
    <s v="插电式混合动力"/>
    <x v="0"/>
    <s v="重型货车"/>
    <s v="未知"/>
    <s v="商用车"/>
    <x v="4"/>
    <x v="3"/>
    <n v="920"/>
  </r>
  <r>
    <n v="664"/>
    <x v="1"/>
    <s v="柴油"/>
    <x v="1"/>
    <s v="重型货车"/>
    <s v="未知"/>
    <s v="商用车"/>
    <x v="4"/>
    <x v="3"/>
    <n v="92755"/>
  </r>
  <r>
    <n v="665"/>
    <x v="2"/>
    <s v="柴油"/>
    <x v="1"/>
    <s v="重型货车"/>
    <s v="未知"/>
    <s v="商用车"/>
    <x v="4"/>
    <x v="3"/>
    <n v="111768"/>
  </r>
  <r>
    <n v="666"/>
    <x v="3"/>
    <s v="柴油"/>
    <x v="1"/>
    <s v="重型货车"/>
    <s v="未知"/>
    <s v="商用车"/>
    <x v="4"/>
    <x v="3"/>
    <n v="134760"/>
  </r>
  <r>
    <n v="667"/>
    <x v="4"/>
    <s v="柴油"/>
    <x v="1"/>
    <s v="重型货车"/>
    <s v="未知"/>
    <s v="商用车"/>
    <x v="4"/>
    <x v="3"/>
    <n v="130568"/>
  </r>
  <r>
    <n v="668"/>
    <x v="5"/>
    <s v="柴油"/>
    <x v="1"/>
    <s v="重型货车"/>
    <s v="未知"/>
    <s v="商用车"/>
    <x v="4"/>
    <x v="3"/>
    <n v="97011"/>
  </r>
  <r>
    <n v="669"/>
    <x v="6"/>
    <s v="柴油"/>
    <x v="1"/>
    <s v="重型货车"/>
    <s v="未知"/>
    <s v="商用车"/>
    <x v="4"/>
    <x v="3"/>
    <n v="85085"/>
  </r>
  <r>
    <n v="670"/>
    <x v="1"/>
    <s v="纯电动"/>
    <x v="2"/>
    <s v="重型货车"/>
    <s v="未知"/>
    <s v="商用车"/>
    <x v="4"/>
    <x v="3"/>
    <n v="178"/>
  </r>
  <r>
    <n v="671"/>
    <x v="2"/>
    <s v="纯电动"/>
    <x v="2"/>
    <s v="重型货车"/>
    <s v="未知"/>
    <s v="商用车"/>
    <x v="4"/>
    <x v="3"/>
    <n v="10153"/>
  </r>
  <r>
    <n v="672"/>
    <x v="3"/>
    <s v="纯电动"/>
    <x v="2"/>
    <s v="重型货车"/>
    <s v="未知"/>
    <s v="商用车"/>
    <x v="4"/>
    <x v="3"/>
    <n v="292"/>
  </r>
  <r>
    <n v="673"/>
    <x v="4"/>
    <s v="纯电动"/>
    <x v="2"/>
    <s v="重型货车"/>
    <s v="未知"/>
    <s v="商用车"/>
    <x v="4"/>
    <x v="3"/>
    <n v="1091"/>
  </r>
  <r>
    <n v="674"/>
    <x v="5"/>
    <s v="纯电动"/>
    <x v="2"/>
    <s v="重型货车"/>
    <s v="未知"/>
    <s v="商用车"/>
    <x v="4"/>
    <x v="3"/>
    <n v="925"/>
  </r>
  <r>
    <n v="675"/>
    <x v="6"/>
    <s v="纯电动"/>
    <x v="2"/>
    <s v="重型货车"/>
    <s v="未知"/>
    <s v="商用车"/>
    <x v="4"/>
    <x v="3"/>
    <n v="1345"/>
  </r>
  <r>
    <n v="676"/>
    <x v="2"/>
    <s v="混合动力"/>
    <x v="3"/>
    <s v="重型货车"/>
    <s v="未知"/>
    <s v="商用车"/>
    <x v="4"/>
    <x v="3"/>
    <n v="55"/>
  </r>
  <r>
    <n v="677"/>
    <x v="5"/>
    <s v="混合动力"/>
    <x v="3"/>
    <s v="重型货车"/>
    <s v="未知"/>
    <s v="商用车"/>
    <x v="4"/>
    <x v="3"/>
    <n v="1"/>
  </r>
  <r>
    <n v="678"/>
    <x v="1"/>
    <s v="汽油"/>
    <x v="4"/>
    <s v="重型货车"/>
    <s v="未知"/>
    <s v="商用车"/>
    <x v="4"/>
    <x v="3"/>
    <n v="1"/>
  </r>
  <r>
    <n v="679"/>
    <x v="2"/>
    <s v="燃料电池"/>
    <x v="6"/>
    <s v="重型货车"/>
    <s v="未知"/>
    <s v="商用车"/>
    <x v="4"/>
    <x v="3"/>
    <n v="1"/>
  </r>
  <r>
    <n v="680"/>
    <x v="5"/>
    <s v="燃料电池"/>
    <x v="6"/>
    <s v="重型货车"/>
    <s v="未知"/>
    <s v="商用车"/>
    <x v="4"/>
    <x v="3"/>
    <n v="1"/>
  </r>
  <r>
    <n v="681"/>
    <x v="6"/>
    <s v="燃料电池"/>
    <x v="6"/>
    <s v="重型货车"/>
    <s v="未知"/>
    <s v="商用车"/>
    <x v="4"/>
    <x v="3"/>
    <n v="6"/>
  </r>
  <r>
    <n v="682"/>
    <x v="1"/>
    <s v="天然气"/>
    <x v="5"/>
    <s v="重型货车"/>
    <s v="未知"/>
    <s v="商用车"/>
    <x v="4"/>
    <x v="3"/>
    <n v="1392"/>
  </r>
  <r>
    <n v="683"/>
    <x v="2"/>
    <s v="天然气"/>
    <x v="5"/>
    <s v="重型货车"/>
    <s v="未知"/>
    <s v="商用车"/>
    <x v="4"/>
    <x v="3"/>
    <n v="3613"/>
  </r>
  <r>
    <n v="684"/>
    <x v="3"/>
    <s v="天然气"/>
    <x v="5"/>
    <s v="重型货车"/>
    <s v="未知"/>
    <s v="商用车"/>
    <x v="4"/>
    <x v="3"/>
    <n v="4852"/>
  </r>
  <r>
    <n v="685"/>
    <x v="4"/>
    <s v="天然气"/>
    <x v="5"/>
    <s v="重型货车"/>
    <s v="未知"/>
    <s v="商用车"/>
    <x v="4"/>
    <x v="3"/>
    <n v="3572"/>
  </r>
  <r>
    <n v="686"/>
    <x v="5"/>
    <s v="天然气"/>
    <x v="5"/>
    <s v="重型货车"/>
    <s v="未知"/>
    <s v="商用车"/>
    <x v="4"/>
    <x v="3"/>
    <n v="1979"/>
  </r>
  <r>
    <n v="687"/>
    <x v="6"/>
    <s v="天然气"/>
    <x v="5"/>
    <s v="重型货车"/>
    <s v="未知"/>
    <s v="商用车"/>
    <x v="4"/>
    <x v="3"/>
    <n v="1393"/>
  </r>
  <r>
    <n v="688"/>
    <x v="0"/>
    <s v="柴油"/>
    <x v="1"/>
    <s v="大型客车"/>
    <s v="营运"/>
    <s v="商用车"/>
    <x v="1"/>
    <x v="0"/>
    <n v="646"/>
  </r>
  <r>
    <n v="689"/>
    <x v="1"/>
    <s v="柴油"/>
    <x v="1"/>
    <s v="大型客车"/>
    <s v="营运"/>
    <s v="商用车"/>
    <x v="1"/>
    <x v="0"/>
    <n v="319"/>
  </r>
  <r>
    <n v="690"/>
    <x v="2"/>
    <s v="柴油"/>
    <x v="1"/>
    <s v="大型客车"/>
    <s v="营运"/>
    <s v="商用车"/>
    <x v="1"/>
    <x v="0"/>
    <n v="327"/>
  </r>
  <r>
    <n v="691"/>
    <x v="3"/>
    <s v="柴油"/>
    <x v="1"/>
    <s v="大型客车"/>
    <s v="营运"/>
    <s v="商用车"/>
    <x v="1"/>
    <x v="0"/>
    <n v="351"/>
  </r>
  <r>
    <n v="692"/>
    <x v="4"/>
    <s v="柴油"/>
    <x v="1"/>
    <s v="大型客车"/>
    <s v="营运"/>
    <s v="商用车"/>
    <x v="1"/>
    <x v="0"/>
    <n v="200"/>
  </r>
  <r>
    <n v="693"/>
    <x v="5"/>
    <s v="柴油"/>
    <x v="1"/>
    <s v="大型客车"/>
    <s v="营运"/>
    <s v="商用车"/>
    <x v="1"/>
    <x v="0"/>
    <n v="118"/>
  </r>
  <r>
    <n v="694"/>
    <x v="6"/>
    <s v="柴油"/>
    <x v="1"/>
    <s v="大型客车"/>
    <s v="营运"/>
    <s v="商用车"/>
    <x v="1"/>
    <x v="0"/>
    <n v="121"/>
  </r>
  <r>
    <n v="695"/>
    <x v="0"/>
    <s v="纯电动"/>
    <x v="2"/>
    <s v="大型客车"/>
    <s v="营运"/>
    <s v="商用车"/>
    <x v="1"/>
    <x v="0"/>
    <n v="1"/>
  </r>
  <r>
    <n v="696"/>
    <x v="3"/>
    <s v="纯电动"/>
    <x v="2"/>
    <s v="大型客车"/>
    <s v="营运"/>
    <s v="商用车"/>
    <x v="1"/>
    <x v="0"/>
    <n v="1"/>
  </r>
  <r>
    <n v="697"/>
    <x v="0"/>
    <s v="汽油"/>
    <x v="4"/>
    <s v="大型客车"/>
    <s v="营运"/>
    <s v="商用车"/>
    <x v="1"/>
    <x v="0"/>
    <n v="16"/>
  </r>
  <r>
    <n v="698"/>
    <x v="2"/>
    <s v="汽油"/>
    <x v="4"/>
    <s v="大型客车"/>
    <s v="营运"/>
    <s v="商用车"/>
    <x v="1"/>
    <x v="0"/>
    <n v="4"/>
  </r>
  <r>
    <n v="699"/>
    <x v="3"/>
    <s v="汽油"/>
    <x v="4"/>
    <s v="大型客车"/>
    <s v="营运"/>
    <s v="商用车"/>
    <x v="1"/>
    <x v="0"/>
    <n v="43"/>
  </r>
  <r>
    <n v="700"/>
    <x v="4"/>
    <s v="汽油"/>
    <x v="4"/>
    <s v="大型客车"/>
    <s v="营运"/>
    <s v="商用车"/>
    <x v="1"/>
    <x v="0"/>
    <n v="12"/>
  </r>
  <r>
    <n v="701"/>
    <x v="5"/>
    <s v="汽油"/>
    <x v="4"/>
    <s v="大型客车"/>
    <s v="营运"/>
    <s v="商用车"/>
    <x v="1"/>
    <x v="0"/>
    <n v="6"/>
  </r>
  <r>
    <n v="702"/>
    <x v="6"/>
    <s v="汽油"/>
    <x v="4"/>
    <s v="大型客车"/>
    <s v="营运"/>
    <s v="商用车"/>
    <x v="1"/>
    <x v="0"/>
    <n v="8"/>
  </r>
  <r>
    <n v="703"/>
    <x v="3"/>
    <s v="燃料电池"/>
    <x v="6"/>
    <s v="大型客车"/>
    <s v="营运"/>
    <s v="商用车"/>
    <x v="1"/>
    <x v="0"/>
    <n v="36"/>
  </r>
  <r>
    <n v="704"/>
    <x v="0"/>
    <s v="天然气"/>
    <x v="5"/>
    <s v="大型客车"/>
    <s v="营运"/>
    <s v="商用车"/>
    <x v="1"/>
    <x v="0"/>
    <n v="35"/>
  </r>
  <r>
    <n v="705"/>
    <x v="1"/>
    <s v="天然气"/>
    <x v="5"/>
    <s v="大型客车"/>
    <s v="营运"/>
    <s v="商用车"/>
    <x v="1"/>
    <x v="0"/>
    <n v="3"/>
  </r>
  <r>
    <n v="706"/>
    <x v="2"/>
    <s v="天然气"/>
    <x v="5"/>
    <s v="大型客车"/>
    <s v="营运"/>
    <s v="商用车"/>
    <x v="1"/>
    <x v="0"/>
    <n v="1"/>
  </r>
  <r>
    <n v="707"/>
    <x v="3"/>
    <s v="天然气"/>
    <x v="5"/>
    <s v="大型客车"/>
    <s v="营运"/>
    <s v="商用车"/>
    <x v="1"/>
    <x v="0"/>
    <n v="2"/>
  </r>
  <r>
    <n v="708"/>
    <x v="4"/>
    <s v="插电式混合动力"/>
    <x v="0"/>
    <s v="轻型货车"/>
    <s v="营运"/>
    <s v="商用车"/>
    <x v="2"/>
    <x v="2"/>
    <n v="49"/>
  </r>
  <r>
    <n v="709"/>
    <x v="5"/>
    <s v="插电式混合动力"/>
    <x v="0"/>
    <s v="轻型货车"/>
    <s v="营运"/>
    <s v="商用车"/>
    <x v="2"/>
    <x v="2"/>
    <n v="196"/>
  </r>
  <r>
    <n v="710"/>
    <x v="6"/>
    <s v="插电式混合动力"/>
    <x v="0"/>
    <s v="轻型货车"/>
    <s v="营运"/>
    <s v="商用车"/>
    <x v="2"/>
    <x v="2"/>
    <n v="894"/>
  </r>
  <r>
    <n v="711"/>
    <x v="0"/>
    <s v="柴油"/>
    <x v="1"/>
    <s v="轻型货车"/>
    <s v="营运"/>
    <s v="商用车"/>
    <x v="2"/>
    <x v="2"/>
    <n v="294279"/>
  </r>
  <r>
    <n v="712"/>
    <x v="1"/>
    <s v="柴油"/>
    <x v="1"/>
    <s v="轻型货车"/>
    <s v="营运"/>
    <s v="商用车"/>
    <x v="2"/>
    <x v="2"/>
    <n v="324335"/>
  </r>
  <r>
    <n v="713"/>
    <x v="2"/>
    <s v="柴油"/>
    <x v="1"/>
    <s v="轻型货车"/>
    <s v="营运"/>
    <s v="商用车"/>
    <x v="2"/>
    <x v="2"/>
    <n v="404272"/>
  </r>
  <r>
    <n v="714"/>
    <x v="3"/>
    <s v="柴油"/>
    <x v="1"/>
    <s v="轻型货车"/>
    <s v="营运"/>
    <s v="商用车"/>
    <x v="2"/>
    <x v="2"/>
    <n v="383072"/>
  </r>
  <r>
    <n v="715"/>
    <x v="4"/>
    <s v="柴油"/>
    <x v="1"/>
    <s v="轻型货车"/>
    <s v="营运"/>
    <s v="商用车"/>
    <x v="2"/>
    <x v="2"/>
    <n v="263663"/>
  </r>
  <r>
    <n v="716"/>
    <x v="5"/>
    <s v="柴油"/>
    <x v="1"/>
    <s v="轻型货车"/>
    <s v="营运"/>
    <s v="商用车"/>
    <x v="2"/>
    <x v="2"/>
    <n v="306799"/>
  </r>
  <r>
    <n v="717"/>
    <x v="6"/>
    <s v="柴油"/>
    <x v="1"/>
    <s v="轻型货车"/>
    <s v="营运"/>
    <s v="商用车"/>
    <x v="2"/>
    <x v="2"/>
    <n v="257324"/>
  </r>
  <r>
    <n v="718"/>
    <x v="0"/>
    <s v="纯电动"/>
    <x v="2"/>
    <s v="轻型货车"/>
    <s v="营运"/>
    <s v="商用车"/>
    <x v="2"/>
    <x v="2"/>
    <n v="6722"/>
  </r>
  <r>
    <n v="719"/>
    <x v="1"/>
    <s v="纯电动"/>
    <x v="2"/>
    <s v="轻型货车"/>
    <s v="营运"/>
    <s v="商用车"/>
    <x v="2"/>
    <x v="2"/>
    <n v="12211"/>
  </r>
  <r>
    <n v="720"/>
    <x v="2"/>
    <s v="纯电动"/>
    <x v="2"/>
    <s v="轻型货车"/>
    <s v="营运"/>
    <s v="商用车"/>
    <x v="2"/>
    <x v="2"/>
    <n v="41993"/>
  </r>
  <r>
    <n v="721"/>
    <x v="3"/>
    <s v="纯电动"/>
    <x v="2"/>
    <s v="轻型货车"/>
    <s v="营运"/>
    <s v="商用车"/>
    <x v="2"/>
    <x v="2"/>
    <n v="25505"/>
  </r>
  <r>
    <n v="722"/>
    <x v="4"/>
    <s v="纯电动"/>
    <x v="2"/>
    <s v="轻型货车"/>
    <s v="营运"/>
    <s v="商用车"/>
    <x v="2"/>
    <x v="2"/>
    <n v="10991"/>
  </r>
  <r>
    <n v="723"/>
    <x v="5"/>
    <s v="纯电动"/>
    <x v="2"/>
    <s v="轻型货车"/>
    <s v="营运"/>
    <s v="商用车"/>
    <x v="2"/>
    <x v="2"/>
    <n v="9318"/>
  </r>
  <r>
    <n v="724"/>
    <x v="6"/>
    <s v="纯电动"/>
    <x v="2"/>
    <s v="轻型货车"/>
    <s v="营运"/>
    <s v="商用车"/>
    <x v="2"/>
    <x v="2"/>
    <n v="24556"/>
  </r>
  <r>
    <n v="725"/>
    <x v="0"/>
    <s v="混合动力"/>
    <x v="3"/>
    <s v="轻型货车"/>
    <s v="营运"/>
    <s v="商用车"/>
    <x v="2"/>
    <x v="2"/>
    <n v="3"/>
  </r>
  <r>
    <n v="726"/>
    <x v="6"/>
    <s v="混合动力"/>
    <x v="3"/>
    <s v="轻型货车"/>
    <s v="营运"/>
    <s v="商用车"/>
    <x v="2"/>
    <x v="2"/>
    <n v="7"/>
  </r>
  <r>
    <n v="727"/>
    <x v="0"/>
    <s v="汽油"/>
    <x v="4"/>
    <s v="轻型货车"/>
    <s v="营运"/>
    <s v="商用车"/>
    <x v="2"/>
    <x v="2"/>
    <n v="153337"/>
  </r>
  <r>
    <n v="728"/>
    <x v="1"/>
    <s v="汽油"/>
    <x v="4"/>
    <s v="轻型货车"/>
    <s v="营运"/>
    <s v="商用车"/>
    <x v="2"/>
    <x v="2"/>
    <n v="116941"/>
  </r>
  <r>
    <n v="729"/>
    <x v="2"/>
    <s v="汽油"/>
    <x v="4"/>
    <s v="轻型货车"/>
    <s v="营运"/>
    <s v="商用车"/>
    <x v="2"/>
    <x v="2"/>
    <n v="144310"/>
  </r>
  <r>
    <n v="730"/>
    <x v="3"/>
    <s v="汽油"/>
    <x v="4"/>
    <s v="轻型货车"/>
    <s v="营运"/>
    <s v="商用车"/>
    <x v="2"/>
    <x v="2"/>
    <n v="85155"/>
  </r>
  <r>
    <n v="731"/>
    <x v="4"/>
    <s v="汽油"/>
    <x v="4"/>
    <s v="轻型货车"/>
    <s v="营运"/>
    <s v="商用车"/>
    <x v="2"/>
    <x v="2"/>
    <n v="57981"/>
  </r>
  <r>
    <n v="732"/>
    <x v="5"/>
    <s v="汽油"/>
    <x v="4"/>
    <s v="轻型货车"/>
    <s v="营运"/>
    <s v="商用车"/>
    <x v="2"/>
    <x v="2"/>
    <n v="47410"/>
  </r>
  <r>
    <n v="733"/>
    <x v="6"/>
    <s v="汽油"/>
    <x v="4"/>
    <s v="轻型货车"/>
    <s v="营运"/>
    <s v="商用车"/>
    <x v="2"/>
    <x v="2"/>
    <n v="45364"/>
  </r>
  <r>
    <n v="734"/>
    <x v="0"/>
    <s v="汽油-天然气"/>
    <x v="5"/>
    <s v="轻型货车"/>
    <s v="营运"/>
    <s v="商用车"/>
    <x v="2"/>
    <x v="2"/>
    <n v="16286"/>
  </r>
  <r>
    <n v="735"/>
    <x v="1"/>
    <s v="汽油-天然气"/>
    <x v="5"/>
    <s v="轻型货车"/>
    <s v="营运"/>
    <s v="商用车"/>
    <x v="2"/>
    <x v="2"/>
    <n v="6146"/>
  </r>
  <r>
    <n v="736"/>
    <x v="2"/>
    <s v="汽油-天然气"/>
    <x v="5"/>
    <s v="轻型货车"/>
    <s v="营运"/>
    <s v="商用车"/>
    <x v="2"/>
    <x v="2"/>
    <n v="7495"/>
  </r>
  <r>
    <n v="737"/>
    <x v="3"/>
    <s v="汽油-天然气"/>
    <x v="5"/>
    <s v="轻型货车"/>
    <s v="营运"/>
    <s v="商用车"/>
    <x v="2"/>
    <x v="2"/>
    <n v="7931"/>
  </r>
  <r>
    <n v="738"/>
    <x v="4"/>
    <s v="汽油-天然气"/>
    <x v="5"/>
    <s v="轻型货车"/>
    <s v="营运"/>
    <s v="商用车"/>
    <x v="2"/>
    <x v="2"/>
    <n v="6501"/>
  </r>
  <r>
    <n v="739"/>
    <x v="5"/>
    <s v="汽油-天然气"/>
    <x v="5"/>
    <s v="轻型货车"/>
    <s v="营运"/>
    <s v="商用车"/>
    <x v="2"/>
    <x v="2"/>
    <n v="1488"/>
  </r>
  <r>
    <n v="740"/>
    <x v="6"/>
    <s v="汽油-天然气"/>
    <x v="5"/>
    <s v="轻型货车"/>
    <s v="营运"/>
    <s v="商用车"/>
    <x v="2"/>
    <x v="2"/>
    <n v="11"/>
  </r>
  <r>
    <n v="741"/>
    <x v="6"/>
    <s v="燃料电池"/>
    <x v="6"/>
    <s v="轻型货车"/>
    <s v="营运"/>
    <s v="商用车"/>
    <x v="2"/>
    <x v="2"/>
    <n v="3"/>
  </r>
  <r>
    <n v="742"/>
    <x v="0"/>
    <s v="天然气"/>
    <x v="5"/>
    <s v="轻型货车"/>
    <s v="营运"/>
    <s v="商用车"/>
    <x v="2"/>
    <x v="2"/>
    <n v="232"/>
  </r>
  <r>
    <n v="743"/>
    <x v="1"/>
    <s v="天然气"/>
    <x v="5"/>
    <s v="轻型货车"/>
    <s v="营运"/>
    <s v="商用车"/>
    <x v="2"/>
    <x v="2"/>
    <n v="709"/>
  </r>
  <r>
    <n v="744"/>
    <x v="2"/>
    <s v="天然气"/>
    <x v="5"/>
    <s v="轻型货车"/>
    <s v="营运"/>
    <s v="商用车"/>
    <x v="2"/>
    <x v="2"/>
    <n v="189"/>
  </r>
  <r>
    <n v="745"/>
    <x v="3"/>
    <s v="天然气"/>
    <x v="5"/>
    <s v="轻型货车"/>
    <s v="营运"/>
    <s v="商用车"/>
    <x v="2"/>
    <x v="2"/>
    <n v="806"/>
  </r>
  <r>
    <n v="746"/>
    <x v="4"/>
    <s v="天然气"/>
    <x v="5"/>
    <s v="轻型货车"/>
    <s v="营运"/>
    <s v="商用车"/>
    <x v="2"/>
    <x v="2"/>
    <n v="548"/>
  </r>
  <r>
    <n v="747"/>
    <x v="5"/>
    <s v="天然气"/>
    <x v="5"/>
    <s v="轻型货车"/>
    <s v="营运"/>
    <s v="商用车"/>
    <x v="2"/>
    <x v="2"/>
    <n v="1582"/>
  </r>
  <r>
    <n v="748"/>
    <x v="6"/>
    <s v="天然气"/>
    <x v="5"/>
    <s v="轻型货车"/>
    <s v="营运"/>
    <s v="商用车"/>
    <x v="2"/>
    <x v="2"/>
    <n v="2883"/>
  </r>
  <r>
    <n v="749"/>
    <x v="1"/>
    <s v="柴油"/>
    <x v="1"/>
    <s v="微型货车"/>
    <s v="营运"/>
    <s v="商用车"/>
    <x v="2"/>
    <x v="2"/>
    <n v="68"/>
  </r>
  <r>
    <n v="750"/>
    <x v="2"/>
    <s v="柴油"/>
    <x v="1"/>
    <s v="微型货车"/>
    <s v="营运"/>
    <s v="商用车"/>
    <x v="2"/>
    <x v="2"/>
    <n v="14"/>
  </r>
  <r>
    <n v="751"/>
    <x v="0"/>
    <s v="纯电动"/>
    <x v="2"/>
    <s v="微型货车"/>
    <s v="营运"/>
    <s v="商用车"/>
    <x v="2"/>
    <x v="2"/>
    <n v="4"/>
  </r>
  <r>
    <n v="752"/>
    <x v="5"/>
    <s v="纯电动"/>
    <x v="2"/>
    <s v="微型货车"/>
    <s v="营运"/>
    <s v="商用车"/>
    <x v="2"/>
    <x v="2"/>
    <n v="5"/>
  </r>
  <r>
    <n v="753"/>
    <x v="2"/>
    <s v="柴油"/>
    <x v="1"/>
    <s v="微型客车"/>
    <s v="营运"/>
    <s v="商用车"/>
    <x v="3"/>
    <x v="1"/>
    <n v="2"/>
  </r>
  <r>
    <n v="754"/>
    <x v="0"/>
    <s v="柴油"/>
    <x v="1"/>
    <s v="未知"/>
    <s v="营运"/>
    <s v="商用车"/>
    <x v="5"/>
    <x v="4"/>
    <n v="11"/>
  </r>
  <r>
    <n v="755"/>
    <x v="0"/>
    <s v="汽油"/>
    <x v="4"/>
    <s v="未知"/>
    <s v="营运"/>
    <s v="商用车"/>
    <x v="5"/>
    <x v="4"/>
    <n v="876"/>
  </r>
  <r>
    <n v="756"/>
    <x v="0"/>
    <s v="无"/>
    <x v="7"/>
    <s v="未知"/>
    <s v="营运"/>
    <s v="商用车"/>
    <x v="5"/>
    <x v="4"/>
    <n v="190485"/>
  </r>
  <r>
    <n v="757"/>
    <x v="1"/>
    <s v="柴油"/>
    <x v="1"/>
    <s v="小型客车"/>
    <s v="营运"/>
    <s v="商用车"/>
    <x v="3"/>
    <x v="1"/>
    <n v="6430"/>
  </r>
  <r>
    <n v="758"/>
    <x v="2"/>
    <s v="柴油"/>
    <x v="1"/>
    <s v="小型客车"/>
    <s v="营运"/>
    <s v="商用车"/>
    <x v="3"/>
    <x v="1"/>
    <n v="6383"/>
  </r>
  <r>
    <n v="759"/>
    <x v="3"/>
    <s v="柴油"/>
    <x v="1"/>
    <s v="小型客车"/>
    <s v="营运"/>
    <s v="商用车"/>
    <x v="3"/>
    <x v="1"/>
    <n v="6387"/>
  </r>
  <r>
    <n v="760"/>
    <x v="4"/>
    <s v="柴油"/>
    <x v="1"/>
    <s v="小型客车"/>
    <s v="营运"/>
    <s v="商用车"/>
    <x v="3"/>
    <x v="1"/>
    <n v="4119"/>
  </r>
  <r>
    <n v="761"/>
    <x v="5"/>
    <s v="柴油"/>
    <x v="1"/>
    <s v="小型客车"/>
    <s v="营运"/>
    <s v="商用车"/>
    <x v="3"/>
    <x v="1"/>
    <n v="3732"/>
  </r>
  <r>
    <n v="762"/>
    <x v="6"/>
    <s v="柴油"/>
    <x v="1"/>
    <s v="小型客车"/>
    <s v="营运"/>
    <s v="商用车"/>
    <x v="3"/>
    <x v="1"/>
    <n v="2960"/>
  </r>
  <r>
    <n v="763"/>
    <x v="1"/>
    <s v="纯电动"/>
    <x v="2"/>
    <s v="小型客车"/>
    <s v="营运"/>
    <s v="商用车"/>
    <x v="3"/>
    <x v="1"/>
    <n v="1321"/>
  </r>
  <r>
    <n v="764"/>
    <x v="2"/>
    <s v="纯电动"/>
    <x v="2"/>
    <s v="小型客车"/>
    <s v="营运"/>
    <s v="商用车"/>
    <x v="3"/>
    <x v="1"/>
    <n v="11282"/>
  </r>
  <r>
    <n v="765"/>
    <x v="3"/>
    <s v="纯电动"/>
    <x v="2"/>
    <s v="小型客车"/>
    <s v="营运"/>
    <s v="商用车"/>
    <x v="3"/>
    <x v="1"/>
    <n v="11722"/>
  </r>
  <r>
    <n v="766"/>
    <x v="4"/>
    <s v="纯电动"/>
    <x v="2"/>
    <s v="小型客车"/>
    <s v="营运"/>
    <s v="商用车"/>
    <x v="3"/>
    <x v="1"/>
    <n v="7777"/>
  </r>
  <r>
    <n v="767"/>
    <x v="5"/>
    <s v="纯电动"/>
    <x v="2"/>
    <s v="小型客车"/>
    <s v="营运"/>
    <s v="商用车"/>
    <x v="3"/>
    <x v="1"/>
    <n v="8234"/>
  </r>
  <r>
    <n v="768"/>
    <x v="6"/>
    <s v="纯电动"/>
    <x v="2"/>
    <s v="小型客车"/>
    <s v="营运"/>
    <s v="商用车"/>
    <x v="3"/>
    <x v="1"/>
    <n v="17443"/>
  </r>
  <r>
    <n v="769"/>
    <x v="1"/>
    <s v="汽油"/>
    <x v="4"/>
    <s v="小型客车"/>
    <s v="营运"/>
    <s v="商用车"/>
    <x v="3"/>
    <x v="1"/>
    <n v="8777"/>
  </r>
  <r>
    <n v="770"/>
    <x v="2"/>
    <s v="汽油"/>
    <x v="4"/>
    <s v="小型客车"/>
    <s v="营运"/>
    <s v="商用车"/>
    <x v="3"/>
    <x v="1"/>
    <n v="10703"/>
  </r>
  <r>
    <n v="771"/>
    <x v="3"/>
    <s v="汽油"/>
    <x v="4"/>
    <s v="小型客车"/>
    <s v="营运"/>
    <s v="商用车"/>
    <x v="3"/>
    <x v="1"/>
    <n v="10708"/>
  </r>
  <r>
    <n v="772"/>
    <x v="4"/>
    <s v="汽油"/>
    <x v="4"/>
    <s v="小型客车"/>
    <s v="营运"/>
    <s v="商用车"/>
    <x v="3"/>
    <x v="1"/>
    <n v="11800"/>
  </r>
  <r>
    <n v="773"/>
    <x v="5"/>
    <s v="汽油"/>
    <x v="4"/>
    <s v="小型客车"/>
    <s v="营运"/>
    <s v="商用车"/>
    <x v="3"/>
    <x v="1"/>
    <n v="8867"/>
  </r>
  <r>
    <n v="774"/>
    <x v="6"/>
    <s v="汽油"/>
    <x v="4"/>
    <s v="小型客车"/>
    <s v="营运"/>
    <s v="商用车"/>
    <x v="3"/>
    <x v="1"/>
    <n v="4556"/>
  </r>
  <r>
    <n v="775"/>
    <x v="1"/>
    <s v="汽油-天然气"/>
    <x v="5"/>
    <s v="小型客车"/>
    <s v="营运"/>
    <s v="商用车"/>
    <x v="3"/>
    <x v="1"/>
    <n v="320"/>
  </r>
  <r>
    <n v="776"/>
    <x v="2"/>
    <s v="汽油-天然气"/>
    <x v="5"/>
    <s v="小型客车"/>
    <s v="营运"/>
    <s v="商用车"/>
    <x v="3"/>
    <x v="1"/>
    <n v="249"/>
  </r>
  <r>
    <n v="777"/>
    <x v="3"/>
    <s v="汽油-天然气"/>
    <x v="5"/>
    <s v="小型客车"/>
    <s v="营运"/>
    <s v="商用车"/>
    <x v="3"/>
    <x v="1"/>
    <n v="263"/>
  </r>
  <r>
    <n v="778"/>
    <x v="4"/>
    <s v="汽油-天然气"/>
    <x v="5"/>
    <s v="小型客车"/>
    <s v="营运"/>
    <s v="商用车"/>
    <x v="3"/>
    <x v="1"/>
    <n v="239"/>
  </r>
  <r>
    <n v="779"/>
    <x v="5"/>
    <s v="汽油-天然气"/>
    <x v="5"/>
    <s v="小型客车"/>
    <s v="营运"/>
    <s v="商用车"/>
    <x v="3"/>
    <x v="1"/>
    <n v="18"/>
  </r>
  <r>
    <n v="780"/>
    <x v="6"/>
    <s v="燃料电池"/>
    <x v="6"/>
    <s v="小型客车"/>
    <s v="营运"/>
    <s v="商用车"/>
    <x v="3"/>
    <x v="1"/>
    <n v="1"/>
  </r>
  <r>
    <n v="781"/>
    <x v="1"/>
    <s v="天然气"/>
    <x v="5"/>
    <s v="小型客车"/>
    <s v="营运"/>
    <s v="商用车"/>
    <x v="3"/>
    <x v="1"/>
    <n v="33"/>
  </r>
  <r>
    <n v="782"/>
    <x v="3"/>
    <s v="天然气"/>
    <x v="5"/>
    <s v="小型客车"/>
    <s v="营运"/>
    <s v="商用车"/>
    <x v="3"/>
    <x v="1"/>
    <n v="2"/>
  </r>
  <r>
    <n v="783"/>
    <x v="4"/>
    <s v="天然气"/>
    <x v="5"/>
    <s v="小型客车"/>
    <s v="营运"/>
    <s v="商用车"/>
    <x v="3"/>
    <x v="1"/>
    <n v="1"/>
  </r>
  <r>
    <n v="784"/>
    <x v="5"/>
    <s v="天然气"/>
    <x v="5"/>
    <s v="小型客车"/>
    <s v="营运"/>
    <s v="商用车"/>
    <x v="3"/>
    <x v="1"/>
    <n v="25"/>
  </r>
  <r>
    <n v="785"/>
    <x v="6"/>
    <s v="天然气"/>
    <x v="5"/>
    <s v="小型客车"/>
    <s v="营运"/>
    <s v="商用车"/>
    <x v="3"/>
    <x v="1"/>
    <n v="341"/>
  </r>
  <r>
    <n v="786"/>
    <x v="5"/>
    <s v="插电式混合动力"/>
    <x v="0"/>
    <s v="中型货车"/>
    <s v="营运"/>
    <s v="商用车"/>
    <x v="4"/>
    <x v="3"/>
    <n v="2"/>
  </r>
  <r>
    <n v="787"/>
    <x v="0"/>
    <s v="柴油"/>
    <x v="1"/>
    <s v="中型货车"/>
    <s v="营运"/>
    <s v="商用车"/>
    <x v="4"/>
    <x v="3"/>
    <n v="46832"/>
  </r>
  <r>
    <n v="788"/>
    <x v="1"/>
    <s v="柴油"/>
    <x v="1"/>
    <s v="中型货车"/>
    <s v="营运"/>
    <s v="商用车"/>
    <x v="4"/>
    <x v="3"/>
    <n v="43654"/>
  </r>
  <r>
    <n v="789"/>
    <x v="2"/>
    <s v="柴油"/>
    <x v="1"/>
    <s v="中型货车"/>
    <s v="营运"/>
    <s v="商用车"/>
    <x v="4"/>
    <x v="3"/>
    <n v="37766"/>
  </r>
  <r>
    <n v="790"/>
    <x v="3"/>
    <s v="柴油"/>
    <x v="1"/>
    <s v="中型货车"/>
    <s v="营运"/>
    <s v="商用车"/>
    <x v="4"/>
    <x v="3"/>
    <n v="27681"/>
  </r>
  <r>
    <n v="791"/>
    <x v="4"/>
    <s v="柴油"/>
    <x v="1"/>
    <s v="中型货车"/>
    <s v="营运"/>
    <s v="商用车"/>
    <x v="4"/>
    <x v="3"/>
    <n v="33534"/>
  </r>
  <r>
    <n v="792"/>
    <x v="5"/>
    <s v="柴油"/>
    <x v="1"/>
    <s v="中型货车"/>
    <s v="营运"/>
    <s v="商用车"/>
    <x v="4"/>
    <x v="3"/>
    <n v="38255"/>
  </r>
  <r>
    <n v="793"/>
    <x v="6"/>
    <s v="柴油"/>
    <x v="1"/>
    <s v="中型货车"/>
    <s v="营运"/>
    <s v="商用车"/>
    <x v="4"/>
    <x v="3"/>
    <n v="43304"/>
  </r>
  <r>
    <n v="794"/>
    <x v="0"/>
    <s v="纯电动"/>
    <x v="2"/>
    <s v="中型货车"/>
    <s v="营运"/>
    <s v="商用车"/>
    <x v="4"/>
    <x v="3"/>
    <n v="5660"/>
  </r>
  <r>
    <n v="795"/>
    <x v="1"/>
    <s v="纯电动"/>
    <x v="2"/>
    <s v="中型货车"/>
    <s v="营运"/>
    <s v="商用车"/>
    <x v="4"/>
    <x v="3"/>
    <n v="3928"/>
  </r>
  <r>
    <n v="796"/>
    <x v="2"/>
    <s v="纯电动"/>
    <x v="2"/>
    <s v="中型货车"/>
    <s v="营运"/>
    <s v="商用车"/>
    <x v="4"/>
    <x v="3"/>
    <n v="1608"/>
  </r>
  <r>
    <n v="797"/>
    <x v="3"/>
    <s v="纯电动"/>
    <x v="2"/>
    <s v="中型货车"/>
    <s v="营运"/>
    <s v="商用车"/>
    <x v="4"/>
    <x v="3"/>
    <n v="101"/>
  </r>
  <r>
    <n v="798"/>
    <x v="4"/>
    <s v="纯电动"/>
    <x v="2"/>
    <s v="中型货车"/>
    <s v="营运"/>
    <s v="商用车"/>
    <x v="4"/>
    <x v="3"/>
    <n v="20"/>
  </r>
  <r>
    <n v="799"/>
    <x v="5"/>
    <s v="纯电动"/>
    <x v="2"/>
    <s v="中型货车"/>
    <s v="营运"/>
    <s v="商用车"/>
    <x v="4"/>
    <x v="3"/>
    <n v="74"/>
  </r>
  <r>
    <n v="800"/>
    <x v="6"/>
    <s v="纯电动"/>
    <x v="2"/>
    <s v="中型货车"/>
    <s v="营运"/>
    <s v="商用车"/>
    <x v="4"/>
    <x v="3"/>
    <n v="141"/>
  </r>
  <r>
    <n v="801"/>
    <x v="3"/>
    <s v="汽油"/>
    <x v="4"/>
    <s v="中型货车"/>
    <s v="营运"/>
    <s v="商用车"/>
    <x v="4"/>
    <x v="3"/>
    <n v="3"/>
  </r>
  <r>
    <n v="802"/>
    <x v="6"/>
    <s v="汽油"/>
    <x v="4"/>
    <s v="中型货车"/>
    <s v="营运"/>
    <s v="商用车"/>
    <x v="4"/>
    <x v="3"/>
    <n v="1"/>
  </r>
  <r>
    <n v="803"/>
    <x v="0"/>
    <s v="汽油-天然气"/>
    <x v="5"/>
    <s v="中型货车"/>
    <s v="营运"/>
    <s v="商用车"/>
    <x v="4"/>
    <x v="3"/>
    <n v="35"/>
  </r>
  <r>
    <n v="804"/>
    <x v="2"/>
    <s v="燃料电池"/>
    <x v="6"/>
    <s v="中型货车"/>
    <s v="营运"/>
    <s v="商用车"/>
    <x v="4"/>
    <x v="3"/>
    <n v="401"/>
  </r>
  <r>
    <n v="805"/>
    <x v="3"/>
    <s v="燃料电池"/>
    <x v="6"/>
    <s v="中型货车"/>
    <s v="营运"/>
    <s v="商用车"/>
    <x v="4"/>
    <x v="3"/>
    <n v="402"/>
  </r>
  <r>
    <n v="806"/>
    <x v="4"/>
    <s v="燃料电池"/>
    <x v="6"/>
    <s v="中型货车"/>
    <s v="营运"/>
    <s v="商用车"/>
    <x v="4"/>
    <x v="3"/>
    <n v="1518"/>
  </r>
  <r>
    <n v="807"/>
    <x v="5"/>
    <s v="燃料电池"/>
    <x v="6"/>
    <s v="中型货车"/>
    <s v="营运"/>
    <s v="商用车"/>
    <x v="4"/>
    <x v="3"/>
    <n v="64"/>
  </r>
  <r>
    <n v="808"/>
    <x v="6"/>
    <s v="燃料电池"/>
    <x v="6"/>
    <s v="中型货车"/>
    <s v="营运"/>
    <s v="商用车"/>
    <x v="4"/>
    <x v="3"/>
    <n v="32"/>
  </r>
  <r>
    <n v="809"/>
    <x v="0"/>
    <s v="天然气"/>
    <x v="5"/>
    <s v="中型货车"/>
    <s v="营运"/>
    <s v="商用车"/>
    <x v="4"/>
    <x v="3"/>
    <n v="60"/>
  </r>
  <r>
    <n v="810"/>
    <x v="1"/>
    <s v="天然气"/>
    <x v="5"/>
    <s v="中型货车"/>
    <s v="营运"/>
    <s v="商用车"/>
    <x v="4"/>
    <x v="3"/>
    <n v="9"/>
  </r>
  <r>
    <n v="811"/>
    <x v="2"/>
    <s v="天然气"/>
    <x v="5"/>
    <s v="中型货车"/>
    <s v="营运"/>
    <s v="商用车"/>
    <x v="4"/>
    <x v="3"/>
    <n v="8"/>
  </r>
  <r>
    <n v="812"/>
    <x v="3"/>
    <s v="天然气"/>
    <x v="5"/>
    <s v="中型货车"/>
    <s v="营运"/>
    <s v="商用车"/>
    <x v="4"/>
    <x v="3"/>
    <n v="31"/>
  </r>
  <r>
    <n v="813"/>
    <x v="4"/>
    <s v="天然气"/>
    <x v="5"/>
    <s v="中型货车"/>
    <s v="营运"/>
    <s v="商用车"/>
    <x v="4"/>
    <x v="3"/>
    <n v="12"/>
  </r>
  <r>
    <n v="814"/>
    <x v="5"/>
    <s v="天然气"/>
    <x v="5"/>
    <s v="中型货车"/>
    <s v="营运"/>
    <s v="商用车"/>
    <x v="4"/>
    <x v="3"/>
    <n v="62"/>
  </r>
  <r>
    <n v="815"/>
    <x v="6"/>
    <s v="天然气"/>
    <x v="5"/>
    <s v="中型货车"/>
    <s v="营运"/>
    <s v="商用车"/>
    <x v="4"/>
    <x v="3"/>
    <n v="39"/>
  </r>
  <r>
    <n v="816"/>
    <x v="0"/>
    <s v="柴油"/>
    <x v="1"/>
    <s v="中型客车"/>
    <s v="营运"/>
    <s v="商用车"/>
    <x v="1"/>
    <x v="0"/>
    <n v="107"/>
  </r>
  <r>
    <n v="817"/>
    <x v="1"/>
    <s v="柴油"/>
    <x v="1"/>
    <s v="中型客车"/>
    <s v="营运"/>
    <s v="商用车"/>
    <x v="1"/>
    <x v="0"/>
    <n v="162"/>
  </r>
  <r>
    <n v="818"/>
    <x v="2"/>
    <s v="柴油"/>
    <x v="1"/>
    <s v="中型客车"/>
    <s v="营运"/>
    <s v="商用车"/>
    <x v="1"/>
    <x v="0"/>
    <n v="385"/>
  </r>
  <r>
    <n v="819"/>
    <x v="3"/>
    <s v="柴油"/>
    <x v="1"/>
    <s v="中型客车"/>
    <s v="营运"/>
    <s v="商用车"/>
    <x v="1"/>
    <x v="0"/>
    <n v="114"/>
  </r>
  <r>
    <n v="820"/>
    <x v="4"/>
    <s v="柴油"/>
    <x v="1"/>
    <s v="中型客车"/>
    <s v="营运"/>
    <s v="商用车"/>
    <x v="1"/>
    <x v="0"/>
    <n v="108"/>
  </r>
  <r>
    <n v="821"/>
    <x v="5"/>
    <s v="柴油"/>
    <x v="1"/>
    <s v="中型客车"/>
    <s v="营运"/>
    <s v="商用车"/>
    <x v="1"/>
    <x v="0"/>
    <n v="47"/>
  </r>
  <r>
    <n v="822"/>
    <x v="6"/>
    <s v="柴油"/>
    <x v="1"/>
    <s v="中型客车"/>
    <s v="营运"/>
    <s v="商用车"/>
    <x v="1"/>
    <x v="0"/>
    <n v="110"/>
  </r>
  <r>
    <n v="823"/>
    <x v="6"/>
    <s v="纯电动"/>
    <x v="2"/>
    <s v="中型客车"/>
    <s v="营运"/>
    <s v="商用车"/>
    <x v="1"/>
    <x v="0"/>
    <n v="53"/>
  </r>
  <r>
    <n v="824"/>
    <x v="1"/>
    <s v="汽油"/>
    <x v="4"/>
    <s v="中型客车"/>
    <s v="营运"/>
    <s v="商用车"/>
    <x v="1"/>
    <x v="0"/>
    <n v="379"/>
  </r>
  <r>
    <n v="825"/>
    <x v="2"/>
    <s v="汽油"/>
    <x v="4"/>
    <s v="中型客车"/>
    <s v="营运"/>
    <s v="商用车"/>
    <x v="1"/>
    <x v="0"/>
    <n v="76"/>
  </r>
  <r>
    <n v="826"/>
    <x v="3"/>
    <s v="汽油"/>
    <x v="4"/>
    <s v="中型客车"/>
    <s v="营运"/>
    <s v="商用车"/>
    <x v="1"/>
    <x v="0"/>
    <n v="3"/>
  </r>
  <r>
    <n v="827"/>
    <x v="4"/>
    <s v="汽油"/>
    <x v="4"/>
    <s v="中型客车"/>
    <s v="营运"/>
    <s v="商用车"/>
    <x v="1"/>
    <x v="0"/>
    <n v="3"/>
  </r>
  <r>
    <n v="828"/>
    <x v="5"/>
    <s v="汽油"/>
    <x v="4"/>
    <s v="中型客车"/>
    <s v="营运"/>
    <s v="商用车"/>
    <x v="1"/>
    <x v="0"/>
    <n v="1"/>
  </r>
  <r>
    <n v="829"/>
    <x v="6"/>
    <s v="汽油"/>
    <x v="4"/>
    <s v="中型客车"/>
    <s v="营运"/>
    <s v="商用车"/>
    <x v="1"/>
    <x v="0"/>
    <n v="6"/>
  </r>
  <r>
    <n v="830"/>
    <x v="0"/>
    <s v="汽油-天然气"/>
    <x v="5"/>
    <s v="中型客车"/>
    <s v="营运"/>
    <s v="商用车"/>
    <x v="1"/>
    <x v="0"/>
    <n v="1"/>
  </r>
  <r>
    <n v="831"/>
    <x v="1"/>
    <s v="汽油-天然气"/>
    <x v="5"/>
    <s v="中型客车"/>
    <s v="营运"/>
    <s v="商用车"/>
    <x v="1"/>
    <x v="0"/>
    <n v="4"/>
  </r>
  <r>
    <n v="832"/>
    <x v="0"/>
    <s v="天然气"/>
    <x v="5"/>
    <s v="中型客车"/>
    <s v="营运"/>
    <s v="商用车"/>
    <x v="1"/>
    <x v="0"/>
    <n v="2"/>
  </r>
  <r>
    <n v="833"/>
    <x v="6"/>
    <s v="插电式混合动力"/>
    <x v="0"/>
    <s v="重型货车"/>
    <s v="营运"/>
    <s v="商用车"/>
    <x v="4"/>
    <x v="3"/>
    <n v="1"/>
  </r>
  <r>
    <n v="834"/>
    <x v="0"/>
    <s v="柴油"/>
    <x v="1"/>
    <s v="重型货车"/>
    <s v="营运"/>
    <s v="商用车"/>
    <x v="4"/>
    <x v="3"/>
    <n v="394817"/>
  </r>
  <r>
    <n v="835"/>
    <x v="1"/>
    <s v="柴油"/>
    <x v="1"/>
    <s v="重型货车"/>
    <s v="营运"/>
    <s v="商用车"/>
    <x v="4"/>
    <x v="3"/>
    <n v="536287"/>
  </r>
  <r>
    <n v="836"/>
    <x v="2"/>
    <s v="柴油"/>
    <x v="1"/>
    <s v="重型货车"/>
    <s v="营运"/>
    <s v="商用车"/>
    <x v="4"/>
    <x v="3"/>
    <n v="794595"/>
  </r>
  <r>
    <n v="837"/>
    <x v="3"/>
    <s v="柴油"/>
    <x v="1"/>
    <s v="重型货车"/>
    <s v="营运"/>
    <s v="商用车"/>
    <x v="4"/>
    <x v="3"/>
    <n v="793306"/>
  </r>
  <r>
    <n v="838"/>
    <x v="4"/>
    <s v="柴油"/>
    <x v="1"/>
    <s v="重型货车"/>
    <s v="营运"/>
    <s v="商用车"/>
    <x v="4"/>
    <x v="3"/>
    <n v="858043"/>
  </r>
  <r>
    <n v="839"/>
    <x v="5"/>
    <s v="柴油"/>
    <x v="1"/>
    <s v="重型货车"/>
    <s v="营运"/>
    <s v="商用车"/>
    <x v="4"/>
    <x v="3"/>
    <n v="1247024"/>
  </r>
  <r>
    <n v="840"/>
    <x v="6"/>
    <s v="柴油"/>
    <x v="1"/>
    <s v="重型货车"/>
    <s v="营运"/>
    <s v="商用车"/>
    <x v="4"/>
    <x v="3"/>
    <n v="1178385"/>
  </r>
  <r>
    <n v="841"/>
    <x v="1"/>
    <s v="柴油-甲醇"/>
    <x v="3"/>
    <s v="重型货车"/>
    <s v="营运"/>
    <s v="商用车"/>
    <x v="4"/>
    <x v="3"/>
    <n v="1"/>
  </r>
  <r>
    <n v="842"/>
    <x v="0"/>
    <s v="柴油-天然气"/>
    <x v="5"/>
    <s v="重型货车"/>
    <s v="营运"/>
    <s v="商用车"/>
    <x v="4"/>
    <x v="3"/>
    <n v="16"/>
  </r>
  <r>
    <n v="843"/>
    <x v="1"/>
    <s v="柴油-天然气"/>
    <x v="5"/>
    <s v="重型货车"/>
    <s v="营运"/>
    <s v="商用车"/>
    <x v="4"/>
    <x v="3"/>
    <n v="28"/>
  </r>
  <r>
    <n v="844"/>
    <x v="2"/>
    <s v="柴油-天然气"/>
    <x v="5"/>
    <s v="重型货车"/>
    <s v="营运"/>
    <s v="商用车"/>
    <x v="4"/>
    <x v="3"/>
    <n v="10"/>
  </r>
  <r>
    <n v="845"/>
    <x v="3"/>
    <s v="柴油-天然气"/>
    <x v="5"/>
    <s v="重型货车"/>
    <s v="营运"/>
    <s v="商用车"/>
    <x v="4"/>
    <x v="3"/>
    <n v="1"/>
  </r>
  <r>
    <n v="846"/>
    <x v="5"/>
    <s v="柴油-天然气"/>
    <x v="5"/>
    <s v="重型货车"/>
    <s v="营运"/>
    <s v="商用车"/>
    <x v="4"/>
    <x v="3"/>
    <n v="1"/>
  </r>
  <r>
    <n v="847"/>
    <x v="6"/>
    <s v="柴油-天然气"/>
    <x v="5"/>
    <s v="重型货车"/>
    <s v="营运"/>
    <s v="商用车"/>
    <x v="4"/>
    <x v="3"/>
    <n v="2"/>
  </r>
  <r>
    <n v="848"/>
    <x v="2"/>
    <s v="纯电动"/>
    <x v="2"/>
    <s v="重型货车"/>
    <s v="营运"/>
    <s v="商用车"/>
    <x v="4"/>
    <x v="3"/>
    <n v="11"/>
  </r>
  <r>
    <n v="849"/>
    <x v="3"/>
    <s v="纯电动"/>
    <x v="2"/>
    <s v="重型货车"/>
    <s v="营运"/>
    <s v="商用车"/>
    <x v="4"/>
    <x v="3"/>
    <n v="301"/>
  </r>
  <r>
    <n v="850"/>
    <x v="4"/>
    <s v="纯电动"/>
    <x v="2"/>
    <s v="重型货车"/>
    <s v="营运"/>
    <s v="商用车"/>
    <x v="4"/>
    <x v="3"/>
    <n v="3588"/>
  </r>
  <r>
    <n v="851"/>
    <x v="5"/>
    <s v="纯电动"/>
    <x v="2"/>
    <s v="重型货车"/>
    <s v="营运"/>
    <s v="商用车"/>
    <x v="4"/>
    <x v="3"/>
    <n v="929"/>
  </r>
  <r>
    <n v="852"/>
    <x v="6"/>
    <s v="纯电动"/>
    <x v="2"/>
    <s v="重型货车"/>
    <s v="营运"/>
    <s v="商用车"/>
    <x v="4"/>
    <x v="3"/>
    <n v="6939"/>
  </r>
  <r>
    <n v="853"/>
    <x v="3"/>
    <s v="混合动力"/>
    <x v="3"/>
    <s v="重型货车"/>
    <s v="营运"/>
    <s v="商用车"/>
    <x v="4"/>
    <x v="3"/>
    <n v="2"/>
  </r>
  <r>
    <n v="854"/>
    <x v="5"/>
    <s v="混合动力"/>
    <x v="3"/>
    <s v="重型货车"/>
    <s v="营运"/>
    <s v="商用车"/>
    <x v="4"/>
    <x v="3"/>
    <n v="16"/>
  </r>
  <r>
    <n v="855"/>
    <x v="6"/>
    <s v="混合动力"/>
    <x v="3"/>
    <s v="重型货车"/>
    <s v="营运"/>
    <s v="商用车"/>
    <x v="4"/>
    <x v="3"/>
    <n v="18"/>
  </r>
  <r>
    <n v="856"/>
    <x v="4"/>
    <s v="甲醇"/>
    <x v="8"/>
    <s v="重型货车"/>
    <s v="营运"/>
    <s v="商用车"/>
    <x v="4"/>
    <x v="3"/>
    <n v="13"/>
  </r>
  <r>
    <n v="857"/>
    <x v="5"/>
    <s v="甲醇"/>
    <x v="8"/>
    <s v="重型货车"/>
    <s v="营运"/>
    <s v="商用车"/>
    <x v="4"/>
    <x v="3"/>
    <n v="14"/>
  </r>
  <r>
    <n v="858"/>
    <x v="6"/>
    <s v="甲醇"/>
    <x v="8"/>
    <s v="重型货车"/>
    <s v="营运"/>
    <s v="商用车"/>
    <x v="4"/>
    <x v="3"/>
    <n v="90"/>
  </r>
  <r>
    <n v="859"/>
    <x v="0"/>
    <s v="汽油"/>
    <x v="4"/>
    <s v="重型货车"/>
    <s v="营运"/>
    <s v="商用车"/>
    <x v="4"/>
    <x v="3"/>
    <n v="32"/>
  </r>
  <r>
    <n v="860"/>
    <x v="1"/>
    <s v="汽油"/>
    <x v="4"/>
    <s v="重型货车"/>
    <s v="营运"/>
    <s v="商用车"/>
    <x v="4"/>
    <x v="3"/>
    <n v="7"/>
  </r>
  <r>
    <n v="861"/>
    <x v="3"/>
    <s v="汽油"/>
    <x v="4"/>
    <s v="重型货车"/>
    <s v="营运"/>
    <s v="商用车"/>
    <x v="4"/>
    <x v="3"/>
    <n v="1"/>
  </r>
  <r>
    <n v="862"/>
    <x v="5"/>
    <s v="燃料电池"/>
    <x v="6"/>
    <s v="重型货车"/>
    <s v="营运"/>
    <s v="商用车"/>
    <x v="4"/>
    <x v="3"/>
    <n v="17"/>
  </r>
  <r>
    <n v="863"/>
    <x v="6"/>
    <s v="燃料电池"/>
    <x v="6"/>
    <s v="重型货车"/>
    <s v="营运"/>
    <s v="商用车"/>
    <x v="4"/>
    <x v="3"/>
    <n v="763"/>
  </r>
  <r>
    <n v="864"/>
    <x v="0"/>
    <s v="天然气"/>
    <x v="5"/>
    <s v="重型货车"/>
    <s v="营运"/>
    <s v="商用车"/>
    <x v="4"/>
    <x v="3"/>
    <n v="13220"/>
  </r>
  <r>
    <n v="865"/>
    <x v="1"/>
    <s v="天然气"/>
    <x v="5"/>
    <s v="重型货车"/>
    <s v="营运"/>
    <s v="商用车"/>
    <x v="4"/>
    <x v="3"/>
    <n v="13347"/>
  </r>
  <r>
    <n v="866"/>
    <x v="2"/>
    <s v="天然气"/>
    <x v="5"/>
    <s v="重型货车"/>
    <s v="营运"/>
    <s v="商用车"/>
    <x v="4"/>
    <x v="3"/>
    <n v="65677"/>
  </r>
  <r>
    <n v="867"/>
    <x v="3"/>
    <s v="天然气"/>
    <x v="5"/>
    <s v="重型货车"/>
    <s v="营运"/>
    <s v="商用车"/>
    <x v="4"/>
    <x v="3"/>
    <n v="59208"/>
  </r>
  <r>
    <n v="868"/>
    <x v="4"/>
    <s v="天然气"/>
    <x v="5"/>
    <s v="重型货车"/>
    <s v="营运"/>
    <s v="商用车"/>
    <x v="4"/>
    <x v="3"/>
    <n v="111397"/>
  </r>
  <r>
    <n v="869"/>
    <x v="5"/>
    <s v="天然气"/>
    <x v="5"/>
    <s v="重型货车"/>
    <s v="营运"/>
    <s v="商用车"/>
    <x v="4"/>
    <x v="3"/>
    <n v="139063"/>
  </r>
  <r>
    <n v="870"/>
    <x v="6"/>
    <s v="天然气"/>
    <x v="5"/>
    <s v="重型货车"/>
    <s v="营运"/>
    <s v="商用车"/>
    <x v="4"/>
    <x v="3"/>
    <n v="56813"/>
  </r>
  <r>
    <n v="871"/>
    <x v="0"/>
    <s v="柴油"/>
    <x v="1"/>
    <s v="大型客车"/>
    <s v="城市公交"/>
    <s v="乘用车"/>
    <x v="0"/>
    <x v="0"/>
    <n v="3"/>
  </r>
  <r>
    <n v="872"/>
    <x v="0"/>
    <s v="柴油"/>
    <x v="1"/>
    <s v="小型客车"/>
    <s v="城市公交"/>
    <s v="乘用车"/>
    <x v="0"/>
    <x v="1"/>
    <n v="10"/>
  </r>
  <r>
    <n v="873"/>
    <x v="3"/>
    <s v="柴油"/>
    <x v="1"/>
    <s v="小型客车"/>
    <s v="城市公交"/>
    <s v="乘用车"/>
    <x v="0"/>
    <x v="1"/>
    <n v="12"/>
  </r>
  <r>
    <n v="874"/>
    <x v="4"/>
    <s v="柴油"/>
    <x v="1"/>
    <s v="小型客车"/>
    <s v="城市公交"/>
    <s v="乘用车"/>
    <x v="0"/>
    <x v="1"/>
    <n v="1"/>
  </r>
  <r>
    <n v="875"/>
    <x v="5"/>
    <s v="柴油"/>
    <x v="1"/>
    <s v="小型客车"/>
    <s v="城市公交"/>
    <s v="乘用车"/>
    <x v="0"/>
    <x v="1"/>
    <n v="4"/>
  </r>
  <r>
    <n v="876"/>
    <x v="0"/>
    <s v="纯电动"/>
    <x v="2"/>
    <s v="小型客车"/>
    <s v="城市公交"/>
    <s v="乘用车"/>
    <x v="0"/>
    <x v="1"/>
    <n v="150"/>
  </r>
  <r>
    <n v="877"/>
    <x v="2"/>
    <s v="纯电动"/>
    <x v="2"/>
    <s v="小型客车"/>
    <s v="城市公交"/>
    <s v="乘用车"/>
    <x v="0"/>
    <x v="1"/>
    <n v="30"/>
  </r>
  <r>
    <n v="878"/>
    <x v="3"/>
    <s v="纯电动"/>
    <x v="2"/>
    <s v="小型客车"/>
    <s v="城市公交"/>
    <s v="乘用车"/>
    <x v="0"/>
    <x v="1"/>
    <n v="13"/>
  </r>
  <r>
    <n v="879"/>
    <x v="4"/>
    <s v="纯电动"/>
    <x v="2"/>
    <s v="小型客车"/>
    <s v="城市公交"/>
    <s v="乘用车"/>
    <x v="0"/>
    <x v="1"/>
    <n v="31"/>
  </r>
  <r>
    <n v="880"/>
    <x v="5"/>
    <s v="纯电动"/>
    <x v="2"/>
    <s v="小型客车"/>
    <s v="城市公交"/>
    <s v="乘用车"/>
    <x v="0"/>
    <x v="1"/>
    <n v="53"/>
  </r>
  <r>
    <n v="881"/>
    <x v="6"/>
    <s v="纯电动"/>
    <x v="2"/>
    <s v="小型客车"/>
    <s v="城市公交"/>
    <s v="乘用车"/>
    <x v="0"/>
    <x v="1"/>
    <n v="63"/>
  </r>
  <r>
    <n v="882"/>
    <x v="0"/>
    <s v="汽油"/>
    <x v="4"/>
    <s v="小型客车"/>
    <s v="城市公交"/>
    <s v="乘用车"/>
    <x v="0"/>
    <x v="1"/>
    <n v="434"/>
  </r>
  <r>
    <n v="883"/>
    <x v="1"/>
    <s v="汽油"/>
    <x v="4"/>
    <s v="小型客车"/>
    <s v="城市公交"/>
    <s v="乘用车"/>
    <x v="0"/>
    <x v="1"/>
    <n v="62"/>
  </r>
  <r>
    <n v="884"/>
    <x v="2"/>
    <s v="汽油"/>
    <x v="4"/>
    <s v="小型客车"/>
    <s v="城市公交"/>
    <s v="乘用车"/>
    <x v="0"/>
    <x v="1"/>
    <n v="837"/>
  </r>
  <r>
    <n v="885"/>
    <x v="3"/>
    <s v="汽油"/>
    <x v="4"/>
    <s v="小型客车"/>
    <s v="城市公交"/>
    <s v="乘用车"/>
    <x v="0"/>
    <x v="1"/>
    <n v="162"/>
  </r>
  <r>
    <n v="886"/>
    <x v="4"/>
    <s v="汽油"/>
    <x v="4"/>
    <s v="小型客车"/>
    <s v="城市公交"/>
    <s v="乘用车"/>
    <x v="0"/>
    <x v="1"/>
    <n v="205"/>
  </r>
  <r>
    <n v="887"/>
    <x v="5"/>
    <s v="汽油"/>
    <x v="4"/>
    <s v="小型客车"/>
    <s v="城市公交"/>
    <s v="乘用车"/>
    <x v="0"/>
    <x v="1"/>
    <n v="324"/>
  </r>
  <r>
    <n v="888"/>
    <x v="6"/>
    <s v="汽油"/>
    <x v="4"/>
    <s v="小型客车"/>
    <s v="城市公交"/>
    <s v="乘用车"/>
    <x v="0"/>
    <x v="1"/>
    <n v="95"/>
  </r>
  <r>
    <n v="889"/>
    <x v="0"/>
    <s v="汽油-天然气"/>
    <x v="5"/>
    <s v="小型客车"/>
    <s v="城市公交"/>
    <s v="乘用车"/>
    <x v="0"/>
    <x v="1"/>
    <n v="86"/>
  </r>
  <r>
    <n v="890"/>
    <x v="5"/>
    <s v="天然气"/>
    <x v="5"/>
    <s v="小型客车"/>
    <s v="城市公交"/>
    <s v="乘用车"/>
    <x v="0"/>
    <x v="1"/>
    <n v="1"/>
  </r>
  <r>
    <n v="891"/>
    <x v="6"/>
    <s v="插电式混合动力"/>
    <x v="0"/>
    <s v="NULL"/>
    <s v="出租租赁"/>
    <s v="乘用车"/>
    <x v="3"/>
    <x v="4"/>
    <n v="1"/>
  </r>
  <r>
    <n v="892"/>
    <x v="6"/>
    <s v="柴油"/>
    <x v="1"/>
    <s v="NULL"/>
    <s v="出租租赁"/>
    <s v="乘用车"/>
    <x v="3"/>
    <x v="4"/>
    <n v="1"/>
  </r>
  <r>
    <n v="893"/>
    <x v="6"/>
    <s v="纯电动"/>
    <x v="2"/>
    <s v="NULL"/>
    <s v="出租租赁"/>
    <s v="乘用车"/>
    <x v="3"/>
    <x v="4"/>
    <n v="1"/>
  </r>
  <r>
    <n v="894"/>
    <x v="6"/>
    <s v="汽油"/>
    <x v="4"/>
    <s v="NULL"/>
    <s v="出租租赁"/>
    <s v="乘用车"/>
    <x v="3"/>
    <x v="4"/>
    <n v="61"/>
  </r>
  <r>
    <n v="895"/>
    <x v="0"/>
    <s v="纯电动"/>
    <x v="2"/>
    <s v="微型客车"/>
    <s v="出租租赁"/>
    <s v="乘用车"/>
    <x v="3"/>
    <x v="1"/>
    <n v="6066"/>
  </r>
  <r>
    <n v="896"/>
    <x v="1"/>
    <s v="纯电动"/>
    <x v="2"/>
    <s v="微型客车"/>
    <s v="出租租赁"/>
    <s v="乘用车"/>
    <x v="3"/>
    <x v="1"/>
    <n v="1517"/>
  </r>
  <r>
    <n v="897"/>
    <x v="2"/>
    <s v="纯电动"/>
    <x v="2"/>
    <s v="微型客车"/>
    <s v="出租租赁"/>
    <s v="乘用车"/>
    <x v="3"/>
    <x v="1"/>
    <n v="7545"/>
  </r>
  <r>
    <n v="898"/>
    <x v="3"/>
    <s v="纯电动"/>
    <x v="2"/>
    <s v="微型客车"/>
    <s v="出租租赁"/>
    <s v="乘用车"/>
    <x v="3"/>
    <x v="1"/>
    <n v="7942"/>
  </r>
  <r>
    <n v="899"/>
    <x v="4"/>
    <s v="纯电动"/>
    <x v="2"/>
    <s v="微型客车"/>
    <s v="出租租赁"/>
    <s v="乘用车"/>
    <x v="3"/>
    <x v="1"/>
    <n v="1971"/>
  </r>
  <r>
    <n v="900"/>
    <x v="5"/>
    <s v="纯电动"/>
    <x v="2"/>
    <s v="微型客车"/>
    <s v="出租租赁"/>
    <s v="乘用车"/>
    <x v="3"/>
    <x v="1"/>
    <n v="20"/>
  </r>
  <r>
    <n v="901"/>
    <x v="6"/>
    <s v="纯电动"/>
    <x v="2"/>
    <s v="微型客车"/>
    <s v="出租租赁"/>
    <s v="乘用车"/>
    <x v="3"/>
    <x v="1"/>
    <n v="79"/>
  </r>
  <r>
    <n v="902"/>
    <x v="0"/>
    <s v="汽油"/>
    <x v="4"/>
    <s v="微型客车"/>
    <s v="出租租赁"/>
    <s v="乘用车"/>
    <x v="3"/>
    <x v="1"/>
    <n v="32"/>
  </r>
  <r>
    <n v="903"/>
    <x v="1"/>
    <s v="汽油"/>
    <x v="4"/>
    <s v="微型客车"/>
    <s v="出租租赁"/>
    <s v="乘用车"/>
    <x v="3"/>
    <x v="1"/>
    <n v="5"/>
  </r>
  <r>
    <n v="904"/>
    <x v="2"/>
    <s v="汽油"/>
    <x v="4"/>
    <s v="微型客车"/>
    <s v="出租租赁"/>
    <s v="乘用车"/>
    <x v="3"/>
    <x v="1"/>
    <n v="8"/>
  </r>
  <r>
    <n v="905"/>
    <x v="4"/>
    <s v="汽油"/>
    <x v="4"/>
    <s v="微型客车"/>
    <s v="出租租赁"/>
    <s v="乘用车"/>
    <x v="3"/>
    <x v="1"/>
    <n v="1"/>
  </r>
  <r>
    <n v="906"/>
    <x v="0"/>
    <s v="插电式混合动力"/>
    <x v="0"/>
    <s v="小型客车"/>
    <s v="出租租赁"/>
    <s v="乘用车"/>
    <x v="3"/>
    <x v="1"/>
    <n v="2629"/>
  </r>
  <r>
    <n v="907"/>
    <x v="1"/>
    <s v="插电式混合动力"/>
    <x v="0"/>
    <s v="小型客车"/>
    <s v="出租租赁"/>
    <s v="乘用车"/>
    <x v="3"/>
    <x v="1"/>
    <n v="2785"/>
  </r>
  <r>
    <n v="908"/>
    <x v="2"/>
    <s v="插电式混合动力"/>
    <x v="0"/>
    <s v="小型客车"/>
    <s v="出租租赁"/>
    <s v="乘用车"/>
    <x v="3"/>
    <x v="1"/>
    <n v="4329"/>
  </r>
  <r>
    <n v="909"/>
    <x v="3"/>
    <s v="插电式混合动力"/>
    <x v="0"/>
    <s v="小型客车"/>
    <s v="出租租赁"/>
    <s v="乘用车"/>
    <x v="3"/>
    <x v="1"/>
    <n v="10304"/>
  </r>
  <r>
    <n v="910"/>
    <x v="4"/>
    <s v="插电式混合动力"/>
    <x v="0"/>
    <s v="小型客车"/>
    <s v="出租租赁"/>
    <s v="乘用车"/>
    <x v="3"/>
    <x v="1"/>
    <n v="16904"/>
  </r>
  <r>
    <n v="911"/>
    <x v="5"/>
    <s v="插电式混合动力"/>
    <x v="0"/>
    <s v="小型客车"/>
    <s v="出租租赁"/>
    <s v="乘用车"/>
    <x v="3"/>
    <x v="1"/>
    <n v="12718"/>
  </r>
  <r>
    <n v="912"/>
    <x v="6"/>
    <s v="插电式混合动力"/>
    <x v="0"/>
    <s v="小型客车"/>
    <s v="出租租赁"/>
    <s v="乘用车"/>
    <x v="3"/>
    <x v="1"/>
    <n v="11512"/>
  </r>
  <r>
    <n v="913"/>
    <x v="0"/>
    <s v="柴油"/>
    <x v="1"/>
    <s v="小型客车"/>
    <s v="出租租赁"/>
    <s v="乘用车"/>
    <x v="3"/>
    <x v="1"/>
    <n v="132"/>
  </r>
  <r>
    <n v="914"/>
    <x v="1"/>
    <s v="柴油"/>
    <x v="1"/>
    <s v="小型客车"/>
    <s v="出租租赁"/>
    <s v="乘用车"/>
    <x v="3"/>
    <x v="1"/>
    <n v="410"/>
  </r>
  <r>
    <n v="915"/>
    <x v="2"/>
    <s v="柴油"/>
    <x v="1"/>
    <s v="小型客车"/>
    <s v="出租租赁"/>
    <s v="乘用车"/>
    <x v="3"/>
    <x v="1"/>
    <n v="614"/>
  </r>
  <r>
    <n v="916"/>
    <x v="3"/>
    <s v="柴油"/>
    <x v="1"/>
    <s v="小型客车"/>
    <s v="出租租赁"/>
    <s v="乘用车"/>
    <x v="3"/>
    <x v="1"/>
    <n v="1784"/>
  </r>
  <r>
    <n v="917"/>
    <x v="4"/>
    <s v="柴油"/>
    <x v="1"/>
    <s v="小型客车"/>
    <s v="出租租赁"/>
    <s v="乘用车"/>
    <x v="3"/>
    <x v="1"/>
    <n v="4515"/>
  </r>
  <r>
    <n v="918"/>
    <x v="5"/>
    <s v="柴油"/>
    <x v="1"/>
    <s v="小型客车"/>
    <s v="出租租赁"/>
    <s v="乘用车"/>
    <x v="3"/>
    <x v="1"/>
    <n v="2458"/>
  </r>
  <r>
    <n v="919"/>
    <x v="6"/>
    <s v="柴油"/>
    <x v="1"/>
    <s v="小型客车"/>
    <s v="出租租赁"/>
    <s v="乘用车"/>
    <x v="3"/>
    <x v="1"/>
    <n v="1203"/>
  </r>
  <r>
    <n v="920"/>
    <x v="0"/>
    <s v="纯电动"/>
    <x v="2"/>
    <s v="小型客车"/>
    <s v="出租租赁"/>
    <s v="乘用车"/>
    <x v="3"/>
    <x v="1"/>
    <n v="13222"/>
  </r>
  <r>
    <n v="921"/>
    <x v="1"/>
    <s v="纯电动"/>
    <x v="2"/>
    <s v="小型客车"/>
    <s v="出租租赁"/>
    <s v="乘用车"/>
    <x v="3"/>
    <x v="1"/>
    <n v="29457"/>
  </r>
  <r>
    <n v="922"/>
    <x v="2"/>
    <s v="纯电动"/>
    <x v="2"/>
    <s v="小型客车"/>
    <s v="出租租赁"/>
    <s v="乘用车"/>
    <x v="3"/>
    <x v="1"/>
    <n v="58288"/>
  </r>
  <r>
    <n v="923"/>
    <x v="3"/>
    <s v="纯电动"/>
    <x v="2"/>
    <s v="小型客车"/>
    <s v="出租租赁"/>
    <s v="乘用车"/>
    <x v="3"/>
    <x v="1"/>
    <n v="149260"/>
  </r>
  <r>
    <n v="924"/>
    <x v="4"/>
    <s v="纯电动"/>
    <x v="2"/>
    <s v="小型客车"/>
    <s v="出租租赁"/>
    <s v="乘用车"/>
    <x v="3"/>
    <x v="1"/>
    <n v="229615"/>
  </r>
  <r>
    <n v="925"/>
    <x v="5"/>
    <s v="纯电动"/>
    <x v="2"/>
    <s v="小型客车"/>
    <s v="出租租赁"/>
    <s v="乘用车"/>
    <x v="3"/>
    <x v="1"/>
    <n v="162556"/>
  </r>
  <r>
    <n v="926"/>
    <x v="6"/>
    <s v="纯电动"/>
    <x v="2"/>
    <s v="小型客车"/>
    <s v="出租租赁"/>
    <s v="乘用车"/>
    <x v="3"/>
    <x v="1"/>
    <n v="341428"/>
  </r>
  <r>
    <n v="927"/>
    <x v="0"/>
    <s v="混合动力"/>
    <x v="3"/>
    <s v="小型客车"/>
    <s v="出租租赁"/>
    <s v="乘用车"/>
    <x v="3"/>
    <x v="1"/>
    <n v="5233"/>
  </r>
  <r>
    <n v="928"/>
    <x v="1"/>
    <s v="混合动力"/>
    <x v="3"/>
    <s v="小型客车"/>
    <s v="出租租赁"/>
    <s v="乘用车"/>
    <x v="3"/>
    <x v="1"/>
    <n v="3257"/>
  </r>
  <r>
    <n v="929"/>
    <x v="2"/>
    <s v="混合动力"/>
    <x v="3"/>
    <s v="小型客车"/>
    <s v="出租租赁"/>
    <s v="乘用车"/>
    <x v="3"/>
    <x v="1"/>
    <n v="14442"/>
  </r>
  <r>
    <n v="930"/>
    <x v="3"/>
    <s v="混合动力"/>
    <x v="3"/>
    <s v="小型客车"/>
    <s v="出租租赁"/>
    <s v="乘用车"/>
    <x v="3"/>
    <x v="1"/>
    <n v="22793"/>
  </r>
  <r>
    <n v="931"/>
    <x v="4"/>
    <s v="混合动力"/>
    <x v="3"/>
    <s v="小型客车"/>
    <s v="出租租赁"/>
    <s v="乘用车"/>
    <x v="3"/>
    <x v="1"/>
    <n v="26279"/>
  </r>
  <r>
    <n v="932"/>
    <x v="5"/>
    <s v="混合动力"/>
    <x v="3"/>
    <s v="小型客车"/>
    <s v="出租租赁"/>
    <s v="乘用车"/>
    <x v="3"/>
    <x v="1"/>
    <n v="13174"/>
  </r>
  <r>
    <n v="933"/>
    <x v="6"/>
    <s v="混合动力"/>
    <x v="3"/>
    <s v="小型客车"/>
    <s v="出租租赁"/>
    <s v="乘用车"/>
    <x v="3"/>
    <x v="1"/>
    <n v="13194"/>
  </r>
  <r>
    <n v="934"/>
    <x v="0"/>
    <s v="甲醇"/>
    <x v="8"/>
    <s v="小型客车"/>
    <s v="出租租赁"/>
    <s v="乘用车"/>
    <x v="3"/>
    <x v="1"/>
    <n v="559"/>
  </r>
  <r>
    <n v="935"/>
    <x v="1"/>
    <s v="甲醇"/>
    <x v="8"/>
    <s v="小型客车"/>
    <s v="出租租赁"/>
    <s v="乘用车"/>
    <x v="3"/>
    <x v="1"/>
    <n v="197"/>
  </r>
  <r>
    <n v="936"/>
    <x v="2"/>
    <s v="甲醇"/>
    <x v="8"/>
    <s v="小型客车"/>
    <s v="出租租赁"/>
    <s v="乘用车"/>
    <x v="3"/>
    <x v="1"/>
    <n v="1889"/>
  </r>
  <r>
    <n v="937"/>
    <x v="3"/>
    <s v="甲醇"/>
    <x v="8"/>
    <s v="小型客车"/>
    <s v="出租租赁"/>
    <s v="乘用车"/>
    <x v="3"/>
    <x v="1"/>
    <n v="1627"/>
  </r>
  <r>
    <n v="938"/>
    <x v="4"/>
    <s v="甲醇"/>
    <x v="8"/>
    <s v="小型客车"/>
    <s v="出租租赁"/>
    <s v="乘用车"/>
    <x v="3"/>
    <x v="1"/>
    <n v="14529"/>
  </r>
  <r>
    <n v="939"/>
    <x v="5"/>
    <s v="甲醇"/>
    <x v="8"/>
    <s v="小型客车"/>
    <s v="出租租赁"/>
    <s v="乘用车"/>
    <x v="3"/>
    <x v="1"/>
    <n v="5543"/>
  </r>
  <r>
    <n v="940"/>
    <x v="6"/>
    <s v="甲醇"/>
    <x v="8"/>
    <s v="小型客车"/>
    <s v="出租租赁"/>
    <s v="乘用车"/>
    <x v="3"/>
    <x v="1"/>
    <n v="809"/>
  </r>
  <r>
    <n v="941"/>
    <x v="0"/>
    <s v="汽油"/>
    <x v="4"/>
    <s v="小型客车"/>
    <s v="出租租赁"/>
    <s v="乘用车"/>
    <x v="3"/>
    <x v="1"/>
    <n v="99548"/>
  </r>
  <r>
    <n v="942"/>
    <x v="1"/>
    <s v="汽油"/>
    <x v="4"/>
    <s v="小型客车"/>
    <s v="出租租赁"/>
    <s v="乘用车"/>
    <x v="3"/>
    <x v="1"/>
    <n v="173060"/>
  </r>
  <r>
    <n v="943"/>
    <x v="2"/>
    <s v="汽油"/>
    <x v="4"/>
    <s v="小型客车"/>
    <s v="出租租赁"/>
    <s v="乘用车"/>
    <x v="3"/>
    <x v="1"/>
    <n v="322641"/>
  </r>
  <r>
    <n v="944"/>
    <x v="3"/>
    <s v="汽油"/>
    <x v="4"/>
    <s v="小型客车"/>
    <s v="出租租赁"/>
    <s v="乘用车"/>
    <x v="3"/>
    <x v="1"/>
    <n v="223576"/>
  </r>
  <r>
    <n v="945"/>
    <x v="4"/>
    <s v="汽油"/>
    <x v="4"/>
    <s v="小型客车"/>
    <s v="出租租赁"/>
    <s v="乘用车"/>
    <x v="3"/>
    <x v="1"/>
    <n v="215251"/>
  </r>
  <r>
    <n v="946"/>
    <x v="5"/>
    <s v="汽油"/>
    <x v="4"/>
    <s v="小型客车"/>
    <s v="出租租赁"/>
    <s v="乘用车"/>
    <x v="3"/>
    <x v="1"/>
    <n v="115382"/>
  </r>
  <r>
    <n v="947"/>
    <x v="6"/>
    <s v="汽油"/>
    <x v="4"/>
    <s v="小型客车"/>
    <s v="出租租赁"/>
    <s v="乘用车"/>
    <x v="3"/>
    <x v="1"/>
    <n v="91069"/>
  </r>
  <r>
    <n v="948"/>
    <x v="1"/>
    <s v="汽油-LPG"/>
    <x v="9"/>
    <s v="小型客车"/>
    <s v="出租租赁"/>
    <s v="乘用车"/>
    <x v="3"/>
    <x v="1"/>
    <n v="1695"/>
  </r>
  <r>
    <n v="949"/>
    <x v="2"/>
    <s v="汽油-LPG"/>
    <x v="9"/>
    <s v="小型客车"/>
    <s v="出租租赁"/>
    <s v="乘用车"/>
    <x v="3"/>
    <x v="1"/>
    <n v="5122"/>
  </r>
  <r>
    <n v="950"/>
    <x v="3"/>
    <s v="汽油-LPG"/>
    <x v="9"/>
    <s v="小型客车"/>
    <s v="出租租赁"/>
    <s v="乘用车"/>
    <x v="3"/>
    <x v="1"/>
    <n v="2630"/>
  </r>
  <r>
    <n v="951"/>
    <x v="4"/>
    <s v="汽油-LPG"/>
    <x v="9"/>
    <s v="小型客车"/>
    <s v="出租租赁"/>
    <s v="乘用车"/>
    <x v="3"/>
    <x v="1"/>
    <n v="202"/>
  </r>
  <r>
    <n v="952"/>
    <x v="0"/>
    <s v="汽油-天然气"/>
    <x v="5"/>
    <s v="小型客车"/>
    <s v="出租租赁"/>
    <s v="乘用车"/>
    <x v="3"/>
    <x v="1"/>
    <n v="123194"/>
  </r>
  <r>
    <n v="953"/>
    <x v="1"/>
    <s v="汽油-天然气"/>
    <x v="5"/>
    <s v="小型客车"/>
    <s v="出租租赁"/>
    <s v="乘用车"/>
    <x v="3"/>
    <x v="1"/>
    <n v="86125"/>
  </r>
  <r>
    <n v="954"/>
    <x v="2"/>
    <s v="汽油-天然气"/>
    <x v="5"/>
    <s v="小型客车"/>
    <s v="出租租赁"/>
    <s v="乘用车"/>
    <x v="3"/>
    <x v="1"/>
    <n v="75691"/>
  </r>
  <r>
    <n v="955"/>
    <x v="3"/>
    <s v="汽油-天然气"/>
    <x v="5"/>
    <s v="小型客车"/>
    <s v="出租租赁"/>
    <s v="乘用车"/>
    <x v="3"/>
    <x v="1"/>
    <n v="86574"/>
  </r>
  <r>
    <n v="956"/>
    <x v="4"/>
    <s v="汽油-天然气"/>
    <x v="5"/>
    <s v="小型客车"/>
    <s v="出租租赁"/>
    <s v="乘用车"/>
    <x v="3"/>
    <x v="1"/>
    <n v="92188"/>
  </r>
  <r>
    <n v="957"/>
    <x v="5"/>
    <s v="汽油-天然气"/>
    <x v="5"/>
    <s v="小型客车"/>
    <s v="出租租赁"/>
    <s v="乘用车"/>
    <x v="3"/>
    <x v="1"/>
    <n v="23115"/>
  </r>
  <r>
    <n v="958"/>
    <x v="6"/>
    <s v="汽油-天然气"/>
    <x v="5"/>
    <s v="小型客车"/>
    <s v="出租租赁"/>
    <s v="乘用车"/>
    <x v="3"/>
    <x v="1"/>
    <n v="23973"/>
  </r>
  <r>
    <n v="959"/>
    <x v="1"/>
    <s v="燃料电池"/>
    <x v="6"/>
    <s v="小型客车"/>
    <s v="出租租赁"/>
    <s v="乘用车"/>
    <x v="3"/>
    <x v="1"/>
    <n v="8"/>
  </r>
  <r>
    <n v="960"/>
    <x v="2"/>
    <s v="燃料电池"/>
    <x v="6"/>
    <s v="小型客车"/>
    <s v="出租租赁"/>
    <s v="乘用车"/>
    <x v="3"/>
    <x v="1"/>
    <n v="50"/>
  </r>
  <r>
    <n v="961"/>
    <x v="6"/>
    <s v="燃料电池"/>
    <x v="6"/>
    <s v="小型客车"/>
    <s v="出租租赁"/>
    <s v="乘用车"/>
    <x v="3"/>
    <x v="1"/>
    <n v="9"/>
  </r>
  <r>
    <n v="962"/>
    <x v="4"/>
    <s v="天然气"/>
    <x v="5"/>
    <s v="小型客车"/>
    <s v="出租租赁"/>
    <s v="乘用车"/>
    <x v="3"/>
    <x v="1"/>
    <n v="3298"/>
  </r>
  <r>
    <n v="963"/>
    <x v="5"/>
    <s v="天然气"/>
    <x v="5"/>
    <s v="小型客车"/>
    <s v="出租租赁"/>
    <s v="乘用车"/>
    <x v="3"/>
    <x v="1"/>
    <n v="15791"/>
  </r>
  <r>
    <n v="964"/>
    <x v="6"/>
    <s v="天然气"/>
    <x v="5"/>
    <s v="小型客车"/>
    <s v="出租租赁"/>
    <s v="乘用车"/>
    <x v="3"/>
    <x v="1"/>
    <n v="16214"/>
  </r>
  <r>
    <n v="965"/>
    <x v="6"/>
    <s v="增程式混合动力"/>
    <x v="3"/>
    <s v="小型客车"/>
    <s v="出租租赁"/>
    <s v="乘用车"/>
    <x v="3"/>
    <x v="1"/>
    <n v="180"/>
  </r>
  <r>
    <n v="966"/>
    <x v="0"/>
    <s v="柴油"/>
    <x v="1"/>
    <s v="中型客车"/>
    <s v="出租租赁"/>
    <s v="乘用车"/>
    <x v="1"/>
    <x v="0"/>
    <n v="5"/>
  </r>
  <r>
    <n v="967"/>
    <x v="0"/>
    <s v="汽油"/>
    <x v="4"/>
    <s v="中型客车"/>
    <s v="出租租赁"/>
    <s v="乘用车"/>
    <x v="1"/>
    <x v="0"/>
    <n v="6"/>
  </r>
  <r>
    <n v="968"/>
    <x v="1"/>
    <s v="汽油"/>
    <x v="4"/>
    <s v="中型客车"/>
    <s v="出租租赁"/>
    <s v="乘用车"/>
    <x v="1"/>
    <x v="0"/>
    <n v="6"/>
  </r>
  <r>
    <n v="969"/>
    <x v="3"/>
    <s v="汽油"/>
    <x v="4"/>
    <s v="中型客车"/>
    <s v="出租租赁"/>
    <s v="乘用车"/>
    <x v="1"/>
    <x v="0"/>
    <n v="4"/>
  </r>
  <r>
    <n v="970"/>
    <x v="5"/>
    <s v="汽油"/>
    <x v="4"/>
    <s v="中型客车"/>
    <s v="出租租赁"/>
    <s v="乘用车"/>
    <x v="1"/>
    <x v="0"/>
    <n v="3"/>
  </r>
  <r>
    <n v="971"/>
    <x v="6"/>
    <s v="汽油"/>
    <x v="4"/>
    <s v="中型客车"/>
    <s v="出租租赁"/>
    <s v="乘用车"/>
    <x v="1"/>
    <x v="0"/>
    <n v="2"/>
  </r>
  <r>
    <n v="972"/>
    <x v="6"/>
    <s v="插电式混合动力"/>
    <x v="0"/>
    <s v="NULL"/>
    <s v="非营运"/>
    <s v="乘用车"/>
    <x v="6"/>
    <x v="4"/>
    <n v="6002"/>
  </r>
  <r>
    <n v="973"/>
    <x v="6"/>
    <s v="柴油"/>
    <x v="1"/>
    <s v="NULL"/>
    <s v="非营运"/>
    <s v="乘用车"/>
    <x v="6"/>
    <x v="4"/>
    <n v="71"/>
  </r>
  <r>
    <n v="974"/>
    <x v="6"/>
    <s v="纯电动"/>
    <x v="2"/>
    <s v="NULL"/>
    <s v="非营运"/>
    <s v="乘用车"/>
    <x v="6"/>
    <x v="4"/>
    <n v="2796"/>
  </r>
  <r>
    <n v="975"/>
    <x v="6"/>
    <s v="混合动力"/>
    <x v="3"/>
    <s v="NULL"/>
    <s v="非营运"/>
    <s v="乘用车"/>
    <x v="6"/>
    <x v="4"/>
    <n v="22970"/>
  </r>
  <r>
    <n v="976"/>
    <x v="6"/>
    <s v="汽油"/>
    <x v="4"/>
    <s v="NULL"/>
    <s v="非营运"/>
    <s v="乘用车"/>
    <x v="6"/>
    <x v="4"/>
    <n v="166821"/>
  </r>
  <r>
    <n v="977"/>
    <x v="0"/>
    <s v="汽油"/>
    <x v="4"/>
    <s v="大型客车"/>
    <s v="非营运"/>
    <s v="乘用车"/>
    <x v="1"/>
    <x v="0"/>
    <n v="6"/>
  </r>
  <r>
    <n v="978"/>
    <x v="1"/>
    <s v="汽油"/>
    <x v="4"/>
    <s v="大型客车"/>
    <s v="非营运"/>
    <s v="乘用车"/>
    <x v="1"/>
    <x v="0"/>
    <n v="1"/>
  </r>
  <r>
    <n v="979"/>
    <x v="2"/>
    <s v="汽油"/>
    <x v="4"/>
    <s v="大型客车"/>
    <s v="非营运"/>
    <s v="乘用车"/>
    <x v="1"/>
    <x v="0"/>
    <n v="2"/>
  </r>
  <r>
    <n v="980"/>
    <x v="0"/>
    <s v="纯电动"/>
    <x v="2"/>
    <s v="微型客车"/>
    <s v="非营运"/>
    <s v="乘用车"/>
    <x v="6"/>
    <x v="1"/>
    <n v="50596"/>
  </r>
  <r>
    <n v="981"/>
    <x v="1"/>
    <s v="纯电动"/>
    <x v="2"/>
    <s v="微型客车"/>
    <s v="非营运"/>
    <s v="乘用车"/>
    <x v="6"/>
    <x v="1"/>
    <n v="49734"/>
  </r>
  <r>
    <n v="982"/>
    <x v="2"/>
    <s v="纯电动"/>
    <x v="2"/>
    <s v="微型客车"/>
    <s v="非营运"/>
    <s v="乘用车"/>
    <x v="6"/>
    <x v="1"/>
    <n v="116463"/>
  </r>
  <r>
    <n v="983"/>
    <x v="3"/>
    <s v="纯电动"/>
    <x v="2"/>
    <s v="微型客车"/>
    <s v="非营运"/>
    <s v="乘用车"/>
    <x v="6"/>
    <x v="1"/>
    <n v="112892"/>
  </r>
  <r>
    <n v="984"/>
    <x v="4"/>
    <s v="纯电动"/>
    <x v="2"/>
    <s v="微型客车"/>
    <s v="非营运"/>
    <s v="乘用车"/>
    <x v="6"/>
    <x v="1"/>
    <n v="105491"/>
  </r>
  <r>
    <n v="985"/>
    <x v="5"/>
    <s v="纯电动"/>
    <x v="2"/>
    <s v="微型客车"/>
    <s v="非营运"/>
    <s v="乘用车"/>
    <x v="6"/>
    <x v="1"/>
    <n v="259055"/>
  </r>
  <r>
    <n v="986"/>
    <x v="6"/>
    <s v="纯电动"/>
    <x v="2"/>
    <s v="微型客车"/>
    <s v="非营运"/>
    <s v="乘用车"/>
    <x v="6"/>
    <x v="1"/>
    <n v="630061"/>
  </r>
  <r>
    <n v="987"/>
    <x v="1"/>
    <s v="混合动力"/>
    <x v="3"/>
    <s v="微型客车"/>
    <s v="非营运"/>
    <s v="乘用车"/>
    <x v="6"/>
    <x v="1"/>
    <n v="1"/>
  </r>
  <r>
    <n v="988"/>
    <x v="2"/>
    <s v="混合动力"/>
    <x v="3"/>
    <s v="微型客车"/>
    <s v="非营运"/>
    <s v="乘用车"/>
    <x v="6"/>
    <x v="1"/>
    <n v="30"/>
  </r>
  <r>
    <n v="989"/>
    <x v="0"/>
    <s v="汽油"/>
    <x v="4"/>
    <s v="微型客车"/>
    <s v="非营运"/>
    <s v="乘用车"/>
    <x v="6"/>
    <x v="1"/>
    <n v="37507"/>
  </r>
  <r>
    <n v="990"/>
    <x v="1"/>
    <s v="汽油"/>
    <x v="4"/>
    <s v="微型客车"/>
    <s v="非营运"/>
    <s v="乘用车"/>
    <x v="6"/>
    <x v="1"/>
    <n v="19445"/>
  </r>
  <r>
    <n v="991"/>
    <x v="2"/>
    <s v="汽油"/>
    <x v="4"/>
    <s v="微型客车"/>
    <s v="非营运"/>
    <s v="乘用车"/>
    <x v="6"/>
    <x v="1"/>
    <n v="9975"/>
  </r>
  <r>
    <n v="992"/>
    <x v="3"/>
    <s v="汽油"/>
    <x v="4"/>
    <s v="微型客车"/>
    <s v="非营运"/>
    <s v="乘用车"/>
    <x v="6"/>
    <x v="1"/>
    <n v="4731"/>
  </r>
  <r>
    <n v="993"/>
    <x v="4"/>
    <s v="汽油"/>
    <x v="4"/>
    <s v="微型客车"/>
    <s v="非营运"/>
    <s v="乘用车"/>
    <x v="6"/>
    <x v="1"/>
    <n v="350"/>
  </r>
  <r>
    <n v="994"/>
    <x v="5"/>
    <s v="汽油"/>
    <x v="4"/>
    <s v="微型客车"/>
    <s v="非营运"/>
    <s v="乘用车"/>
    <x v="6"/>
    <x v="1"/>
    <n v="19"/>
  </r>
  <r>
    <n v="995"/>
    <x v="6"/>
    <s v="汽油"/>
    <x v="4"/>
    <s v="微型客车"/>
    <s v="非营运"/>
    <s v="乘用车"/>
    <x v="6"/>
    <x v="1"/>
    <n v="10"/>
  </r>
  <r>
    <n v="996"/>
    <x v="0"/>
    <s v="插电式混合动力"/>
    <x v="0"/>
    <s v="小型客车"/>
    <s v="非营运"/>
    <s v="乘用车"/>
    <x v="6"/>
    <x v="1"/>
    <n v="10033"/>
  </r>
  <r>
    <n v="997"/>
    <x v="1"/>
    <s v="插电式混合动力"/>
    <x v="0"/>
    <s v="小型客车"/>
    <s v="非营运"/>
    <s v="乘用车"/>
    <x v="6"/>
    <x v="1"/>
    <n v="21920"/>
  </r>
  <r>
    <n v="998"/>
    <x v="2"/>
    <s v="插电式混合动力"/>
    <x v="0"/>
    <s v="小型客车"/>
    <s v="非营运"/>
    <s v="乘用车"/>
    <x v="6"/>
    <x v="1"/>
    <n v="54561"/>
  </r>
  <r>
    <n v="999"/>
    <x v="3"/>
    <s v="插电式混合动力"/>
    <x v="0"/>
    <s v="小型客车"/>
    <s v="非营运"/>
    <s v="乘用车"/>
    <x v="6"/>
    <x v="1"/>
    <n v="177496"/>
  </r>
  <r>
    <n v="1000"/>
    <x v="4"/>
    <s v="插电式混合动力"/>
    <x v="0"/>
    <s v="小型客车"/>
    <s v="非营运"/>
    <s v="乘用车"/>
    <x v="6"/>
    <x v="1"/>
    <n v="183559"/>
  </r>
  <r>
    <n v="1001"/>
    <x v="5"/>
    <s v="插电式混合动力"/>
    <x v="0"/>
    <s v="小型客车"/>
    <s v="非营运"/>
    <s v="乘用车"/>
    <x v="6"/>
    <x v="1"/>
    <n v="195072"/>
  </r>
  <r>
    <n v="1002"/>
    <x v="6"/>
    <s v="插电式混合动力"/>
    <x v="0"/>
    <s v="小型客车"/>
    <s v="非营运"/>
    <s v="乘用车"/>
    <x v="6"/>
    <x v="1"/>
    <n v="402729"/>
  </r>
  <r>
    <n v="1003"/>
    <x v="0"/>
    <s v="柴油"/>
    <x v="1"/>
    <s v="小型客车"/>
    <s v="非营运"/>
    <s v="乘用车"/>
    <x v="6"/>
    <x v="1"/>
    <n v="89397"/>
  </r>
  <r>
    <n v="1004"/>
    <x v="1"/>
    <s v="柴油"/>
    <x v="1"/>
    <s v="小型客车"/>
    <s v="非营运"/>
    <s v="乘用车"/>
    <x v="6"/>
    <x v="1"/>
    <n v="44086"/>
  </r>
  <r>
    <n v="1005"/>
    <x v="2"/>
    <s v="柴油"/>
    <x v="1"/>
    <s v="小型客车"/>
    <s v="非营运"/>
    <s v="乘用车"/>
    <x v="6"/>
    <x v="1"/>
    <n v="46863"/>
  </r>
  <r>
    <n v="1006"/>
    <x v="3"/>
    <s v="柴油"/>
    <x v="1"/>
    <s v="小型客车"/>
    <s v="非营运"/>
    <s v="乘用车"/>
    <x v="6"/>
    <x v="1"/>
    <n v="59338"/>
  </r>
  <r>
    <n v="1007"/>
    <x v="4"/>
    <s v="柴油"/>
    <x v="1"/>
    <s v="小型客车"/>
    <s v="非营运"/>
    <s v="乘用车"/>
    <x v="6"/>
    <x v="1"/>
    <n v="31156"/>
  </r>
  <r>
    <n v="1008"/>
    <x v="5"/>
    <s v="柴油"/>
    <x v="1"/>
    <s v="小型客车"/>
    <s v="非营运"/>
    <s v="乘用车"/>
    <x v="6"/>
    <x v="1"/>
    <n v="12596"/>
  </r>
  <r>
    <n v="1009"/>
    <x v="6"/>
    <s v="柴油"/>
    <x v="1"/>
    <s v="小型客车"/>
    <s v="非营运"/>
    <s v="乘用车"/>
    <x v="6"/>
    <x v="1"/>
    <n v="13608"/>
  </r>
  <r>
    <n v="1010"/>
    <x v="0"/>
    <s v="纯电动"/>
    <x v="2"/>
    <s v="小型客车"/>
    <s v="非营运"/>
    <s v="乘用车"/>
    <x v="6"/>
    <x v="1"/>
    <n v="65615"/>
  </r>
  <r>
    <n v="1011"/>
    <x v="1"/>
    <s v="纯电动"/>
    <x v="2"/>
    <s v="小型客车"/>
    <s v="非营运"/>
    <s v="乘用车"/>
    <x v="6"/>
    <x v="1"/>
    <n v="161933"/>
  </r>
  <r>
    <n v="1012"/>
    <x v="2"/>
    <s v="纯电动"/>
    <x v="2"/>
    <s v="小型客车"/>
    <s v="非营运"/>
    <s v="乘用车"/>
    <x v="6"/>
    <x v="1"/>
    <n v="302364"/>
  </r>
  <r>
    <n v="1013"/>
    <x v="3"/>
    <s v="纯电动"/>
    <x v="2"/>
    <s v="小型客车"/>
    <s v="非营运"/>
    <s v="乘用车"/>
    <x v="6"/>
    <x v="1"/>
    <n v="453899"/>
  </r>
  <r>
    <n v="1014"/>
    <x v="4"/>
    <s v="纯电动"/>
    <x v="2"/>
    <s v="小型客车"/>
    <s v="非营运"/>
    <s v="乘用车"/>
    <x v="6"/>
    <x v="1"/>
    <n v="377257"/>
  </r>
  <r>
    <n v="1015"/>
    <x v="5"/>
    <s v="纯电动"/>
    <x v="2"/>
    <s v="小型客车"/>
    <s v="非营运"/>
    <s v="乘用车"/>
    <x v="6"/>
    <x v="1"/>
    <n v="502760"/>
  </r>
  <r>
    <n v="1016"/>
    <x v="6"/>
    <s v="纯电动"/>
    <x v="2"/>
    <s v="小型客车"/>
    <s v="非营运"/>
    <s v="乘用车"/>
    <x v="6"/>
    <x v="1"/>
    <n v="1414498"/>
  </r>
  <r>
    <n v="1017"/>
    <x v="0"/>
    <s v="混合动力"/>
    <x v="3"/>
    <s v="小型客车"/>
    <s v="非营运"/>
    <s v="乘用车"/>
    <x v="6"/>
    <x v="1"/>
    <n v="64210"/>
  </r>
  <r>
    <n v="1018"/>
    <x v="1"/>
    <s v="混合动力"/>
    <x v="3"/>
    <s v="小型客车"/>
    <s v="非营运"/>
    <s v="乘用车"/>
    <x v="6"/>
    <x v="1"/>
    <n v="154514"/>
  </r>
  <r>
    <n v="1019"/>
    <x v="2"/>
    <s v="混合动力"/>
    <x v="3"/>
    <s v="小型客车"/>
    <s v="非营运"/>
    <s v="乘用车"/>
    <x v="6"/>
    <x v="1"/>
    <n v="207831"/>
  </r>
  <r>
    <n v="1020"/>
    <x v="3"/>
    <s v="混合动力"/>
    <x v="3"/>
    <s v="小型客车"/>
    <s v="非营运"/>
    <s v="乘用车"/>
    <x v="6"/>
    <x v="1"/>
    <n v="285928"/>
  </r>
  <r>
    <n v="1021"/>
    <x v="4"/>
    <s v="混合动力"/>
    <x v="3"/>
    <s v="小型客车"/>
    <s v="非营运"/>
    <s v="乘用车"/>
    <x v="6"/>
    <x v="1"/>
    <n v="350626"/>
  </r>
  <r>
    <n v="1022"/>
    <x v="5"/>
    <s v="混合动力"/>
    <x v="3"/>
    <s v="小型客车"/>
    <s v="非营运"/>
    <s v="乘用车"/>
    <x v="6"/>
    <x v="1"/>
    <n v="536308"/>
  </r>
  <r>
    <n v="1023"/>
    <x v="6"/>
    <s v="混合动力"/>
    <x v="3"/>
    <s v="小型客车"/>
    <s v="非营运"/>
    <s v="乘用车"/>
    <x v="6"/>
    <x v="1"/>
    <n v="683525"/>
  </r>
  <r>
    <n v="1024"/>
    <x v="0"/>
    <s v="甲醇"/>
    <x v="8"/>
    <s v="小型客车"/>
    <s v="非营运"/>
    <s v="乘用车"/>
    <x v="6"/>
    <x v="1"/>
    <n v="19"/>
  </r>
  <r>
    <n v="1025"/>
    <x v="1"/>
    <s v="甲醇"/>
    <x v="8"/>
    <s v="小型客车"/>
    <s v="非营运"/>
    <s v="乘用车"/>
    <x v="6"/>
    <x v="1"/>
    <n v="8"/>
  </r>
  <r>
    <n v="1026"/>
    <x v="2"/>
    <s v="甲醇"/>
    <x v="8"/>
    <s v="小型客车"/>
    <s v="非营运"/>
    <s v="乘用车"/>
    <x v="6"/>
    <x v="1"/>
    <n v="420"/>
  </r>
  <r>
    <n v="1027"/>
    <x v="3"/>
    <s v="甲醇"/>
    <x v="8"/>
    <s v="小型客车"/>
    <s v="非营运"/>
    <s v="乘用车"/>
    <x v="6"/>
    <x v="1"/>
    <n v="215"/>
  </r>
  <r>
    <n v="1028"/>
    <x v="4"/>
    <s v="甲醇"/>
    <x v="8"/>
    <s v="小型客车"/>
    <s v="非营运"/>
    <s v="乘用车"/>
    <x v="6"/>
    <x v="1"/>
    <n v="32"/>
  </r>
  <r>
    <n v="1029"/>
    <x v="5"/>
    <s v="甲醇"/>
    <x v="8"/>
    <s v="小型客车"/>
    <s v="非营运"/>
    <s v="乘用车"/>
    <x v="6"/>
    <x v="1"/>
    <n v="145"/>
  </r>
  <r>
    <n v="1030"/>
    <x v="6"/>
    <s v="甲醇"/>
    <x v="8"/>
    <s v="小型客车"/>
    <s v="非营运"/>
    <s v="乘用车"/>
    <x v="6"/>
    <x v="1"/>
    <n v="28"/>
  </r>
  <r>
    <n v="1031"/>
    <x v="0"/>
    <s v="汽油"/>
    <x v="4"/>
    <s v="小型客车"/>
    <s v="非营运"/>
    <s v="乘用车"/>
    <x v="6"/>
    <x v="1"/>
    <n v="19070729"/>
  </r>
  <r>
    <n v="1032"/>
    <x v="1"/>
    <s v="汽油"/>
    <x v="4"/>
    <s v="小型客车"/>
    <s v="非营运"/>
    <s v="乘用车"/>
    <x v="6"/>
    <x v="1"/>
    <n v="23769495"/>
  </r>
  <r>
    <n v="1033"/>
    <x v="2"/>
    <s v="汽油"/>
    <x v="4"/>
    <s v="小型客车"/>
    <s v="非营运"/>
    <s v="乘用车"/>
    <x v="6"/>
    <x v="1"/>
    <n v="23287606"/>
  </r>
  <r>
    <n v="1034"/>
    <x v="3"/>
    <s v="汽油"/>
    <x v="4"/>
    <s v="小型客车"/>
    <s v="非营运"/>
    <s v="乘用车"/>
    <x v="6"/>
    <x v="1"/>
    <n v="20842214"/>
  </r>
  <r>
    <n v="1035"/>
    <x v="4"/>
    <s v="汽油"/>
    <x v="4"/>
    <s v="小型客车"/>
    <s v="非营运"/>
    <s v="乘用车"/>
    <x v="6"/>
    <x v="1"/>
    <n v="19986840"/>
  </r>
  <r>
    <n v="1036"/>
    <x v="5"/>
    <s v="汽油"/>
    <x v="4"/>
    <s v="小型客车"/>
    <s v="非营运"/>
    <s v="乘用车"/>
    <x v="6"/>
    <x v="1"/>
    <n v="18196716"/>
  </r>
  <r>
    <n v="1037"/>
    <x v="6"/>
    <s v="汽油"/>
    <x v="4"/>
    <s v="小型客车"/>
    <s v="非营运"/>
    <s v="乘用车"/>
    <x v="6"/>
    <x v="1"/>
    <n v="17373728"/>
  </r>
  <r>
    <n v="1038"/>
    <x v="1"/>
    <s v="汽油-LPG"/>
    <x v="9"/>
    <s v="小型客车"/>
    <s v="非营运"/>
    <s v="乘用车"/>
    <x v="6"/>
    <x v="1"/>
    <n v="27"/>
  </r>
  <r>
    <n v="1039"/>
    <x v="2"/>
    <s v="汽油-LPG"/>
    <x v="9"/>
    <s v="小型客车"/>
    <s v="非营运"/>
    <s v="乘用车"/>
    <x v="6"/>
    <x v="1"/>
    <n v="165"/>
  </r>
  <r>
    <n v="1040"/>
    <x v="3"/>
    <s v="汽油-LPG"/>
    <x v="9"/>
    <s v="小型客车"/>
    <s v="非营运"/>
    <s v="乘用车"/>
    <x v="6"/>
    <x v="1"/>
    <n v="512"/>
  </r>
  <r>
    <n v="1041"/>
    <x v="4"/>
    <s v="汽油-LPG"/>
    <x v="9"/>
    <s v="小型客车"/>
    <s v="非营运"/>
    <s v="乘用车"/>
    <x v="6"/>
    <x v="1"/>
    <n v="1"/>
  </r>
  <r>
    <n v="1042"/>
    <x v="0"/>
    <s v="汽油-天然气"/>
    <x v="5"/>
    <s v="小型客车"/>
    <s v="非营运"/>
    <s v="乘用车"/>
    <x v="6"/>
    <x v="1"/>
    <n v="1310439"/>
  </r>
  <r>
    <n v="1043"/>
    <x v="1"/>
    <s v="汽油-天然气"/>
    <x v="5"/>
    <s v="小型客车"/>
    <s v="非营运"/>
    <s v="乘用车"/>
    <x v="6"/>
    <x v="1"/>
    <n v="22580"/>
  </r>
  <r>
    <n v="1044"/>
    <x v="2"/>
    <s v="汽油-天然气"/>
    <x v="5"/>
    <s v="小型客车"/>
    <s v="非营运"/>
    <s v="乘用车"/>
    <x v="6"/>
    <x v="1"/>
    <n v="22876"/>
  </r>
  <r>
    <n v="1045"/>
    <x v="3"/>
    <s v="汽油-天然气"/>
    <x v="5"/>
    <s v="小型客车"/>
    <s v="非营运"/>
    <s v="乘用车"/>
    <x v="6"/>
    <x v="1"/>
    <n v="38202"/>
  </r>
  <r>
    <n v="1046"/>
    <x v="4"/>
    <s v="汽油-天然气"/>
    <x v="5"/>
    <s v="小型客车"/>
    <s v="非营运"/>
    <s v="乘用车"/>
    <x v="6"/>
    <x v="1"/>
    <n v="8020"/>
  </r>
  <r>
    <n v="1047"/>
    <x v="5"/>
    <s v="汽油-天然气"/>
    <x v="5"/>
    <s v="小型客车"/>
    <s v="非营运"/>
    <s v="乘用车"/>
    <x v="6"/>
    <x v="1"/>
    <n v="977"/>
  </r>
  <r>
    <n v="1048"/>
    <x v="6"/>
    <s v="汽油-天然气"/>
    <x v="5"/>
    <s v="小型客车"/>
    <s v="非营运"/>
    <s v="乘用车"/>
    <x v="6"/>
    <x v="1"/>
    <n v="186"/>
  </r>
  <r>
    <n v="1049"/>
    <x v="6"/>
    <s v="燃料电池"/>
    <x v="6"/>
    <s v="小型客车"/>
    <s v="非营运"/>
    <s v="乘用车"/>
    <x v="6"/>
    <x v="1"/>
    <n v="9"/>
  </r>
  <r>
    <n v="1050"/>
    <x v="2"/>
    <s v="天然气"/>
    <x v="5"/>
    <s v="小型客车"/>
    <s v="非营运"/>
    <s v="乘用车"/>
    <x v="6"/>
    <x v="1"/>
    <n v="19"/>
  </r>
  <r>
    <n v="1051"/>
    <x v="3"/>
    <s v="天然气"/>
    <x v="5"/>
    <s v="小型客车"/>
    <s v="非营运"/>
    <s v="乘用车"/>
    <x v="6"/>
    <x v="1"/>
    <n v="474"/>
  </r>
  <r>
    <n v="1052"/>
    <x v="4"/>
    <s v="天然气"/>
    <x v="5"/>
    <s v="小型客车"/>
    <s v="非营运"/>
    <s v="乘用车"/>
    <x v="6"/>
    <x v="1"/>
    <n v="721"/>
  </r>
  <r>
    <n v="1053"/>
    <x v="5"/>
    <s v="天然气"/>
    <x v="5"/>
    <s v="小型客车"/>
    <s v="非营运"/>
    <s v="乘用车"/>
    <x v="6"/>
    <x v="1"/>
    <n v="1133"/>
  </r>
  <r>
    <n v="1054"/>
    <x v="6"/>
    <s v="天然气"/>
    <x v="5"/>
    <s v="小型客车"/>
    <s v="非营运"/>
    <s v="乘用车"/>
    <x v="6"/>
    <x v="1"/>
    <n v="3137"/>
  </r>
  <r>
    <n v="1055"/>
    <x v="5"/>
    <s v="增程式混合动力"/>
    <x v="3"/>
    <s v="小型客车"/>
    <s v="非营运"/>
    <s v="乘用车"/>
    <x v="6"/>
    <x v="1"/>
    <n v="2706"/>
  </r>
  <r>
    <n v="1056"/>
    <x v="6"/>
    <s v="增程式混合动力"/>
    <x v="3"/>
    <s v="小型客车"/>
    <s v="非营运"/>
    <s v="乘用车"/>
    <x v="6"/>
    <x v="1"/>
    <n v="100835"/>
  </r>
  <r>
    <n v="1057"/>
    <x v="0"/>
    <s v="柴油"/>
    <x v="1"/>
    <s v="中型客车"/>
    <s v="非营运"/>
    <s v="乘用车"/>
    <x v="1"/>
    <x v="0"/>
    <n v="75"/>
  </r>
  <r>
    <n v="1058"/>
    <x v="2"/>
    <s v="柴油"/>
    <x v="1"/>
    <s v="中型客车"/>
    <s v="非营运"/>
    <s v="乘用车"/>
    <x v="1"/>
    <x v="0"/>
    <n v="12"/>
  </r>
  <r>
    <n v="1059"/>
    <x v="0"/>
    <s v="汽油"/>
    <x v="4"/>
    <s v="中型客车"/>
    <s v="非营运"/>
    <s v="乘用车"/>
    <x v="1"/>
    <x v="0"/>
    <n v="630"/>
  </r>
  <r>
    <n v="1060"/>
    <x v="1"/>
    <s v="汽油"/>
    <x v="4"/>
    <s v="中型客车"/>
    <s v="非营运"/>
    <s v="乘用车"/>
    <x v="1"/>
    <x v="0"/>
    <n v="1044"/>
  </r>
  <r>
    <n v="1061"/>
    <x v="2"/>
    <s v="汽油"/>
    <x v="4"/>
    <s v="中型客车"/>
    <s v="非营运"/>
    <s v="乘用车"/>
    <x v="1"/>
    <x v="0"/>
    <n v="1315"/>
  </r>
  <r>
    <n v="1062"/>
    <x v="3"/>
    <s v="汽油"/>
    <x v="4"/>
    <s v="中型客车"/>
    <s v="非营运"/>
    <s v="乘用车"/>
    <x v="1"/>
    <x v="0"/>
    <n v="684"/>
  </r>
  <r>
    <n v="1063"/>
    <x v="4"/>
    <s v="汽油"/>
    <x v="4"/>
    <s v="中型客车"/>
    <s v="非营运"/>
    <s v="乘用车"/>
    <x v="1"/>
    <x v="0"/>
    <n v="1510"/>
  </r>
  <r>
    <n v="1064"/>
    <x v="5"/>
    <s v="汽油"/>
    <x v="4"/>
    <s v="中型客车"/>
    <s v="非营运"/>
    <s v="乘用车"/>
    <x v="1"/>
    <x v="0"/>
    <n v="2083"/>
  </r>
  <r>
    <n v="1065"/>
    <x v="6"/>
    <s v="汽油"/>
    <x v="4"/>
    <s v="中型客车"/>
    <s v="非营运"/>
    <s v="乘用车"/>
    <x v="1"/>
    <x v="0"/>
    <n v="1778"/>
  </r>
  <r>
    <n v="1066"/>
    <x v="6"/>
    <s v="混合动力"/>
    <x v="3"/>
    <s v="NULL"/>
    <s v="公路客运"/>
    <s v="乘用车"/>
    <x v="5"/>
    <x v="4"/>
    <n v="1"/>
  </r>
  <r>
    <n v="1067"/>
    <x v="4"/>
    <s v="插电式混合动力"/>
    <x v="0"/>
    <s v="小型客车"/>
    <s v="公路客运"/>
    <s v="乘用车"/>
    <x v="1"/>
    <x v="1"/>
    <n v="12"/>
  </r>
  <r>
    <n v="1068"/>
    <x v="6"/>
    <s v="插电式混合动力"/>
    <x v="0"/>
    <s v="小型客车"/>
    <s v="公路客运"/>
    <s v="乘用车"/>
    <x v="1"/>
    <x v="1"/>
    <n v="5"/>
  </r>
  <r>
    <n v="1069"/>
    <x v="0"/>
    <s v="柴油"/>
    <x v="1"/>
    <s v="小型客车"/>
    <s v="公路客运"/>
    <s v="乘用车"/>
    <x v="1"/>
    <x v="1"/>
    <n v="373"/>
  </r>
  <r>
    <n v="1070"/>
    <x v="1"/>
    <s v="柴油"/>
    <x v="1"/>
    <s v="小型客车"/>
    <s v="公路客运"/>
    <s v="乘用车"/>
    <x v="1"/>
    <x v="1"/>
    <n v="480"/>
  </r>
  <r>
    <n v="1071"/>
    <x v="2"/>
    <s v="柴油"/>
    <x v="1"/>
    <s v="小型客车"/>
    <s v="公路客运"/>
    <s v="乘用车"/>
    <x v="1"/>
    <x v="1"/>
    <n v="1056"/>
  </r>
  <r>
    <n v="1072"/>
    <x v="3"/>
    <s v="柴油"/>
    <x v="1"/>
    <s v="小型客车"/>
    <s v="公路客运"/>
    <s v="乘用车"/>
    <x v="1"/>
    <x v="1"/>
    <n v="1340"/>
  </r>
  <r>
    <n v="1073"/>
    <x v="4"/>
    <s v="柴油"/>
    <x v="1"/>
    <s v="小型客车"/>
    <s v="公路客运"/>
    <s v="乘用车"/>
    <x v="1"/>
    <x v="1"/>
    <n v="2429"/>
  </r>
  <r>
    <n v="1074"/>
    <x v="5"/>
    <s v="柴油"/>
    <x v="1"/>
    <s v="小型客车"/>
    <s v="公路客运"/>
    <s v="乘用车"/>
    <x v="1"/>
    <x v="1"/>
    <n v="1343"/>
  </r>
  <r>
    <n v="1075"/>
    <x v="6"/>
    <s v="柴油"/>
    <x v="1"/>
    <s v="小型客车"/>
    <s v="公路客运"/>
    <s v="乘用车"/>
    <x v="1"/>
    <x v="1"/>
    <n v="1714"/>
  </r>
  <r>
    <n v="1076"/>
    <x v="0"/>
    <s v="纯电动"/>
    <x v="2"/>
    <s v="小型客车"/>
    <s v="公路客运"/>
    <s v="乘用车"/>
    <x v="1"/>
    <x v="1"/>
    <n v="3"/>
  </r>
  <r>
    <n v="1077"/>
    <x v="1"/>
    <s v="纯电动"/>
    <x v="2"/>
    <s v="小型客车"/>
    <s v="公路客运"/>
    <s v="乘用车"/>
    <x v="1"/>
    <x v="1"/>
    <n v="14"/>
  </r>
  <r>
    <n v="1078"/>
    <x v="2"/>
    <s v="纯电动"/>
    <x v="2"/>
    <s v="小型客车"/>
    <s v="公路客运"/>
    <s v="乘用车"/>
    <x v="1"/>
    <x v="1"/>
    <n v="620"/>
  </r>
  <r>
    <n v="1079"/>
    <x v="3"/>
    <s v="纯电动"/>
    <x v="2"/>
    <s v="小型客车"/>
    <s v="公路客运"/>
    <s v="乘用车"/>
    <x v="1"/>
    <x v="1"/>
    <n v="60"/>
  </r>
  <r>
    <n v="1080"/>
    <x v="4"/>
    <s v="纯电动"/>
    <x v="2"/>
    <s v="小型客车"/>
    <s v="公路客运"/>
    <s v="乘用车"/>
    <x v="1"/>
    <x v="1"/>
    <n v="90"/>
  </r>
  <r>
    <n v="1081"/>
    <x v="5"/>
    <s v="纯电动"/>
    <x v="2"/>
    <s v="小型客车"/>
    <s v="公路客运"/>
    <s v="乘用车"/>
    <x v="1"/>
    <x v="1"/>
    <n v="437"/>
  </r>
  <r>
    <n v="1082"/>
    <x v="6"/>
    <s v="纯电动"/>
    <x v="2"/>
    <s v="小型客车"/>
    <s v="公路客运"/>
    <s v="乘用车"/>
    <x v="1"/>
    <x v="1"/>
    <n v="1373"/>
  </r>
  <r>
    <n v="1083"/>
    <x v="5"/>
    <s v="混合动力"/>
    <x v="3"/>
    <s v="小型客车"/>
    <s v="公路客运"/>
    <s v="乘用车"/>
    <x v="1"/>
    <x v="1"/>
    <n v="1"/>
  </r>
  <r>
    <n v="1084"/>
    <x v="6"/>
    <s v="混合动力"/>
    <x v="3"/>
    <s v="小型客车"/>
    <s v="公路客运"/>
    <s v="乘用车"/>
    <x v="1"/>
    <x v="1"/>
    <n v="1"/>
  </r>
  <r>
    <n v="1085"/>
    <x v="0"/>
    <s v="汽油"/>
    <x v="4"/>
    <s v="小型客车"/>
    <s v="公路客运"/>
    <s v="乘用车"/>
    <x v="1"/>
    <x v="1"/>
    <n v="9375"/>
  </r>
  <r>
    <n v="1086"/>
    <x v="1"/>
    <s v="汽油"/>
    <x v="4"/>
    <s v="小型客车"/>
    <s v="公路客运"/>
    <s v="乘用车"/>
    <x v="1"/>
    <x v="1"/>
    <n v="5958"/>
  </r>
  <r>
    <n v="1087"/>
    <x v="2"/>
    <s v="汽油"/>
    <x v="4"/>
    <s v="小型客车"/>
    <s v="公路客运"/>
    <s v="乘用车"/>
    <x v="1"/>
    <x v="1"/>
    <n v="21686"/>
  </r>
  <r>
    <n v="1088"/>
    <x v="3"/>
    <s v="汽油"/>
    <x v="4"/>
    <s v="小型客车"/>
    <s v="公路客运"/>
    <s v="乘用车"/>
    <x v="1"/>
    <x v="1"/>
    <n v="18011"/>
  </r>
  <r>
    <n v="1089"/>
    <x v="4"/>
    <s v="汽油"/>
    <x v="4"/>
    <s v="小型客车"/>
    <s v="公路客运"/>
    <s v="乘用车"/>
    <x v="1"/>
    <x v="1"/>
    <n v="9062"/>
  </r>
  <r>
    <n v="1090"/>
    <x v="5"/>
    <s v="汽油"/>
    <x v="4"/>
    <s v="小型客车"/>
    <s v="公路客运"/>
    <s v="乘用车"/>
    <x v="1"/>
    <x v="1"/>
    <n v="10218"/>
  </r>
  <r>
    <n v="1091"/>
    <x v="6"/>
    <s v="汽油"/>
    <x v="4"/>
    <s v="小型客车"/>
    <s v="公路客运"/>
    <s v="乘用车"/>
    <x v="1"/>
    <x v="1"/>
    <n v="6569"/>
  </r>
  <r>
    <n v="1092"/>
    <x v="0"/>
    <s v="汽油-天然气"/>
    <x v="5"/>
    <s v="小型客车"/>
    <s v="公路客运"/>
    <s v="乘用车"/>
    <x v="1"/>
    <x v="1"/>
    <n v="929"/>
  </r>
  <r>
    <n v="1093"/>
    <x v="1"/>
    <s v="汽油-天然气"/>
    <x v="5"/>
    <s v="小型客车"/>
    <s v="公路客运"/>
    <s v="乘用车"/>
    <x v="1"/>
    <x v="1"/>
    <n v="13"/>
  </r>
  <r>
    <n v="1094"/>
    <x v="2"/>
    <s v="汽油-天然气"/>
    <x v="5"/>
    <s v="小型客车"/>
    <s v="公路客运"/>
    <s v="乘用车"/>
    <x v="1"/>
    <x v="1"/>
    <n v="13"/>
  </r>
  <r>
    <n v="1095"/>
    <x v="3"/>
    <s v="汽油-天然气"/>
    <x v="5"/>
    <s v="小型客车"/>
    <s v="公路客运"/>
    <s v="乘用车"/>
    <x v="1"/>
    <x v="1"/>
    <n v="8"/>
  </r>
  <r>
    <n v="1096"/>
    <x v="5"/>
    <s v="汽油-天然气"/>
    <x v="5"/>
    <s v="小型客车"/>
    <s v="公路客运"/>
    <s v="乘用车"/>
    <x v="1"/>
    <x v="1"/>
    <n v="16"/>
  </r>
  <r>
    <n v="1097"/>
    <x v="2"/>
    <s v="天然气"/>
    <x v="5"/>
    <s v="小型客车"/>
    <s v="公路客运"/>
    <s v="乘用车"/>
    <x v="1"/>
    <x v="1"/>
    <n v="1"/>
  </r>
  <r>
    <n v="1098"/>
    <x v="4"/>
    <s v="天然气"/>
    <x v="5"/>
    <s v="小型客车"/>
    <s v="公路客运"/>
    <s v="乘用车"/>
    <x v="1"/>
    <x v="1"/>
    <n v="11"/>
  </r>
  <r>
    <n v="1099"/>
    <x v="5"/>
    <s v="天然气"/>
    <x v="5"/>
    <s v="小型客车"/>
    <s v="公路客运"/>
    <s v="乘用车"/>
    <x v="1"/>
    <x v="1"/>
    <n v="3"/>
  </r>
  <r>
    <n v="1100"/>
    <x v="6"/>
    <s v="天然气"/>
    <x v="5"/>
    <s v="小型客车"/>
    <s v="公路客运"/>
    <s v="乘用车"/>
    <x v="1"/>
    <x v="1"/>
    <n v="409"/>
  </r>
  <r>
    <n v="1101"/>
    <x v="0"/>
    <s v="柴油"/>
    <x v="1"/>
    <s v="中型客车"/>
    <s v="公路客运"/>
    <s v="乘用车"/>
    <x v="1"/>
    <x v="0"/>
    <n v="16"/>
  </r>
  <r>
    <n v="1102"/>
    <x v="0"/>
    <s v="汽油"/>
    <x v="4"/>
    <s v="中型客车"/>
    <s v="公路客运"/>
    <s v="乘用车"/>
    <x v="1"/>
    <x v="0"/>
    <n v="7"/>
  </r>
  <r>
    <n v="1103"/>
    <x v="1"/>
    <s v="汽油"/>
    <x v="4"/>
    <s v="中型客车"/>
    <s v="公路客运"/>
    <s v="乘用车"/>
    <x v="1"/>
    <x v="0"/>
    <n v="2"/>
  </r>
  <r>
    <n v="1104"/>
    <x v="2"/>
    <s v="汽油"/>
    <x v="4"/>
    <s v="中型客车"/>
    <s v="公路客运"/>
    <s v="乘用车"/>
    <x v="1"/>
    <x v="0"/>
    <n v="8"/>
  </r>
  <r>
    <n v="1105"/>
    <x v="3"/>
    <s v="汽油"/>
    <x v="4"/>
    <s v="中型客车"/>
    <s v="公路客运"/>
    <s v="乘用车"/>
    <x v="1"/>
    <x v="0"/>
    <n v="32"/>
  </r>
  <r>
    <n v="1106"/>
    <x v="4"/>
    <s v="汽油"/>
    <x v="4"/>
    <s v="中型客车"/>
    <s v="公路客运"/>
    <s v="乘用车"/>
    <x v="1"/>
    <x v="0"/>
    <n v="1"/>
  </r>
  <r>
    <n v="1107"/>
    <x v="5"/>
    <s v="汽油"/>
    <x v="4"/>
    <s v="中型客车"/>
    <s v="公路客运"/>
    <s v="乘用车"/>
    <x v="1"/>
    <x v="0"/>
    <n v="4"/>
  </r>
  <r>
    <n v="1108"/>
    <x v="2"/>
    <s v="纯电动"/>
    <x v="2"/>
    <s v="微型客车"/>
    <s v="未知"/>
    <s v="乘用车"/>
    <x v="6"/>
    <x v="1"/>
    <n v="1384"/>
  </r>
  <r>
    <n v="1109"/>
    <x v="2"/>
    <s v="汽油"/>
    <x v="4"/>
    <s v="微型客车"/>
    <s v="未知"/>
    <s v="乘用车"/>
    <x v="6"/>
    <x v="1"/>
    <n v="2"/>
  </r>
  <r>
    <n v="1110"/>
    <x v="3"/>
    <s v="汽油"/>
    <x v="4"/>
    <s v="微型客车"/>
    <s v="未知"/>
    <s v="乘用车"/>
    <x v="6"/>
    <x v="1"/>
    <n v="7"/>
  </r>
  <r>
    <n v="1111"/>
    <x v="3"/>
    <s v="插电式混合动力"/>
    <x v="0"/>
    <s v="小型客车"/>
    <s v="未知"/>
    <s v="乘用车"/>
    <x v="6"/>
    <x v="1"/>
    <n v="1"/>
  </r>
  <r>
    <n v="1112"/>
    <x v="1"/>
    <s v="柴油"/>
    <x v="1"/>
    <s v="小型客车"/>
    <s v="未知"/>
    <s v="乘用车"/>
    <x v="6"/>
    <x v="1"/>
    <n v="30"/>
  </r>
  <r>
    <n v="1113"/>
    <x v="2"/>
    <s v="柴油"/>
    <x v="1"/>
    <s v="小型客车"/>
    <s v="未知"/>
    <s v="乘用车"/>
    <x v="6"/>
    <x v="1"/>
    <n v="5"/>
  </r>
  <r>
    <n v="1114"/>
    <x v="3"/>
    <s v="柴油"/>
    <x v="1"/>
    <s v="小型客车"/>
    <s v="未知"/>
    <s v="乘用车"/>
    <x v="6"/>
    <x v="1"/>
    <n v="7"/>
  </r>
  <r>
    <n v="1115"/>
    <x v="1"/>
    <s v="纯电动"/>
    <x v="2"/>
    <s v="小型客车"/>
    <s v="未知"/>
    <s v="乘用车"/>
    <x v="6"/>
    <x v="1"/>
    <n v="13"/>
  </r>
  <r>
    <n v="1116"/>
    <x v="2"/>
    <s v="纯电动"/>
    <x v="2"/>
    <s v="小型客车"/>
    <s v="未知"/>
    <s v="乘用车"/>
    <x v="6"/>
    <x v="1"/>
    <n v="1144"/>
  </r>
  <r>
    <n v="1117"/>
    <x v="3"/>
    <s v="纯电动"/>
    <x v="2"/>
    <s v="小型客车"/>
    <s v="未知"/>
    <s v="乘用车"/>
    <x v="6"/>
    <x v="1"/>
    <n v="2"/>
  </r>
  <r>
    <n v="1118"/>
    <x v="5"/>
    <s v="纯电动"/>
    <x v="2"/>
    <s v="小型客车"/>
    <s v="未知"/>
    <s v="乘用车"/>
    <x v="6"/>
    <x v="1"/>
    <n v="2"/>
  </r>
  <r>
    <n v="1119"/>
    <x v="2"/>
    <s v="混合动力"/>
    <x v="3"/>
    <s v="小型客车"/>
    <s v="未知"/>
    <s v="乘用车"/>
    <x v="6"/>
    <x v="1"/>
    <n v="1"/>
  </r>
  <r>
    <n v="1120"/>
    <x v="1"/>
    <s v="汽油"/>
    <x v="4"/>
    <s v="小型客车"/>
    <s v="未知"/>
    <s v="乘用车"/>
    <x v="6"/>
    <x v="1"/>
    <n v="1135"/>
  </r>
  <r>
    <n v="1121"/>
    <x v="2"/>
    <s v="汽油"/>
    <x v="4"/>
    <s v="小型客车"/>
    <s v="未知"/>
    <s v="乘用车"/>
    <x v="6"/>
    <x v="1"/>
    <n v="1221"/>
  </r>
  <r>
    <n v="1122"/>
    <x v="3"/>
    <s v="汽油"/>
    <x v="4"/>
    <s v="小型客车"/>
    <s v="未知"/>
    <s v="乘用车"/>
    <x v="6"/>
    <x v="1"/>
    <n v="586"/>
  </r>
  <r>
    <n v="1123"/>
    <x v="4"/>
    <s v="汽油"/>
    <x v="4"/>
    <s v="小型客车"/>
    <s v="未知"/>
    <s v="乘用车"/>
    <x v="6"/>
    <x v="1"/>
    <n v="34"/>
  </r>
  <r>
    <n v="1124"/>
    <x v="5"/>
    <s v="汽油"/>
    <x v="4"/>
    <s v="小型客车"/>
    <s v="未知"/>
    <s v="乘用车"/>
    <x v="6"/>
    <x v="1"/>
    <n v="193"/>
  </r>
  <r>
    <n v="1125"/>
    <x v="6"/>
    <s v="汽油"/>
    <x v="4"/>
    <s v="小型客车"/>
    <s v="未知"/>
    <s v="乘用车"/>
    <x v="6"/>
    <x v="1"/>
    <n v="126"/>
  </r>
  <r>
    <n v="1126"/>
    <x v="1"/>
    <s v="汽油-天然气"/>
    <x v="5"/>
    <s v="小型客车"/>
    <s v="未知"/>
    <s v="乘用车"/>
    <x v="6"/>
    <x v="1"/>
    <n v="10"/>
  </r>
  <r>
    <n v="1127"/>
    <x v="2"/>
    <s v="汽油-天然气"/>
    <x v="5"/>
    <s v="小型客车"/>
    <s v="未知"/>
    <s v="乘用车"/>
    <x v="6"/>
    <x v="1"/>
    <n v="5"/>
  </r>
  <r>
    <n v="1128"/>
    <x v="3"/>
    <s v="汽油-天然气"/>
    <x v="5"/>
    <s v="小型客车"/>
    <s v="未知"/>
    <s v="乘用车"/>
    <x v="6"/>
    <x v="1"/>
    <n v="1"/>
  </r>
  <r>
    <n v="1129"/>
    <x v="1"/>
    <s v="汽油"/>
    <x v="4"/>
    <s v="中型客车"/>
    <s v="未知"/>
    <s v="乘用车"/>
    <x v="1"/>
    <x v="0"/>
    <n v="5"/>
  </r>
  <r>
    <n v="1130"/>
    <x v="2"/>
    <s v="汽油"/>
    <x v="4"/>
    <s v="中型客车"/>
    <s v="未知"/>
    <s v="乘用车"/>
    <x v="1"/>
    <x v="0"/>
    <n v="1"/>
  </r>
  <r>
    <n v="1131"/>
    <x v="3"/>
    <s v="汽油"/>
    <x v="4"/>
    <s v="中型客车"/>
    <s v="未知"/>
    <s v="乘用车"/>
    <x v="1"/>
    <x v="0"/>
    <n v="5"/>
  </r>
  <r>
    <n v="1132"/>
    <x v="5"/>
    <s v="汽油"/>
    <x v="4"/>
    <s v="中型客车"/>
    <s v="未知"/>
    <s v="乘用车"/>
    <x v="1"/>
    <x v="0"/>
    <n v="1"/>
  </r>
  <r>
    <n v="1133"/>
    <x v="6"/>
    <s v="汽油"/>
    <x v="4"/>
    <s v="中型客车"/>
    <s v="未知"/>
    <s v="乘用车"/>
    <x v="1"/>
    <x v="0"/>
    <n v="1"/>
  </r>
  <r>
    <n v="1134"/>
    <x v="0"/>
    <s v="纯电动"/>
    <x v="2"/>
    <s v="微型客车"/>
    <s v="营运"/>
    <s v="乘用车"/>
    <x v="3"/>
    <x v="1"/>
    <n v="1"/>
  </r>
  <r>
    <n v="1135"/>
    <x v="6"/>
    <s v="纯电动"/>
    <x v="2"/>
    <s v="微型客车"/>
    <s v="营运"/>
    <s v="乘用车"/>
    <x v="3"/>
    <x v="1"/>
    <n v="1"/>
  </r>
  <r>
    <n v="1136"/>
    <x v="0"/>
    <s v="汽油"/>
    <x v="4"/>
    <s v="微型客车"/>
    <s v="营运"/>
    <s v="乘用车"/>
    <x v="3"/>
    <x v="1"/>
    <n v="1"/>
  </r>
  <r>
    <n v="1137"/>
    <x v="0"/>
    <s v="柴油"/>
    <x v="1"/>
    <s v="小型客车"/>
    <s v="营运"/>
    <s v="乘用车"/>
    <x v="3"/>
    <x v="1"/>
    <n v="583"/>
  </r>
  <r>
    <n v="1138"/>
    <x v="1"/>
    <s v="柴油"/>
    <x v="1"/>
    <s v="小型客车"/>
    <s v="营运"/>
    <s v="乘用车"/>
    <x v="3"/>
    <x v="1"/>
    <n v="1"/>
  </r>
  <r>
    <n v="1139"/>
    <x v="2"/>
    <s v="柴油"/>
    <x v="1"/>
    <s v="小型客车"/>
    <s v="营运"/>
    <s v="乘用车"/>
    <x v="3"/>
    <x v="1"/>
    <n v="1"/>
  </r>
  <r>
    <n v="1140"/>
    <x v="3"/>
    <s v="柴油"/>
    <x v="1"/>
    <s v="小型客车"/>
    <s v="营运"/>
    <s v="乘用车"/>
    <x v="3"/>
    <x v="1"/>
    <n v="1"/>
  </r>
  <r>
    <n v="1141"/>
    <x v="5"/>
    <s v="柴油"/>
    <x v="1"/>
    <s v="小型客车"/>
    <s v="营运"/>
    <s v="乘用车"/>
    <x v="3"/>
    <x v="1"/>
    <n v="2"/>
  </r>
  <r>
    <n v="1142"/>
    <x v="6"/>
    <s v="柴油"/>
    <x v="1"/>
    <s v="小型客车"/>
    <s v="营运"/>
    <s v="乘用车"/>
    <x v="3"/>
    <x v="1"/>
    <n v="1"/>
  </r>
  <r>
    <n v="1143"/>
    <x v="0"/>
    <s v="纯电动"/>
    <x v="2"/>
    <s v="小型客车"/>
    <s v="营运"/>
    <s v="乘用车"/>
    <x v="3"/>
    <x v="1"/>
    <n v="40"/>
  </r>
  <r>
    <n v="1144"/>
    <x v="3"/>
    <s v="纯电动"/>
    <x v="2"/>
    <s v="小型客车"/>
    <s v="营运"/>
    <s v="乘用车"/>
    <x v="3"/>
    <x v="1"/>
    <n v="1"/>
  </r>
  <r>
    <n v="1145"/>
    <x v="5"/>
    <s v="纯电动"/>
    <x v="2"/>
    <s v="小型客车"/>
    <s v="营运"/>
    <s v="乘用车"/>
    <x v="3"/>
    <x v="1"/>
    <n v="281"/>
  </r>
  <r>
    <n v="1146"/>
    <x v="6"/>
    <s v="纯电动"/>
    <x v="2"/>
    <s v="小型客车"/>
    <s v="营运"/>
    <s v="乘用车"/>
    <x v="3"/>
    <x v="1"/>
    <n v="93"/>
  </r>
  <r>
    <n v="1147"/>
    <x v="0"/>
    <s v="混合动力"/>
    <x v="3"/>
    <s v="小型客车"/>
    <s v="营运"/>
    <s v="乘用车"/>
    <x v="3"/>
    <x v="1"/>
    <n v="1"/>
  </r>
  <r>
    <n v="1148"/>
    <x v="0"/>
    <s v="汽油"/>
    <x v="4"/>
    <s v="小型客车"/>
    <s v="营运"/>
    <s v="乘用车"/>
    <x v="3"/>
    <x v="1"/>
    <n v="59004"/>
  </r>
  <r>
    <n v="1149"/>
    <x v="1"/>
    <s v="汽油"/>
    <x v="4"/>
    <s v="小型客车"/>
    <s v="营运"/>
    <s v="乘用车"/>
    <x v="3"/>
    <x v="1"/>
    <n v="396"/>
  </r>
  <r>
    <n v="1150"/>
    <x v="2"/>
    <s v="汽油"/>
    <x v="4"/>
    <s v="小型客车"/>
    <s v="营运"/>
    <s v="乘用车"/>
    <x v="3"/>
    <x v="1"/>
    <n v="45"/>
  </r>
  <r>
    <n v="1151"/>
    <x v="3"/>
    <s v="汽油"/>
    <x v="4"/>
    <s v="小型客车"/>
    <s v="营运"/>
    <s v="乘用车"/>
    <x v="3"/>
    <x v="1"/>
    <n v="75"/>
  </r>
  <r>
    <n v="1152"/>
    <x v="4"/>
    <s v="汽油"/>
    <x v="4"/>
    <s v="小型客车"/>
    <s v="营运"/>
    <s v="乘用车"/>
    <x v="3"/>
    <x v="1"/>
    <n v="29"/>
  </r>
  <r>
    <n v="1153"/>
    <x v="5"/>
    <s v="汽油"/>
    <x v="4"/>
    <s v="小型客车"/>
    <s v="营运"/>
    <s v="乘用车"/>
    <x v="3"/>
    <x v="1"/>
    <n v="35"/>
  </r>
  <r>
    <n v="1154"/>
    <x v="6"/>
    <s v="汽油"/>
    <x v="4"/>
    <s v="小型客车"/>
    <s v="营运"/>
    <s v="乘用车"/>
    <x v="3"/>
    <x v="1"/>
    <n v="169"/>
  </r>
  <r>
    <n v="1155"/>
    <x v="0"/>
    <s v="汽油-天然气"/>
    <x v="5"/>
    <s v="小型客车"/>
    <s v="营运"/>
    <s v="乘用车"/>
    <x v="3"/>
    <x v="1"/>
    <n v="61041"/>
  </r>
  <r>
    <n v="1156"/>
    <x v="5"/>
    <s v="天然气"/>
    <x v="5"/>
    <s v="小型客车"/>
    <s v="营运"/>
    <s v="乘用车"/>
    <x v="3"/>
    <x v="1"/>
    <n v="2"/>
  </r>
  <r>
    <n v="1157"/>
    <x v="6"/>
    <s v="天然气"/>
    <x v="5"/>
    <s v="小型客车"/>
    <s v="营运"/>
    <s v="乘用车"/>
    <x v="3"/>
    <x v="1"/>
    <n v="17"/>
  </r>
  <r>
    <n v="1158"/>
    <x v="0"/>
    <s v="柴油"/>
    <x v="1"/>
    <s v="中型客车"/>
    <s v="营运"/>
    <s v="乘用车"/>
    <x v="1"/>
    <x v="0"/>
    <n v="3"/>
  </r>
  <r>
    <n v="1159"/>
    <x v="1"/>
    <s v="汽油"/>
    <x v="4"/>
    <s v="中型客车"/>
    <s v="营运"/>
    <s v="乘用车"/>
    <x v="1"/>
    <x v="0"/>
    <n v="1"/>
  </r>
  <r>
    <n v="1160"/>
    <x v="5"/>
    <s v="汽油"/>
    <x v="4"/>
    <s v="中型客车"/>
    <s v="营运"/>
    <s v="乘用车"/>
    <x v="1"/>
    <x v="0"/>
    <n v="1"/>
  </r>
  <r>
    <m/>
    <x v="7"/>
    <m/>
    <x v="10"/>
    <m/>
    <m/>
    <m/>
    <x v="7"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数据透视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L38" firstHeaderRow="1" firstDataRow="2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h="1" x="7"/>
        <item t="default"/>
      </items>
    </pivotField>
    <pivotField showAll="0"/>
    <pivotField axis="axisCol" showAll="0">
      <items count="12">
        <item x="2"/>
        <item x="1"/>
        <item x="4"/>
        <item x="3"/>
        <item x="6"/>
        <item x="9"/>
        <item x="5"/>
        <item x="8"/>
        <item x="0"/>
        <item x="7"/>
        <item x="10"/>
        <item t="default"/>
      </items>
    </pivotField>
    <pivotField showAll="0"/>
    <pivotField showAll="0"/>
    <pivotField showAll="0"/>
    <pivotField showAll="0"/>
    <pivotField axis="axisRow" showAll="0">
      <items count="7">
        <item x="3"/>
        <item x="2"/>
        <item x="0"/>
        <item x="1"/>
        <item x="4"/>
        <item x="5"/>
        <item t="default"/>
      </items>
    </pivotField>
    <pivotField dataField="1" showAll="0"/>
  </pivotFields>
  <rowFields count="2">
    <field x="8"/>
    <field x="1"/>
  </rowFields>
  <rowItems count="3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4"/>
    </i>
    <i r="1">
      <x/>
    </i>
    <i r="1">
      <x v="6"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求和项:Sales" fld="9" baseField="0" baseItem="0"/>
  </dataFields>
  <chartFormats count="11">
    <chartFormat chart="0" format="0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1">
          <reference field="3" count="1" selected="0">
            <x v="6"/>
          </reference>
        </references>
      </pivotArea>
    </chartFormat>
    <chartFormat chart="0" format="7" series="1">
      <pivotArea type="data" outline="0" fieldPosition="0">
        <references count="1">
          <reference field="3" count="1" selected="0">
            <x v="7"/>
          </reference>
        </references>
      </pivotArea>
    </chartFormat>
    <chartFormat chart="0" format="8" series="1">
      <pivotArea type="data" outline="0" fieldPosition="0">
        <references count="1">
          <reference field="3" count="1" selected="0">
            <x v="8"/>
          </reference>
        </references>
      </pivotArea>
    </chartFormat>
    <chartFormat chart="0" format="9" series="1">
      <pivotArea type="data" outline="0" fieldPosition="0">
        <references count="1">
          <reference field="3" count="1" selected="0">
            <x v="9"/>
          </reference>
        </references>
      </pivotArea>
    </chartFormat>
    <chartFormat chart="0" format="10" series="1">
      <pivotArea type="data" outline="0" fieldPosition="0">
        <references count="1">
          <reference field="3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97D54-58D9-4469-B1B9-CF4F842A8B72}" name="数据透视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">
  <location ref="A1:L78" firstHeaderRow="1" firstDataRow="2" firstDataCol="1"/>
  <pivotFields count="10"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axis="axisCol" showAll="0">
      <items count="12">
        <item x="2"/>
        <item x="1"/>
        <item x="4"/>
        <item x="3"/>
        <item x="6"/>
        <item x="9"/>
        <item x="5"/>
        <item x="8"/>
        <item x="0"/>
        <item x="7"/>
        <item x="10"/>
        <item t="default"/>
      </items>
    </pivotField>
    <pivotField showAll="0"/>
    <pivotField showAll="0"/>
    <pivotField showAll="0"/>
    <pivotField axis="axisRow" showAll="0">
      <items count="9">
        <item h="1" x="5"/>
        <item x="6"/>
        <item x="3"/>
        <item x="1"/>
        <item x="0"/>
        <item x="2"/>
        <item x="4"/>
        <item h="1" x="7"/>
        <item t="default"/>
      </items>
    </pivotField>
    <pivotField axis="axisRow" showAll="0">
      <items count="7">
        <item x="3"/>
        <item x="2"/>
        <item x="0"/>
        <item x="1"/>
        <item x="4"/>
        <item x="5"/>
        <item t="default"/>
      </items>
    </pivotField>
    <pivotField dataField="1" showAll="0"/>
  </pivotFields>
  <rowFields count="3">
    <field x="8"/>
    <field x="7"/>
    <field x="1"/>
  </rowFields>
  <rowItems count="76">
    <i>
      <x/>
    </i>
    <i r="1">
      <x v="6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1"/>
    </i>
    <i r="1">
      <x v="5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2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3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2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3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1">
      <x v="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>
      <x v="4"/>
    </i>
    <i r="1">
      <x v="1"/>
    </i>
    <i r="2">
      <x v="6"/>
    </i>
    <i r="1">
      <x v="2"/>
    </i>
    <i r="2">
      <x v="6"/>
    </i>
    <i r="1">
      <x v="3"/>
    </i>
    <i r="2">
      <x/>
    </i>
    <i t="grand">
      <x/>
    </i>
  </rowItems>
  <colFields count="1">
    <field x="3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求和项:Sales" fld="9" baseField="0" baseItem="0"/>
  </dataFields>
  <formats count="3">
    <format dxfId="2">
      <pivotArea field="8" type="button" dataOnly="0" labelOnly="1" outline="0" axis="axisRow" fieldPosition="0"/>
    </format>
    <format dxfId="1">
      <pivotArea dataOnly="0" labelOnly="1" fieldPosition="0">
        <references count="1">
          <reference field="3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V1161"/>
  <sheetViews>
    <sheetView tabSelected="1" topLeftCell="A16" workbookViewId="0">
      <selection activeCell="E42" sqref="E42"/>
    </sheetView>
  </sheetViews>
  <sheetFormatPr defaultRowHeight="14.25" x14ac:dyDescent="0.2"/>
  <cols>
    <col min="1" max="1" width="6" bestFit="1" customWidth="1"/>
    <col min="2" max="2" width="5.5" bestFit="1" customWidth="1"/>
    <col min="3" max="3" width="15.125" bestFit="1" customWidth="1"/>
    <col min="4" max="4" width="20.625" bestFit="1" customWidth="1"/>
    <col min="7" max="7" width="7.125" bestFit="1" customWidth="1"/>
    <col min="8" max="8" width="14.125" bestFit="1" customWidth="1"/>
    <col min="9" max="9" width="14.25" bestFit="1" customWidth="1"/>
    <col min="10" max="10" width="9.5" bestFit="1" customWidth="1"/>
    <col min="13" max="13" width="15.125" bestFit="1" customWidth="1"/>
    <col min="14" max="14" width="20.625" bestFit="1" customWidth="1"/>
    <col min="17" max="17" width="10.5" bestFit="1" customWidth="1"/>
    <col min="18" max="18" width="8.5" bestFit="1" customWidth="1"/>
    <col min="19" max="19" width="23.5" bestFit="1" customWidth="1"/>
    <col min="20" max="20" width="11.25" bestFit="1" customWidth="1"/>
    <col min="21" max="21" width="14.25" bestFit="1" customWidth="1"/>
  </cols>
  <sheetData>
    <row r="1" spans="1:22" x14ac:dyDescent="0.2">
      <c r="A1" t="s">
        <v>51</v>
      </c>
      <c r="B1" t="s">
        <v>0</v>
      </c>
      <c r="C1" t="s">
        <v>1</v>
      </c>
      <c r="D1" t="s">
        <v>49</v>
      </c>
      <c r="E1" t="s">
        <v>2</v>
      </c>
      <c r="F1" t="s">
        <v>3</v>
      </c>
      <c r="G1" t="s">
        <v>5</v>
      </c>
      <c r="H1" t="s">
        <v>73</v>
      </c>
      <c r="I1" t="s">
        <v>71</v>
      </c>
      <c r="J1" t="s">
        <v>4</v>
      </c>
      <c r="M1" s="137" t="s">
        <v>57</v>
      </c>
      <c r="N1" s="137"/>
      <c r="P1" s="137" t="s">
        <v>58</v>
      </c>
      <c r="Q1" s="137"/>
      <c r="R1" s="137"/>
      <c r="S1" s="137"/>
      <c r="T1" s="137"/>
      <c r="U1" s="137"/>
    </row>
    <row r="2" spans="1:22" x14ac:dyDescent="0.2">
      <c r="A2">
        <v>1</v>
      </c>
      <c r="B2">
        <v>2015</v>
      </c>
      <c r="C2" t="s">
        <v>6</v>
      </c>
      <c r="D2" t="str">
        <f t="shared" ref="D2:D65" si="0">VLOOKUP(C2,M$3:N$16,2,FALSE)</f>
        <v>plugin hybrid vehicle</v>
      </c>
      <c r="E2" t="s">
        <v>7</v>
      </c>
      <c r="F2" t="s">
        <v>8</v>
      </c>
      <c r="G2" t="s">
        <v>9</v>
      </c>
      <c r="H2" t="str">
        <f>VLOOKUP(E2&amp;F2&amp;G2,$S$3:$U$68,2,FALSE)</f>
        <v>公交车</v>
      </c>
      <c r="I2" t="str">
        <f>VLOOKUP(E2&amp;F2&amp;G2,$S$3:$U$68,3,FALSE)</f>
        <v>Passenger HDV</v>
      </c>
      <c r="J2">
        <v>16295</v>
      </c>
      <c r="M2" s="6" t="s">
        <v>1</v>
      </c>
      <c r="N2" s="6" t="s">
        <v>50</v>
      </c>
      <c r="P2" s="6" t="s">
        <v>2</v>
      </c>
      <c r="Q2" s="6" t="s">
        <v>3</v>
      </c>
      <c r="R2" s="6" t="s">
        <v>5</v>
      </c>
      <c r="S2" s="6" t="s">
        <v>72</v>
      </c>
      <c r="T2" s="6" t="s">
        <v>59</v>
      </c>
      <c r="U2" s="6" t="s">
        <v>60</v>
      </c>
      <c r="V2" s="6" t="s">
        <v>80</v>
      </c>
    </row>
    <row r="3" spans="1:22" x14ac:dyDescent="0.2">
      <c r="A3">
        <v>2</v>
      </c>
      <c r="B3">
        <v>2016</v>
      </c>
      <c r="C3" t="s">
        <v>6</v>
      </c>
      <c r="D3" t="str">
        <f t="shared" si="0"/>
        <v>plugin hybrid vehicle</v>
      </c>
      <c r="E3" t="s">
        <v>7</v>
      </c>
      <c r="F3" t="s">
        <v>8</v>
      </c>
      <c r="G3" t="s">
        <v>9</v>
      </c>
      <c r="H3" t="str">
        <f t="shared" ref="H3:H66" si="1">VLOOKUP(E3&amp;F3&amp;G3,$S$3:$U$68,2,FALSE)</f>
        <v>公交车</v>
      </c>
      <c r="I3" t="str">
        <f t="shared" ref="I3:I66" si="2">VLOOKUP(E3&amp;F3&amp;G3,$S$3:$U$68,3,FALSE)</f>
        <v>Passenger HDV</v>
      </c>
      <c r="J3">
        <v>4474</v>
      </c>
      <c r="M3" s="6" t="s">
        <v>6</v>
      </c>
      <c r="N3" s="136" t="s">
        <v>41</v>
      </c>
      <c r="P3" s="6" t="s">
        <v>18</v>
      </c>
      <c r="Q3" s="6" t="s">
        <v>25</v>
      </c>
      <c r="R3" s="6" t="s">
        <v>33</v>
      </c>
      <c r="S3" s="6" t="str">
        <f t="shared" ref="S3:S34" si="3">P3&amp;Q3&amp;R3</f>
        <v>小型客车非营运乘用车</v>
      </c>
      <c r="T3" s="5" t="s">
        <v>75</v>
      </c>
      <c r="U3" s="6" t="s">
        <v>62</v>
      </c>
      <c r="V3" s="6">
        <f t="shared" ref="V3:V34" si="4">SUMIFS(J:J,E:E,P3,F:F,Q3,G:G,R3)</f>
        <v>150944896</v>
      </c>
    </row>
    <row r="4" spans="1:22" x14ac:dyDescent="0.2">
      <c r="A4">
        <v>3</v>
      </c>
      <c r="B4">
        <v>2017</v>
      </c>
      <c r="C4" t="s">
        <v>6</v>
      </c>
      <c r="D4" t="str">
        <f t="shared" si="0"/>
        <v>plugin hybrid vehicle</v>
      </c>
      <c r="E4" t="s">
        <v>7</v>
      </c>
      <c r="F4" t="s">
        <v>8</v>
      </c>
      <c r="G4" t="s">
        <v>9</v>
      </c>
      <c r="H4" t="str">
        <f t="shared" si="1"/>
        <v>公交车</v>
      </c>
      <c r="I4" t="str">
        <f t="shared" si="2"/>
        <v>Passenger HDV</v>
      </c>
      <c r="J4">
        <v>12043</v>
      </c>
      <c r="M4" s="6" t="s">
        <v>10</v>
      </c>
      <c r="N4" s="136" t="s">
        <v>40</v>
      </c>
      <c r="P4" s="6" t="s">
        <v>23</v>
      </c>
      <c r="Q4" s="6" t="s">
        <v>25</v>
      </c>
      <c r="R4" s="6" t="s">
        <v>9</v>
      </c>
      <c r="S4" s="6" t="str">
        <f t="shared" si="3"/>
        <v>轻型货车非营运商用车</v>
      </c>
      <c r="T4" s="5" t="s">
        <v>23</v>
      </c>
      <c r="U4" s="6" t="s">
        <v>66</v>
      </c>
      <c r="V4" s="6">
        <f t="shared" si="4"/>
        <v>10907801</v>
      </c>
    </row>
    <row r="5" spans="1:22" x14ac:dyDescent="0.2">
      <c r="A5">
        <v>4</v>
      </c>
      <c r="B5">
        <v>2018</v>
      </c>
      <c r="C5" t="s">
        <v>6</v>
      </c>
      <c r="D5" t="str">
        <f t="shared" si="0"/>
        <v>plugin hybrid vehicle</v>
      </c>
      <c r="E5" t="s">
        <v>7</v>
      </c>
      <c r="F5" t="s">
        <v>8</v>
      </c>
      <c r="G5" t="s">
        <v>9</v>
      </c>
      <c r="H5" t="str">
        <f t="shared" si="1"/>
        <v>公交车</v>
      </c>
      <c r="I5" t="str">
        <f t="shared" si="2"/>
        <v>Passenger HDV</v>
      </c>
      <c r="J5">
        <v>5764</v>
      </c>
      <c r="M5" s="6" t="s">
        <v>11</v>
      </c>
      <c r="N5" s="136" t="s">
        <v>37</v>
      </c>
      <c r="P5" s="6" t="s">
        <v>21</v>
      </c>
      <c r="Q5" s="6" t="s">
        <v>31</v>
      </c>
      <c r="R5" s="6" t="s">
        <v>9</v>
      </c>
      <c r="S5" s="6" t="str">
        <f t="shared" si="3"/>
        <v>重型货车营运商用车</v>
      </c>
      <c r="T5" s="5" t="s">
        <v>79</v>
      </c>
      <c r="U5" s="6" t="s">
        <v>70</v>
      </c>
      <c r="V5" s="6">
        <f t="shared" si="4"/>
        <v>6273983</v>
      </c>
    </row>
    <row r="6" spans="1:22" x14ac:dyDescent="0.2">
      <c r="A6">
        <v>5</v>
      </c>
      <c r="B6">
        <v>2019</v>
      </c>
      <c r="C6" t="s">
        <v>6</v>
      </c>
      <c r="D6" t="str">
        <f t="shared" si="0"/>
        <v>plugin hybrid vehicle</v>
      </c>
      <c r="E6" t="s">
        <v>7</v>
      </c>
      <c r="F6" t="s">
        <v>8</v>
      </c>
      <c r="G6" t="s">
        <v>9</v>
      </c>
      <c r="H6" t="str">
        <f t="shared" si="1"/>
        <v>公交车</v>
      </c>
      <c r="I6" t="str">
        <f t="shared" si="2"/>
        <v>Passenger HDV</v>
      </c>
      <c r="J6">
        <v>4294</v>
      </c>
      <c r="M6" s="6" t="s">
        <v>12</v>
      </c>
      <c r="N6" s="136" t="s">
        <v>45</v>
      </c>
      <c r="P6" s="6" t="s">
        <v>23</v>
      </c>
      <c r="Q6" s="6" t="s">
        <v>31</v>
      </c>
      <c r="R6" s="6" t="s">
        <v>9</v>
      </c>
      <c r="S6" s="6" t="str">
        <f t="shared" si="3"/>
        <v>轻型货车营运商用车</v>
      </c>
      <c r="T6" s="5" t="s">
        <v>23</v>
      </c>
      <c r="U6" s="6" t="s">
        <v>66</v>
      </c>
      <c r="V6" s="6">
        <f t="shared" si="4"/>
        <v>3069497</v>
      </c>
    </row>
    <row r="7" spans="1:22" x14ac:dyDescent="0.2">
      <c r="A7">
        <v>6</v>
      </c>
      <c r="B7">
        <v>2020</v>
      </c>
      <c r="C7" t="s">
        <v>6</v>
      </c>
      <c r="D7" t="str">
        <f t="shared" si="0"/>
        <v>plugin hybrid vehicle</v>
      </c>
      <c r="E7" t="s">
        <v>7</v>
      </c>
      <c r="F7" t="s">
        <v>8</v>
      </c>
      <c r="G7" t="s">
        <v>9</v>
      </c>
      <c r="H7" t="str">
        <f t="shared" si="1"/>
        <v>公交车</v>
      </c>
      <c r="I7" t="str">
        <f t="shared" si="2"/>
        <v>Passenger HDV</v>
      </c>
      <c r="J7">
        <v>5040</v>
      </c>
      <c r="M7" s="6" t="s">
        <v>13</v>
      </c>
      <c r="N7" s="136" t="s">
        <v>39</v>
      </c>
      <c r="P7" s="6" t="s">
        <v>18</v>
      </c>
      <c r="Q7" s="6" t="s">
        <v>22</v>
      </c>
      <c r="R7" s="6" t="s">
        <v>33</v>
      </c>
      <c r="S7" s="6" t="str">
        <f t="shared" si="3"/>
        <v>小型客车出租租赁乘用车</v>
      </c>
      <c r="T7" s="5" t="s">
        <v>76</v>
      </c>
      <c r="U7" s="6" t="s">
        <v>62</v>
      </c>
      <c r="V7" s="6">
        <f t="shared" si="4"/>
        <v>2976234</v>
      </c>
    </row>
    <row r="8" spans="1:22" x14ac:dyDescent="0.2">
      <c r="A8">
        <v>7</v>
      </c>
      <c r="B8">
        <v>2021</v>
      </c>
      <c r="C8" t="s">
        <v>6</v>
      </c>
      <c r="D8" t="str">
        <f t="shared" si="0"/>
        <v>plugin hybrid vehicle</v>
      </c>
      <c r="E8" t="s">
        <v>7</v>
      </c>
      <c r="F8" t="s">
        <v>8</v>
      </c>
      <c r="G8" t="s">
        <v>9</v>
      </c>
      <c r="H8" t="str">
        <f t="shared" si="1"/>
        <v>公交车</v>
      </c>
      <c r="I8" t="str">
        <f t="shared" si="2"/>
        <v>Passenger HDV</v>
      </c>
      <c r="J8">
        <v>1224</v>
      </c>
      <c r="M8" s="6" t="s">
        <v>14</v>
      </c>
      <c r="N8" s="136" t="s">
        <v>38</v>
      </c>
      <c r="P8" s="7" t="s">
        <v>17</v>
      </c>
      <c r="Q8" s="7" t="s">
        <v>25</v>
      </c>
      <c r="R8" s="7" t="s">
        <v>9</v>
      </c>
      <c r="S8" s="7" t="str">
        <f t="shared" si="3"/>
        <v>未知非营运商用车</v>
      </c>
      <c r="T8" s="7" t="s">
        <v>68</v>
      </c>
      <c r="U8" s="7" t="s">
        <v>68</v>
      </c>
      <c r="V8" s="7">
        <f t="shared" si="4"/>
        <v>2193211</v>
      </c>
    </row>
    <row r="9" spans="1:22" x14ac:dyDescent="0.2">
      <c r="A9">
        <v>8</v>
      </c>
      <c r="B9">
        <v>2015</v>
      </c>
      <c r="C9" t="s">
        <v>10</v>
      </c>
      <c r="D9" t="str">
        <f t="shared" si="0"/>
        <v>diesel vehicle</v>
      </c>
      <c r="E9" t="s">
        <v>7</v>
      </c>
      <c r="F9" t="s">
        <v>8</v>
      </c>
      <c r="G9" t="s">
        <v>9</v>
      </c>
      <c r="H9" t="str">
        <f t="shared" si="1"/>
        <v>公交车</v>
      </c>
      <c r="I9" t="str">
        <f t="shared" si="2"/>
        <v>Passenger HDV</v>
      </c>
      <c r="J9">
        <v>21733</v>
      </c>
      <c r="M9" s="6" t="s">
        <v>15</v>
      </c>
      <c r="N9" s="136" t="s">
        <v>46</v>
      </c>
      <c r="P9" s="6" t="s">
        <v>28</v>
      </c>
      <c r="Q9" s="6" t="s">
        <v>25</v>
      </c>
      <c r="R9" s="6" t="s">
        <v>33</v>
      </c>
      <c r="S9" s="6" t="str">
        <f t="shared" si="3"/>
        <v>微型客车非营运乘用车</v>
      </c>
      <c r="T9" s="5" t="s">
        <v>75</v>
      </c>
      <c r="U9" s="6" t="s">
        <v>62</v>
      </c>
      <c r="V9" s="6">
        <f t="shared" si="4"/>
        <v>1396360</v>
      </c>
    </row>
    <row r="10" spans="1:22" x14ac:dyDescent="0.2">
      <c r="A10">
        <v>9</v>
      </c>
      <c r="B10">
        <v>2016</v>
      </c>
      <c r="C10" t="s">
        <v>10</v>
      </c>
      <c r="D10" t="str">
        <f t="shared" si="0"/>
        <v>diesel vehicle</v>
      </c>
      <c r="E10" t="s">
        <v>7</v>
      </c>
      <c r="F10" t="s">
        <v>8</v>
      </c>
      <c r="G10" t="s">
        <v>9</v>
      </c>
      <c r="H10" t="str">
        <f t="shared" si="1"/>
        <v>公交车</v>
      </c>
      <c r="I10" t="str">
        <f t="shared" si="2"/>
        <v>Passenger HDV</v>
      </c>
      <c r="J10">
        <v>7308</v>
      </c>
      <c r="M10" s="6" t="s">
        <v>16</v>
      </c>
      <c r="N10" s="136" t="s">
        <v>38</v>
      </c>
      <c r="P10" s="7" t="s">
        <v>18</v>
      </c>
      <c r="Q10" s="7" t="s">
        <v>25</v>
      </c>
      <c r="R10" s="7" t="s">
        <v>9</v>
      </c>
      <c r="S10" s="7" t="str">
        <f t="shared" si="3"/>
        <v>小型客车非营运商用车</v>
      </c>
      <c r="T10" s="8" t="s">
        <v>75</v>
      </c>
      <c r="U10" s="7" t="s">
        <v>62</v>
      </c>
      <c r="V10" s="7">
        <f t="shared" si="4"/>
        <v>1152779</v>
      </c>
    </row>
    <row r="11" spans="1:22" x14ac:dyDescent="0.2">
      <c r="A11">
        <v>10</v>
      </c>
      <c r="B11">
        <v>2017</v>
      </c>
      <c r="C11" t="s">
        <v>10</v>
      </c>
      <c r="D11" t="str">
        <f t="shared" si="0"/>
        <v>diesel vehicle</v>
      </c>
      <c r="E11" t="s">
        <v>7</v>
      </c>
      <c r="F11" t="s">
        <v>8</v>
      </c>
      <c r="G11" t="s">
        <v>9</v>
      </c>
      <c r="H11" t="str">
        <f t="shared" si="1"/>
        <v>公交车</v>
      </c>
      <c r="I11" t="str">
        <f t="shared" si="2"/>
        <v>Passenger HDV</v>
      </c>
      <c r="J11">
        <v>4681</v>
      </c>
      <c r="M11" s="6" t="s">
        <v>24</v>
      </c>
      <c r="N11" s="136" t="s">
        <v>56</v>
      </c>
      <c r="P11" s="6" t="s">
        <v>21</v>
      </c>
      <c r="Q11" s="6" t="s">
        <v>17</v>
      </c>
      <c r="R11" s="6" t="s">
        <v>9</v>
      </c>
      <c r="S11" s="6" t="str">
        <f t="shared" si="3"/>
        <v>重型货车未知商用车</v>
      </c>
      <c r="T11" s="5" t="s">
        <v>79</v>
      </c>
      <c r="U11" s="6" t="s">
        <v>70</v>
      </c>
      <c r="V11" s="6">
        <f t="shared" si="4"/>
        <v>683717</v>
      </c>
    </row>
    <row r="12" spans="1:22" x14ac:dyDescent="0.2">
      <c r="A12">
        <v>11</v>
      </c>
      <c r="B12">
        <v>2018</v>
      </c>
      <c r="C12" t="s">
        <v>10</v>
      </c>
      <c r="D12" t="str">
        <f t="shared" si="0"/>
        <v>diesel vehicle</v>
      </c>
      <c r="E12" t="s">
        <v>7</v>
      </c>
      <c r="F12" t="s">
        <v>8</v>
      </c>
      <c r="G12" t="s">
        <v>9</v>
      </c>
      <c r="H12" t="str">
        <f t="shared" si="1"/>
        <v>公交车</v>
      </c>
      <c r="I12" t="str">
        <f t="shared" si="2"/>
        <v>Passenger HDV</v>
      </c>
      <c r="J12">
        <v>2329</v>
      </c>
      <c r="M12" s="6" t="s">
        <v>26</v>
      </c>
      <c r="N12" s="136" t="s">
        <v>48</v>
      </c>
      <c r="P12" s="6" t="s">
        <v>7</v>
      </c>
      <c r="Q12" s="6" t="s">
        <v>8</v>
      </c>
      <c r="R12" s="6" t="s">
        <v>9</v>
      </c>
      <c r="S12" s="6" t="str">
        <f t="shared" si="3"/>
        <v>大型客车城市公交商用车</v>
      </c>
      <c r="T12" s="5" t="s">
        <v>77</v>
      </c>
      <c r="U12" s="6" t="s">
        <v>64</v>
      </c>
      <c r="V12" s="6">
        <f t="shared" si="4"/>
        <v>551293</v>
      </c>
    </row>
    <row r="13" spans="1:22" x14ac:dyDescent="0.2">
      <c r="A13">
        <v>12</v>
      </c>
      <c r="B13">
        <v>2019</v>
      </c>
      <c r="C13" t="s">
        <v>10</v>
      </c>
      <c r="D13" t="str">
        <f t="shared" si="0"/>
        <v>diesel vehicle</v>
      </c>
      <c r="E13" t="s">
        <v>7</v>
      </c>
      <c r="F13" t="s">
        <v>8</v>
      </c>
      <c r="G13" t="s">
        <v>9</v>
      </c>
      <c r="H13" t="str">
        <f t="shared" si="1"/>
        <v>公交车</v>
      </c>
      <c r="I13" t="str">
        <f t="shared" si="2"/>
        <v>Passenger HDV</v>
      </c>
      <c r="J13">
        <v>1012</v>
      </c>
      <c r="M13" s="6" t="s">
        <v>29</v>
      </c>
      <c r="N13" s="136" t="s">
        <v>38</v>
      </c>
      <c r="P13" s="6" t="s">
        <v>21</v>
      </c>
      <c r="Q13" s="6" t="s">
        <v>25</v>
      </c>
      <c r="R13" s="6" t="s">
        <v>9</v>
      </c>
      <c r="S13" s="6" t="str">
        <f t="shared" si="3"/>
        <v>重型货车非营运商用车</v>
      </c>
      <c r="T13" s="5" t="s">
        <v>79</v>
      </c>
      <c r="U13" s="6" t="s">
        <v>70</v>
      </c>
      <c r="V13" s="6">
        <f t="shared" si="4"/>
        <v>500202</v>
      </c>
    </row>
    <row r="14" spans="1:22" x14ac:dyDescent="0.2">
      <c r="A14">
        <v>13</v>
      </c>
      <c r="B14">
        <v>2020</v>
      </c>
      <c r="C14" t="s">
        <v>10</v>
      </c>
      <c r="D14" t="str">
        <f t="shared" si="0"/>
        <v>diesel vehicle</v>
      </c>
      <c r="E14" t="s">
        <v>7</v>
      </c>
      <c r="F14" t="s">
        <v>8</v>
      </c>
      <c r="G14" t="s">
        <v>9</v>
      </c>
      <c r="H14" t="str">
        <f t="shared" si="1"/>
        <v>公交车</v>
      </c>
      <c r="I14" t="str">
        <f t="shared" si="2"/>
        <v>Passenger HDV</v>
      </c>
      <c r="J14">
        <v>662</v>
      </c>
      <c r="M14" s="6" t="s">
        <v>32</v>
      </c>
      <c r="N14" s="136" t="s">
        <v>45</v>
      </c>
      <c r="P14" s="6" t="s">
        <v>19</v>
      </c>
      <c r="Q14" s="6" t="s">
        <v>31</v>
      </c>
      <c r="R14" s="6" t="s">
        <v>9</v>
      </c>
      <c r="S14" s="6" t="str">
        <f t="shared" si="3"/>
        <v>中型货车营运商用车</v>
      </c>
      <c r="T14" s="5" t="s">
        <v>79</v>
      </c>
      <c r="U14" s="6" t="s">
        <v>70</v>
      </c>
      <c r="V14" s="6">
        <f t="shared" si="4"/>
        <v>285237</v>
      </c>
    </row>
    <row r="15" spans="1:22" x14ac:dyDescent="0.2">
      <c r="A15">
        <v>14</v>
      </c>
      <c r="B15">
        <v>2021</v>
      </c>
      <c r="C15" t="s">
        <v>10</v>
      </c>
      <c r="D15" t="str">
        <f t="shared" si="0"/>
        <v>diesel vehicle</v>
      </c>
      <c r="E15" t="s">
        <v>7</v>
      </c>
      <c r="F15" t="s">
        <v>8</v>
      </c>
      <c r="G15" t="s">
        <v>9</v>
      </c>
      <c r="H15" t="str">
        <f t="shared" si="1"/>
        <v>公交车</v>
      </c>
      <c r="I15" t="str">
        <f t="shared" si="2"/>
        <v>Passenger HDV</v>
      </c>
      <c r="J15">
        <v>377</v>
      </c>
      <c r="M15" s="6" t="s">
        <v>35</v>
      </c>
      <c r="N15" s="136" t="s">
        <v>42</v>
      </c>
      <c r="P15" s="6" t="s">
        <v>23</v>
      </c>
      <c r="Q15" s="6" t="s">
        <v>17</v>
      </c>
      <c r="R15" s="6" t="s">
        <v>9</v>
      </c>
      <c r="S15" s="6" t="str">
        <f t="shared" si="3"/>
        <v>轻型货车未知商用车</v>
      </c>
      <c r="T15" s="5" t="s">
        <v>23</v>
      </c>
      <c r="U15" s="6" t="s">
        <v>66</v>
      </c>
      <c r="V15" s="6">
        <f t="shared" si="4"/>
        <v>261526</v>
      </c>
    </row>
    <row r="16" spans="1:22" x14ac:dyDescent="0.2">
      <c r="A16">
        <v>15</v>
      </c>
      <c r="B16">
        <v>2015</v>
      </c>
      <c r="C16" t="s">
        <v>11</v>
      </c>
      <c r="D16" t="str">
        <f t="shared" si="0"/>
        <v>battery electric vehicle</v>
      </c>
      <c r="E16" t="s">
        <v>7</v>
      </c>
      <c r="F16" t="s">
        <v>8</v>
      </c>
      <c r="G16" t="s">
        <v>9</v>
      </c>
      <c r="H16" t="str">
        <f t="shared" si="1"/>
        <v>公交车</v>
      </c>
      <c r="I16" t="str">
        <f t="shared" si="2"/>
        <v>Passenger HDV</v>
      </c>
      <c r="J16">
        <v>44539</v>
      </c>
      <c r="M16" s="6" t="s">
        <v>36</v>
      </c>
      <c r="N16" s="136" t="s">
        <v>45</v>
      </c>
      <c r="P16" s="6" t="s">
        <v>7</v>
      </c>
      <c r="Q16" s="6" t="s">
        <v>25</v>
      </c>
      <c r="R16" s="6" t="s">
        <v>9</v>
      </c>
      <c r="S16" s="6" t="str">
        <f t="shared" si="3"/>
        <v>大型客车非营运商用车</v>
      </c>
      <c r="T16" s="5" t="s">
        <v>78</v>
      </c>
      <c r="U16" s="6" t="s">
        <v>64</v>
      </c>
      <c r="V16" s="6">
        <f t="shared" si="4"/>
        <v>232628</v>
      </c>
    </row>
    <row r="17" spans="1:22" x14ac:dyDescent="0.2">
      <c r="A17">
        <v>16</v>
      </c>
      <c r="B17">
        <v>2016</v>
      </c>
      <c r="C17" t="s">
        <v>11</v>
      </c>
      <c r="D17" t="str">
        <f t="shared" si="0"/>
        <v>battery electric vehicle</v>
      </c>
      <c r="E17" t="s">
        <v>7</v>
      </c>
      <c r="F17" t="s">
        <v>8</v>
      </c>
      <c r="G17" t="s">
        <v>9</v>
      </c>
      <c r="H17" t="str">
        <f t="shared" si="1"/>
        <v>公交车</v>
      </c>
      <c r="I17" t="str">
        <f t="shared" si="2"/>
        <v>Passenger HDV</v>
      </c>
      <c r="J17">
        <v>60979</v>
      </c>
      <c r="P17" s="6" t="s">
        <v>7</v>
      </c>
      <c r="Q17" s="6" t="s">
        <v>30</v>
      </c>
      <c r="R17" s="6" t="s">
        <v>9</v>
      </c>
      <c r="S17" s="6" t="str">
        <f t="shared" si="3"/>
        <v>大型客车公路客运商用车</v>
      </c>
      <c r="T17" s="5" t="s">
        <v>78</v>
      </c>
      <c r="U17" s="6" t="s">
        <v>64</v>
      </c>
      <c r="V17" s="6">
        <f t="shared" si="4"/>
        <v>201564</v>
      </c>
    </row>
    <row r="18" spans="1:22" x14ac:dyDescent="0.2">
      <c r="A18">
        <v>17</v>
      </c>
      <c r="B18">
        <v>2017</v>
      </c>
      <c r="C18" t="s">
        <v>11</v>
      </c>
      <c r="D18" t="str">
        <f t="shared" si="0"/>
        <v>battery electric vehicle</v>
      </c>
      <c r="E18" t="s">
        <v>7</v>
      </c>
      <c r="F18" t="s">
        <v>8</v>
      </c>
      <c r="G18" t="s">
        <v>9</v>
      </c>
      <c r="H18" t="str">
        <f t="shared" si="1"/>
        <v>公交车</v>
      </c>
      <c r="I18" t="str">
        <f t="shared" si="2"/>
        <v>Passenger HDV</v>
      </c>
      <c r="J18">
        <v>56938</v>
      </c>
      <c r="P18" s="6" t="s">
        <v>34</v>
      </c>
      <c r="Q18" s="6" t="s">
        <v>25</v>
      </c>
      <c r="R18" s="6" t="s">
        <v>33</v>
      </c>
      <c r="S18" s="6" t="str">
        <f t="shared" si="3"/>
        <v>NULL非营运乘用车</v>
      </c>
      <c r="T18" s="5" t="s">
        <v>75</v>
      </c>
      <c r="U18" s="6" t="s">
        <v>68</v>
      </c>
      <c r="V18" s="6">
        <f t="shared" si="4"/>
        <v>198660</v>
      </c>
    </row>
    <row r="19" spans="1:22" x14ac:dyDescent="0.2">
      <c r="A19">
        <v>18</v>
      </c>
      <c r="B19">
        <v>2018</v>
      </c>
      <c r="C19" t="s">
        <v>11</v>
      </c>
      <c r="D19" t="str">
        <f t="shared" si="0"/>
        <v>battery electric vehicle</v>
      </c>
      <c r="E19" t="s">
        <v>7</v>
      </c>
      <c r="F19" t="s">
        <v>8</v>
      </c>
      <c r="G19" t="s">
        <v>9</v>
      </c>
      <c r="H19" t="str">
        <f t="shared" si="1"/>
        <v>公交车</v>
      </c>
      <c r="I19" t="str">
        <f t="shared" si="2"/>
        <v>Passenger HDV</v>
      </c>
      <c r="J19">
        <v>79727</v>
      </c>
      <c r="P19" s="6" t="s">
        <v>19</v>
      </c>
      <c r="Q19" s="6" t="s">
        <v>25</v>
      </c>
      <c r="R19" s="6" t="s">
        <v>9</v>
      </c>
      <c r="S19" s="6" t="str">
        <f t="shared" si="3"/>
        <v>中型货车非营运商用车</v>
      </c>
      <c r="T19" s="5" t="s">
        <v>79</v>
      </c>
      <c r="U19" s="6" t="s">
        <v>70</v>
      </c>
      <c r="V19" s="6">
        <f t="shared" si="4"/>
        <v>193197</v>
      </c>
    </row>
    <row r="20" spans="1:22" x14ac:dyDescent="0.2">
      <c r="A20">
        <v>19</v>
      </c>
      <c r="B20">
        <v>2019</v>
      </c>
      <c r="C20" t="s">
        <v>11</v>
      </c>
      <c r="D20" t="str">
        <f t="shared" si="0"/>
        <v>battery electric vehicle</v>
      </c>
      <c r="E20" t="s">
        <v>7</v>
      </c>
      <c r="F20" t="s">
        <v>8</v>
      </c>
      <c r="G20" t="s">
        <v>9</v>
      </c>
      <c r="H20" t="str">
        <f t="shared" si="1"/>
        <v>公交车</v>
      </c>
      <c r="I20" t="str">
        <f t="shared" si="2"/>
        <v>Passenger HDV</v>
      </c>
      <c r="J20">
        <v>67030</v>
      </c>
      <c r="P20" s="7" t="s">
        <v>17</v>
      </c>
      <c r="Q20" s="7" t="s">
        <v>31</v>
      </c>
      <c r="R20" s="7" t="s">
        <v>9</v>
      </c>
      <c r="S20" s="7" t="str">
        <f t="shared" si="3"/>
        <v>未知营运商用车</v>
      </c>
      <c r="T20" s="7" t="s">
        <v>68</v>
      </c>
      <c r="U20" s="7" t="s">
        <v>68</v>
      </c>
      <c r="V20" s="7">
        <f t="shared" si="4"/>
        <v>191372</v>
      </c>
    </row>
    <row r="21" spans="1:22" x14ac:dyDescent="0.2">
      <c r="A21">
        <v>20</v>
      </c>
      <c r="B21">
        <v>2020</v>
      </c>
      <c r="C21" t="s">
        <v>11</v>
      </c>
      <c r="D21" t="str">
        <f t="shared" si="0"/>
        <v>battery electric vehicle</v>
      </c>
      <c r="E21" t="s">
        <v>7</v>
      </c>
      <c r="F21" t="s">
        <v>8</v>
      </c>
      <c r="G21" t="s">
        <v>9</v>
      </c>
      <c r="H21" t="str">
        <f t="shared" si="1"/>
        <v>公交车</v>
      </c>
      <c r="I21" t="str">
        <f t="shared" si="2"/>
        <v>Passenger HDV</v>
      </c>
      <c r="J21">
        <v>51600</v>
      </c>
      <c r="P21" s="6" t="s">
        <v>20</v>
      </c>
      <c r="Q21" s="6" t="s">
        <v>25</v>
      </c>
      <c r="R21" s="6" t="s">
        <v>9</v>
      </c>
      <c r="S21" s="6" t="str">
        <f t="shared" si="3"/>
        <v>中型客车非营运商用车</v>
      </c>
      <c r="T21" s="5" t="s">
        <v>78</v>
      </c>
      <c r="U21" s="6" t="s">
        <v>64</v>
      </c>
      <c r="V21" s="6">
        <f t="shared" si="4"/>
        <v>161822</v>
      </c>
    </row>
    <row r="22" spans="1:22" x14ac:dyDescent="0.2">
      <c r="A22">
        <v>21</v>
      </c>
      <c r="B22">
        <v>2021</v>
      </c>
      <c r="C22" t="s">
        <v>11</v>
      </c>
      <c r="D22" t="str">
        <f t="shared" si="0"/>
        <v>battery electric vehicle</v>
      </c>
      <c r="E22" t="s">
        <v>7</v>
      </c>
      <c r="F22" t="s">
        <v>8</v>
      </c>
      <c r="G22" t="s">
        <v>9</v>
      </c>
      <c r="H22" t="str">
        <f t="shared" si="1"/>
        <v>公交车</v>
      </c>
      <c r="I22" t="str">
        <f t="shared" si="2"/>
        <v>Passenger HDV</v>
      </c>
      <c r="J22">
        <v>39634</v>
      </c>
      <c r="P22" s="6" t="s">
        <v>19</v>
      </c>
      <c r="Q22" s="6" t="s">
        <v>17</v>
      </c>
      <c r="R22" s="6" t="s">
        <v>9</v>
      </c>
      <c r="S22" s="6" t="str">
        <f t="shared" si="3"/>
        <v>中型货车未知商用车</v>
      </c>
      <c r="T22" s="5" t="s">
        <v>79</v>
      </c>
      <c r="U22" s="6" t="s">
        <v>70</v>
      </c>
      <c r="V22" s="6">
        <f t="shared" si="4"/>
        <v>159848</v>
      </c>
    </row>
    <row r="23" spans="1:22" x14ac:dyDescent="0.2">
      <c r="A23">
        <v>22</v>
      </c>
      <c r="B23">
        <v>2015</v>
      </c>
      <c r="C23" t="s">
        <v>12</v>
      </c>
      <c r="D23" t="str">
        <f t="shared" si="0"/>
        <v>hybrid fuel vehicle</v>
      </c>
      <c r="E23" t="s">
        <v>7</v>
      </c>
      <c r="F23" t="s">
        <v>8</v>
      </c>
      <c r="G23" t="s">
        <v>9</v>
      </c>
      <c r="H23" t="str">
        <f t="shared" si="1"/>
        <v>公交车</v>
      </c>
      <c r="I23" t="str">
        <f t="shared" si="2"/>
        <v>Passenger HDV</v>
      </c>
      <c r="J23">
        <v>7940</v>
      </c>
      <c r="P23" s="6" t="s">
        <v>18</v>
      </c>
      <c r="Q23" s="6" t="s">
        <v>31</v>
      </c>
      <c r="R23" s="6" t="s">
        <v>9</v>
      </c>
      <c r="S23" s="6" t="str">
        <f t="shared" si="3"/>
        <v>小型客车营运商用车</v>
      </c>
      <c r="T23" s="5" t="s">
        <v>76</v>
      </c>
      <c r="U23" s="6" t="s">
        <v>62</v>
      </c>
      <c r="V23" s="6">
        <f t="shared" si="4"/>
        <v>144693</v>
      </c>
    </row>
    <row r="24" spans="1:22" x14ac:dyDescent="0.2">
      <c r="A24">
        <v>23</v>
      </c>
      <c r="B24">
        <v>2016</v>
      </c>
      <c r="C24" t="s">
        <v>12</v>
      </c>
      <c r="D24" t="str">
        <f t="shared" si="0"/>
        <v>hybrid fuel vehicle</v>
      </c>
      <c r="E24" t="s">
        <v>7</v>
      </c>
      <c r="F24" t="s">
        <v>8</v>
      </c>
      <c r="G24" t="s">
        <v>9</v>
      </c>
      <c r="H24" t="str">
        <f t="shared" si="1"/>
        <v>公交车</v>
      </c>
      <c r="I24" t="str">
        <f t="shared" si="2"/>
        <v>Passenger HDV</v>
      </c>
      <c r="J24">
        <v>12742</v>
      </c>
      <c r="P24" s="6" t="s">
        <v>18</v>
      </c>
      <c r="Q24" s="6" t="s">
        <v>31</v>
      </c>
      <c r="R24" s="6" t="s">
        <v>33</v>
      </c>
      <c r="S24" s="6" t="str">
        <f t="shared" si="3"/>
        <v>小型客车营运乘用车</v>
      </c>
      <c r="T24" s="5" t="s">
        <v>76</v>
      </c>
      <c r="U24" s="6" t="s">
        <v>62</v>
      </c>
      <c r="V24" s="6">
        <f t="shared" si="4"/>
        <v>121818</v>
      </c>
    </row>
    <row r="25" spans="1:22" x14ac:dyDescent="0.2">
      <c r="A25">
        <v>24</v>
      </c>
      <c r="B25">
        <v>2017</v>
      </c>
      <c r="C25" t="s">
        <v>12</v>
      </c>
      <c r="D25" t="str">
        <f t="shared" si="0"/>
        <v>hybrid fuel vehicle</v>
      </c>
      <c r="E25" t="s">
        <v>7</v>
      </c>
      <c r="F25" t="s">
        <v>8</v>
      </c>
      <c r="G25" t="s">
        <v>9</v>
      </c>
      <c r="H25" t="str">
        <f t="shared" si="1"/>
        <v>公交车</v>
      </c>
      <c r="I25" t="str">
        <f t="shared" si="2"/>
        <v>Passenger HDV</v>
      </c>
      <c r="J25">
        <v>2171</v>
      </c>
      <c r="P25" s="6" t="s">
        <v>18</v>
      </c>
      <c r="Q25" s="6" t="s">
        <v>30</v>
      </c>
      <c r="R25" s="6" t="s">
        <v>33</v>
      </c>
      <c r="S25" s="6" t="str">
        <f t="shared" si="3"/>
        <v>小型客车公路客运乘用车</v>
      </c>
      <c r="T25" s="5" t="s">
        <v>78</v>
      </c>
      <c r="U25" s="6" t="s">
        <v>62</v>
      </c>
      <c r="V25" s="6">
        <f t="shared" si="4"/>
        <v>93633</v>
      </c>
    </row>
    <row r="26" spans="1:22" x14ac:dyDescent="0.2">
      <c r="A26">
        <v>25</v>
      </c>
      <c r="B26">
        <v>2018</v>
      </c>
      <c r="C26" t="s">
        <v>12</v>
      </c>
      <c r="D26" t="str">
        <f t="shared" si="0"/>
        <v>hybrid fuel vehicle</v>
      </c>
      <c r="E26" t="s">
        <v>7</v>
      </c>
      <c r="F26" t="s">
        <v>8</v>
      </c>
      <c r="G26" t="s">
        <v>9</v>
      </c>
      <c r="H26" t="str">
        <f t="shared" si="1"/>
        <v>公交车</v>
      </c>
      <c r="I26" t="str">
        <f t="shared" si="2"/>
        <v>Passenger HDV</v>
      </c>
      <c r="J26">
        <v>228</v>
      </c>
      <c r="P26" s="6" t="s">
        <v>18</v>
      </c>
      <c r="Q26" s="6" t="s">
        <v>17</v>
      </c>
      <c r="R26" s="6" t="s">
        <v>9</v>
      </c>
      <c r="S26" s="6" t="str">
        <f t="shared" si="3"/>
        <v>小型客车未知商用车</v>
      </c>
      <c r="T26" s="5" t="s">
        <v>76</v>
      </c>
      <c r="U26" s="6" t="s">
        <v>62</v>
      </c>
      <c r="V26" s="6">
        <f t="shared" si="4"/>
        <v>81321</v>
      </c>
    </row>
    <row r="27" spans="1:22" x14ac:dyDescent="0.2">
      <c r="A27">
        <v>26</v>
      </c>
      <c r="B27">
        <v>2019</v>
      </c>
      <c r="C27" t="s">
        <v>12</v>
      </c>
      <c r="D27" t="str">
        <f t="shared" si="0"/>
        <v>hybrid fuel vehicle</v>
      </c>
      <c r="E27" t="s">
        <v>7</v>
      </c>
      <c r="F27" t="s">
        <v>8</v>
      </c>
      <c r="G27" t="s">
        <v>9</v>
      </c>
      <c r="H27" t="str">
        <f t="shared" si="1"/>
        <v>公交车</v>
      </c>
      <c r="I27" t="str">
        <f t="shared" si="2"/>
        <v>Passenger HDV</v>
      </c>
      <c r="J27">
        <v>3</v>
      </c>
      <c r="P27" s="6" t="s">
        <v>20</v>
      </c>
      <c r="Q27" s="6" t="s">
        <v>30</v>
      </c>
      <c r="R27" s="6" t="s">
        <v>9</v>
      </c>
      <c r="S27" s="6" t="str">
        <f t="shared" si="3"/>
        <v>中型客车公路客运商用车</v>
      </c>
      <c r="T27" s="5" t="s">
        <v>78</v>
      </c>
      <c r="U27" s="6" t="s">
        <v>64</v>
      </c>
      <c r="V27" s="6">
        <f t="shared" si="4"/>
        <v>69510</v>
      </c>
    </row>
    <row r="28" spans="1:22" x14ac:dyDescent="0.2">
      <c r="A28">
        <v>27</v>
      </c>
      <c r="B28">
        <v>2021</v>
      </c>
      <c r="C28" t="s">
        <v>12</v>
      </c>
      <c r="D28" t="str">
        <f t="shared" si="0"/>
        <v>hybrid fuel vehicle</v>
      </c>
      <c r="E28" t="s">
        <v>7</v>
      </c>
      <c r="F28" t="s">
        <v>8</v>
      </c>
      <c r="G28" t="s">
        <v>9</v>
      </c>
      <c r="H28" t="str">
        <f t="shared" si="1"/>
        <v>公交车</v>
      </c>
      <c r="I28" t="str">
        <f t="shared" si="2"/>
        <v>Passenger HDV</v>
      </c>
      <c r="J28">
        <v>2</v>
      </c>
      <c r="P28" s="6" t="s">
        <v>20</v>
      </c>
      <c r="Q28" s="6" t="s">
        <v>8</v>
      </c>
      <c r="R28" s="6" t="s">
        <v>9</v>
      </c>
      <c r="S28" s="6" t="str">
        <f t="shared" si="3"/>
        <v>中型客车城市公交商用车</v>
      </c>
      <c r="T28" s="5" t="s">
        <v>77</v>
      </c>
      <c r="U28" s="6" t="s">
        <v>64</v>
      </c>
      <c r="V28" s="6">
        <f t="shared" si="4"/>
        <v>30427</v>
      </c>
    </row>
    <row r="29" spans="1:22" x14ac:dyDescent="0.2">
      <c r="A29">
        <v>28</v>
      </c>
      <c r="B29">
        <v>2015</v>
      </c>
      <c r="C29" t="s">
        <v>13</v>
      </c>
      <c r="D29" t="str">
        <f t="shared" si="0"/>
        <v>gasoline vehicle</v>
      </c>
      <c r="E29" t="s">
        <v>7</v>
      </c>
      <c r="F29" t="s">
        <v>8</v>
      </c>
      <c r="G29" t="s">
        <v>9</v>
      </c>
      <c r="H29" t="str">
        <f t="shared" si="1"/>
        <v>公交车</v>
      </c>
      <c r="I29" t="str">
        <f t="shared" si="2"/>
        <v>Passenger HDV</v>
      </c>
      <c r="J29">
        <v>3</v>
      </c>
      <c r="P29" s="6" t="s">
        <v>28</v>
      </c>
      <c r="Q29" s="6" t="s">
        <v>22</v>
      </c>
      <c r="R29" s="6" t="s">
        <v>33</v>
      </c>
      <c r="S29" s="6" t="str">
        <f t="shared" si="3"/>
        <v>微型客车出租租赁乘用车</v>
      </c>
      <c r="T29" s="5" t="s">
        <v>76</v>
      </c>
      <c r="U29" s="6" t="s">
        <v>62</v>
      </c>
      <c r="V29" s="6">
        <f t="shared" si="4"/>
        <v>25186</v>
      </c>
    </row>
    <row r="30" spans="1:22" x14ac:dyDescent="0.2">
      <c r="A30">
        <v>29</v>
      </c>
      <c r="B30">
        <v>2016</v>
      </c>
      <c r="C30" t="s">
        <v>13</v>
      </c>
      <c r="D30" t="str">
        <f t="shared" si="0"/>
        <v>gasoline vehicle</v>
      </c>
      <c r="E30" t="s">
        <v>7</v>
      </c>
      <c r="F30" t="s">
        <v>8</v>
      </c>
      <c r="G30" t="s">
        <v>9</v>
      </c>
      <c r="H30" t="str">
        <f t="shared" si="1"/>
        <v>公交车</v>
      </c>
      <c r="I30" t="str">
        <f t="shared" si="2"/>
        <v>Passenger HDV</v>
      </c>
      <c r="J30">
        <v>5</v>
      </c>
      <c r="P30" s="6" t="s">
        <v>18</v>
      </c>
      <c r="Q30" s="6" t="s">
        <v>30</v>
      </c>
      <c r="R30" s="6" t="s">
        <v>9</v>
      </c>
      <c r="S30" s="6" t="str">
        <f t="shared" si="3"/>
        <v>小型客车公路客运商用车</v>
      </c>
      <c r="T30" s="5" t="s">
        <v>78</v>
      </c>
      <c r="U30" s="6" t="s">
        <v>62</v>
      </c>
      <c r="V30" s="6">
        <f t="shared" si="4"/>
        <v>22299</v>
      </c>
    </row>
    <row r="31" spans="1:22" x14ac:dyDescent="0.2">
      <c r="A31">
        <v>30</v>
      </c>
      <c r="B31">
        <v>2017</v>
      </c>
      <c r="C31" t="s">
        <v>13</v>
      </c>
      <c r="D31" t="str">
        <f t="shared" si="0"/>
        <v>gasoline vehicle</v>
      </c>
      <c r="E31" t="s">
        <v>7</v>
      </c>
      <c r="F31" t="s">
        <v>8</v>
      </c>
      <c r="G31" t="s">
        <v>9</v>
      </c>
      <c r="H31" t="str">
        <f t="shared" si="1"/>
        <v>公交车</v>
      </c>
      <c r="I31" t="str">
        <f t="shared" si="2"/>
        <v>Passenger HDV</v>
      </c>
      <c r="J31">
        <v>20</v>
      </c>
      <c r="P31" s="6" t="s">
        <v>7</v>
      </c>
      <c r="Q31" s="6" t="s">
        <v>22</v>
      </c>
      <c r="R31" s="6" t="s">
        <v>9</v>
      </c>
      <c r="S31" s="6" t="str">
        <f t="shared" si="3"/>
        <v>大型客车出租租赁商用车</v>
      </c>
      <c r="T31" s="5" t="s">
        <v>78</v>
      </c>
      <c r="U31" s="6" t="s">
        <v>64</v>
      </c>
      <c r="V31" s="6">
        <f t="shared" si="4"/>
        <v>13758</v>
      </c>
    </row>
    <row r="32" spans="1:22" x14ac:dyDescent="0.2">
      <c r="A32">
        <v>31</v>
      </c>
      <c r="B32">
        <v>2018</v>
      </c>
      <c r="C32" t="s">
        <v>13</v>
      </c>
      <c r="D32" t="str">
        <f t="shared" si="0"/>
        <v>gasoline vehicle</v>
      </c>
      <c r="E32" t="s">
        <v>7</v>
      </c>
      <c r="F32" t="s">
        <v>8</v>
      </c>
      <c r="G32" t="s">
        <v>9</v>
      </c>
      <c r="H32" t="str">
        <f t="shared" si="1"/>
        <v>公交车</v>
      </c>
      <c r="I32" t="str">
        <f t="shared" si="2"/>
        <v>Passenger HDV</v>
      </c>
      <c r="J32">
        <v>4</v>
      </c>
      <c r="P32" s="6" t="s">
        <v>20</v>
      </c>
      <c r="Q32" s="6" t="s">
        <v>25</v>
      </c>
      <c r="R32" s="6" t="s">
        <v>33</v>
      </c>
      <c r="S32" s="6" t="str">
        <f t="shared" si="3"/>
        <v>中型客车非营运乘用车</v>
      </c>
      <c r="T32" s="5" t="s">
        <v>78</v>
      </c>
      <c r="U32" s="6" t="s">
        <v>64</v>
      </c>
      <c r="V32" s="6">
        <f t="shared" si="4"/>
        <v>9131</v>
      </c>
    </row>
    <row r="33" spans="1:22" x14ac:dyDescent="0.2">
      <c r="A33">
        <v>32</v>
      </c>
      <c r="B33">
        <v>2019</v>
      </c>
      <c r="C33" t="s">
        <v>13</v>
      </c>
      <c r="D33" t="str">
        <f t="shared" si="0"/>
        <v>gasoline vehicle</v>
      </c>
      <c r="E33" t="s">
        <v>7</v>
      </c>
      <c r="F33" t="s">
        <v>8</v>
      </c>
      <c r="G33" t="s">
        <v>9</v>
      </c>
      <c r="H33" t="str">
        <f t="shared" si="1"/>
        <v>公交车</v>
      </c>
      <c r="I33" t="str">
        <f t="shared" si="2"/>
        <v>Passenger HDV</v>
      </c>
      <c r="J33">
        <v>2</v>
      </c>
      <c r="P33" s="6" t="s">
        <v>20</v>
      </c>
      <c r="Q33" s="6" t="s">
        <v>17</v>
      </c>
      <c r="R33" s="6" t="s">
        <v>9</v>
      </c>
      <c r="S33" s="6" t="str">
        <f t="shared" si="3"/>
        <v>中型客车未知商用车</v>
      </c>
      <c r="T33" s="5" t="s">
        <v>78</v>
      </c>
      <c r="U33" s="6" t="s">
        <v>64</v>
      </c>
      <c r="V33" s="6">
        <f t="shared" si="4"/>
        <v>8958</v>
      </c>
    </row>
    <row r="34" spans="1:22" x14ac:dyDescent="0.2">
      <c r="A34">
        <v>33</v>
      </c>
      <c r="B34">
        <v>2020</v>
      </c>
      <c r="C34" t="s">
        <v>13</v>
      </c>
      <c r="D34" t="str">
        <f t="shared" si="0"/>
        <v>gasoline vehicle</v>
      </c>
      <c r="E34" t="s">
        <v>7</v>
      </c>
      <c r="F34" t="s">
        <v>8</v>
      </c>
      <c r="G34" t="s">
        <v>9</v>
      </c>
      <c r="H34" t="str">
        <f t="shared" si="1"/>
        <v>公交车</v>
      </c>
      <c r="I34" t="str">
        <f t="shared" si="2"/>
        <v>Passenger HDV</v>
      </c>
      <c r="J34">
        <v>35</v>
      </c>
      <c r="P34" s="6" t="s">
        <v>17</v>
      </c>
      <c r="Q34" s="6" t="s">
        <v>30</v>
      </c>
      <c r="R34" s="6" t="s">
        <v>9</v>
      </c>
      <c r="S34" s="6" t="str">
        <f t="shared" si="3"/>
        <v>未知公路客运商用车</v>
      </c>
      <c r="T34" s="5" t="s">
        <v>78</v>
      </c>
      <c r="U34" s="6" t="s">
        <v>68</v>
      </c>
      <c r="V34" s="6">
        <f t="shared" si="4"/>
        <v>7794</v>
      </c>
    </row>
    <row r="35" spans="1:22" x14ac:dyDescent="0.2">
      <c r="A35">
        <v>34</v>
      </c>
      <c r="B35">
        <v>2021</v>
      </c>
      <c r="C35" t="s">
        <v>13</v>
      </c>
      <c r="D35" t="str">
        <f t="shared" si="0"/>
        <v>gasoline vehicle</v>
      </c>
      <c r="E35" t="s">
        <v>7</v>
      </c>
      <c r="F35" t="s">
        <v>8</v>
      </c>
      <c r="G35" t="s">
        <v>9</v>
      </c>
      <c r="H35" t="str">
        <f t="shared" si="1"/>
        <v>公交车</v>
      </c>
      <c r="I35" t="str">
        <f t="shared" si="2"/>
        <v>Passenger HDV</v>
      </c>
      <c r="J35">
        <v>17</v>
      </c>
      <c r="P35" s="6" t="s">
        <v>7</v>
      </c>
      <c r="Q35" s="6" t="s">
        <v>17</v>
      </c>
      <c r="R35" s="6" t="s">
        <v>9</v>
      </c>
      <c r="S35" s="6" t="str">
        <f t="shared" ref="S35:S66" si="5">P35&amp;Q35&amp;R35</f>
        <v>大型客车未知商用车</v>
      </c>
      <c r="T35" s="5" t="s">
        <v>78</v>
      </c>
      <c r="U35" s="6" t="s">
        <v>64</v>
      </c>
      <c r="V35" s="6">
        <f t="shared" ref="V35:V68" si="6">SUMIFS(J:J,E:E,P35,F:F,Q35,G:G,R35)</f>
        <v>6582</v>
      </c>
    </row>
    <row r="36" spans="1:22" x14ac:dyDescent="0.2">
      <c r="A36">
        <v>35</v>
      </c>
      <c r="B36">
        <v>2017</v>
      </c>
      <c r="C36" t="s">
        <v>14</v>
      </c>
      <c r="D36" t="str">
        <f t="shared" si="0"/>
        <v>natural gas vehicle</v>
      </c>
      <c r="E36" t="s">
        <v>7</v>
      </c>
      <c r="F36" t="s">
        <v>8</v>
      </c>
      <c r="G36" t="s">
        <v>9</v>
      </c>
      <c r="H36" t="str">
        <f t="shared" si="1"/>
        <v>公交车</v>
      </c>
      <c r="I36" t="str">
        <f t="shared" si="2"/>
        <v>Passenger HDV</v>
      </c>
      <c r="J36">
        <v>20</v>
      </c>
      <c r="P36" s="6" t="s">
        <v>18</v>
      </c>
      <c r="Q36" s="6" t="s">
        <v>22</v>
      </c>
      <c r="R36" s="6" t="s">
        <v>9</v>
      </c>
      <c r="S36" s="6" t="str">
        <f t="shared" si="5"/>
        <v>小型客车出租租赁商用车</v>
      </c>
      <c r="T36" s="5" t="s">
        <v>76</v>
      </c>
      <c r="U36" s="6" t="s">
        <v>62</v>
      </c>
      <c r="V36" s="6">
        <f t="shared" si="6"/>
        <v>4713</v>
      </c>
    </row>
    <row r="37" spans="1:22" x14ac:dyDescent="0.2">
      <c r="A37">
        <v>36</v>
      </c>
      <c r="B37">
        <v>2016</v>
      </c>
      <c r="C37" t="s">
        <v>15</v>
      </c>
      <c r="D37" t="str">
        <f t="shared" si="0"/>
        <v>hydrogen vehicle</v>
      </c>
      <c r="E37" t="s">
        <v>7</v>
      </c>
      <c r="F37" t="s">
        <v>8</v>
      </c>
      <c r="G37" t="s">
        <v>9</v>
      </c>
      <c r="H37" t="str">
        <f t="shared" si="1"/>
        <v>公交车</v>
      </c>
      <c r="I37" t="str">
        <f t="shared" si="2"/>
        <v>Passenger HDV</v>
      </c>
      <c r="J37">
        <v>24</v>
      </c>
      <c r="P37" s="6" t="s">
        <v>18</v>
      </c>
      <c r="Q37" s="6" t="s">
        <v>17</v>
      </c>
      <c r="R37" s="6" t="s">
        <v>33</v>
      </c>
      <c r="S37" s="6" t="str">
        <f t="shared" si="5"/>
        <v>小型客车未知乘用车</v>
      </c>
      <c r="T37" s="5" t="s">
        <v>75</v>
      </c>
      <c r="U37" s="6" t="s">
        <v>62</v>
      </c>
      <c r="V37" s="6">
        <f t="shared" si="6"/>
        <v>4516</v>
      </c>
    </row>
    <row r="38" spans="1:22" x14ac:dyDescent="0.2">
      <c r="A38">
        <v>37</v>
      </c>
      <c r="B38">
        <v>2017</v>
      </c>
      <c r="C38" t="s">
        <v>15</v>
      </c>
      <c r="D38" t="str">
        <f t="shared" si="0"/>
        <v>hydrogen vehicle</v>
      </c>
      <c r="E38" t="s">
        <v>7</v>
      </c>
      <c r="F38" t="s">
        <v>8</v>
      </c>
      <c r="G38" t="s">
        <v>9</v>
      </c>
      <c r="H38" t="str">
        <f t="shared" si="1"/>
        <v>公交车</v>
      </c>
      <c r="I38" t="str">
        <f t="shared" si="2"/>
        <v>Passenger HDV</v>
      </c>
      <c r="J38">
        <v>3</v>
      </c>
      <c r="P38" s="6" t="s">
        <v>18</v>
      </c>
      <c r="Q38" s="6" t="s">
        <v>8</v>
      </c>
      <c r="R38" s="6" t="s">
        <v>9</v>
      </c>
      <c r="S38" s="6" t="str">
        <f t="shared" si="5"/>
        <v>小型客车城市公交商用车</v>
      </c>
      <c r="T38" s="5" t="s">
        <v>77</v>
      </c>
      <c r="U38" s="6" t="s">
        <v>62</v>
      </c>
      <c r="V38" s="6">
        <f t="shared" si="6"/>
        <v>3067</v>
      </c>
    </row>
    <row r="39" spans="1:22" x14ac:dyDescent="0.2">
      <c r="A39">
        <v>38</v>
      </c>
      <c r="B39">
        <v>2018</v>
      </c>
      <c r="C39" t="s">
        <v>15</v>
      </c>
      <c r="D39" t="str">
        <f t="shared" si="0"/>
        <v>hydrogen vehicle</v>
      </c>
      <c r="E39" t="s">
        <v>7</v>
      </c>
      <c r="F39" t="s">
        <v>8</v>
      </c>
      <c r="G39" t="s">
        <v>9</v>
      </c>
      <c r="H39" t="str">
        <f t="shared" si="1"/>
        <v>公交车</v>
      </c>
      <c r="I39" t="str">
        <f t="shared" si="2"/>
        <v>Passenger HDV</v>
      </c>
      <c r="J39">
        <v>305</v>
      </c>
      <c r="P39" s="6" t="s">
        <v>18</v>
      </c>
      <c r="Q39" s="6" t="s">
        <v>8</v>
      </c>
      <c r="R39" s="6" t="s">
        <v>33</v>
      </c>
      <c r="S39" s="6" t="str">
        <f t="shared" si="5"/>
        <v>小型客车城市公交乘用车</v>
      </c>
      <c r="T39" s="5" t="s">
        <v>77</v>
      </c>
      <c r="U39" s="6" t="s">
        <v>62</v>
      </c>
      <c r="V39" s="6">
        <f t="shared" si="6"/>
        <v>2573</v>
      </c>
    </row>
    <row r="40" spans="1:22" x14ac:dyDescent="0.2">
      <c r="A40">
        <v>39</v>
      </c>
      <c r="B40">
        <v>2019</v>
      </c>
      <c r="C40" t="s">
        <v>15</v>
      </c>
      <c r="D40" t="str">
        <f t="shared" si="0"/>
        <v>hydrogen vehicle</v>
      </c>
      <c r="E40" t="s">
        <v>7</v>
      </c>
      <c r="F40" t="s">
        <v>8</v>
      </c>
      <c r="G40" t="s">
        <v>9</v>
      </c>
      <c r="H40" t="str">
        <f t="shared" si="1"/>
        <v>公交车</v>
      </c>
      <c r="I40" t="str">
        <f t="shared" si="2"/>
        <v>Passenger HDV</v>
      </c>
      <c r="J40">
        <v>740</v>
      </c>
      <c r="P40" s="6" t="s">
        <v>7</v>
      </c>
      <c r="Q40" s="6" t="s">
        <v>31</v>
      </c>
      <c r="R40" s="6" t="s">
        <v>9</v>
      </c>
      <c r="S40" s="6" t="str">
        <f t="shared" si="5"/>
        <v>大型客车营运商用车</v>
      </c>
      <c r="T40" s="5" t="s">
        <v>78</v>
      </c>
      <c r="U40" s="6" t="s">
        <v>64</v>
      </c>
      <c r="V40" s="6">
        <f t="shared" si="6"/>
        <v>2250</v>
      </c>
    </row>
    <row r="41" spans="1:22" x14ac:dyDescent="0.2">
      <c r="A41">
        <v>40</v>
      </c>
      <c r="B41">
        <v>2020</v>
      </c>
      <c r="C41" t="s">
        <v>15</v>
      </c>
      <c r="D41" t="str">
        <f t="shared" si="0"/>
        <v>hydrogen vehicle</v>
      </c>
      <c r="E41" t="s">
        <v>7</v>
      </c>
      <c r="F41" t="s">
        <v>8</v>
      </c>
      <c r="G41" t="s">
        <v>9</v>
      </c>
      <c r="H41" t="str">
        <f t="shared" si="1"/>
        <v>公交车</v>
      </c>
      <c r="I41" t="str">
        <f t="shared" si="2"/>
        <v>Passenger HDV</v>
      </c>
      <c r="J41">
        <v>1339</v>
      </c>
      <c r="P41" s="6" t="s">
        <v>20</v>
      </c>
      <c r="Q41" s="6" t="s">
        <v>22</v>
      </c>
      <c r="R41" s="6" t="s">
        <v>9</v>
      </c>
      <c r="S41" s="6" t="str">
        <f t="shared" si="5"/>
        <v>中型客车出租租赁商用车</v>
      </c>
      <c r="T41" s="5" t="s">
        <v>78</v>
      </c>
      <c r="U41" s="6" t="s">
        <v>64</v>
      </c>
      <c r="V41" s="6">
        <f t="shared" si="6"/>
        <v>2145</v>
      </c>
    </row>
    <row r="42" spans="1:22" x14ac:dyDescent="0.2">
      <c r="A42">
        <v>41</v>
      </c>
      <c r="B42">
        <v>2021</v>
      </c>
      <c r="C42" t="s">
        <v>15</v>
      </c>
      <c r="D42" t="str">
        <f t="shared" si="0"/>
        <v>hydrogen vehicle</v>
      </c>
      <c r="E42" t="s">
        <v>7</v>
      </c>
      <c r="F42" t="s">
        <v>8</v>
      </c>
      <c r="G42" t="s">
        <v>9</v>
      </c>
      <c r="H42" t="str">
        <f t="shared" si="1"/>
        <v>公交车</v>
      </c>
      <c r="I42" t="str">
        <f t="shared" si="2"/>
        <v>Passenger HDV</v>
      </c>
      <c r="J42">
        <v>808</v>
      </c>
      <c r="P42" s="6" t="s">
        <v>27</v>
      </c>
      <c r="Q42" s="6" t="s">
        <v>25</v>
      </c>
      <c r="R42" s="6" t="s">
        <v>9</v>
      </c>
      <c r="S42" s="6" t="str">
        <f t="shared" si="5"/>
        <v>微型货车非营运商用车</v>
      </c>
      <c r="T42" s="5" t="s">
        <v>23</v>
      </c>
      <c r="U42" s="6" t="s">
        <v>66</v>
      </c>
      <c r="V42" s="6">
        <f t="shared" si="6"/>
        <v>1770</v>
      </c>
    </row>
    <row r="43" spans="1:22" x14ac:dyDescent="0.2">
      <c r="A43">
        <v>42</v>
      </c>
      <c r="B43">
        <v>2015</v>
      </c>
      <c r="C43" t="s">
        <v>16</v>
      </c>
      <c r="D43" t="str">
        <f t="shared" si="0"/>
        <v>natural gas vehicle</v>
      </c>
      <c r="E43" t="s">
        <v>7</v>
      </c>
      <c r="F43" t="s">
        <v>8</v>
      </c>
      <c r="G43" t="s">
        <v>9</v>
      </c>
      <c r="H43" t="str">
        <f t="shared" si="1"/>
        <v>公交车</v>
      </c>
      <c r="I43" t="str">
        <f t="shared" si="2"/>
        <v>Passenger HDV</v>
      </c>
      <c r="J43">
        <v>19202</v>
      </c>
      <c r="P43" s="6" t="s">
        <v>21</v>
      </c>
      <c r="Q43" s="6" t="s">
        <v>8</v>
      </c>
      <c r="R43" s="6" t="s">
        <v>9</v>
      </c>
      <c r="S43" s="6" t="str">
        <f t="shared" si="5"/>
        <v>重型货车城市公交商用车</v>
      </c>
      <c r="T43" s="5" t="s">
        <v>77</v>
      </c>
      <c r="U43" s="6" t="s">
        <v>64</v>
      </c>
      <c r="V43" s="6">
        <f t="shared" si="6"/>
        <v>1687</v>
      </c>
    </row>
    <row r="44" spans="1:22" x14ac:dyDescent="0.2">
      <c r="A44">
        <v>43</v>
      </c>
      <c r="B44">
        <v>2016</v>
      </c>
      <c r="C44" t="s">
        <v>16</v>
      </c>
      <c r="D44" t="str">
        <f t="shared" si="0"/>
        <v>natural gas vehicle</v>
      </c>
      <c r="E44" t="s">
        <v>7</v>
      </c>
      <c r="F44" t="s">
        <v>8</v>
      </c>
      <c r="G44" t="s">
        <v>9</v>
      </c>
      <c r="H44" t="str">
        <f t="shared" si="1"/>
        <v>公交车</v>
      </c>
      <c r="I44" t="str">
        <f t="shared" si="2"/>
        <v>Passenger HDV</v>
      </c>
      <c r="J44">
        <v>7957</v>
      </c>
      <c r="P44" s="6" t="s">
        <v>20</v>
      </c>
      <c r="Q44" s="6" t="s">
        <v>31</v>
      </c>
      <c r="R44" s="6" t="s">
        <v>9</v>
      </c>
      <c r="S44" s="6" t="str">
        <f t="shared" si="5"/>
        <v>中型客车营运商用车</v>
      </c>
      <c r="T44" s="5" t="s">
        <v>78</v>
      </c>
      <c r="U44" s="6" t="s">
        <v>64</v>
      </c>
      <c r="V44" s="6">
        <f t="shared" si="6"/>
        <v>1561</v>
      </c>
    </row>
    <row r="45" spans="1:22" x14ac:dyDescent="0.2">
      <c r="A45">
        <v>44</v>
      </c>
      <c r="B45">
        <v>2017</v>
      </c>
      <c r="C45" t="s">
        <v>16</v>
      </c>
      <c r="D45" t="str">
        <f t="shared" si="0"/>
        <v>natural gas vehicle</v>
      </c>
      <c r="E45" t="s">
        <v>7</v>
      </c>
      <c r="F45" t="s">
        <v>8</v>
      </c>
      <c r="G45" t="s">
        <v>9</v>
      </c>
      <c r="H45" t="str">
        <f t="shared" si="1"/>
        <v>公交车</v>
      </c>
      <c r="I45" t="str">
        <f t="shared" si="2"/>
        <v>Passenger HDV</v>
      </c>
      <c r="J45">
        <v>5956</v>
      </c>
      <c r="P45" s="6" t="s">
        <v>28</v>
      </c>
      <c r="Q45" s="6" t="s">
        <v>17</v>
      </c>
      <c r="R45" s="6" t="s">
        <v>33</v>
      </c>
      <c r="S45" s="6" t="str">
        <f t="shared" si="5"/>
        <v>微型客车未知乘用车</v>
      </c>
      <c r="T45" s="5" t="s">
        <v>75</v>
      </c>
      <c r="U45" s="6" t="s">
        <v>62</v>
      </c>
      <c r="V45" s="6">
        <f t="shared" si="6"/>
        <v>1393</v>
      </c>
    </row>
    <row r="46" spans="1:22" x14ac:dyDescent="0.2">
      <c r="A46">
        <v>45</v>
      </c>
      <c r="B46">
        <v>2018</v>
      </c>
      <c r="C46" t="s">
        <v>16</v>
      </c>
      <c r="D46" t="str">
        <f t="shared" si="0"/>
        <v>natural gas vehicle</v>
      </c>
      <c r="E46" t="s">
        <v>7</v>
      </c>
      <c r="F46" t="s">
        <v>8</v>
      </c>
      <c r="G46" t="s">
        <v>9</v>
      </c>
      <c r="H46" t="str">
        <f t="shared" si="1"/>
        <v>公交车</v>
      </c>
      <c r="I46" t="str">
        <f t="shared" si="2"/>
        <v>Passenger HDV</v>
      </c>
      <c r="J46">
        <v>2470</v>
      </c>
      <c r="P46" s="6" t="s">
        <v>17</v>
      </c>
      <c r="Q46" s="6" t="s">
        <v>22</v>
      </c>
      <c r="R46" s="6" t="s">
        <v>9</v>
      </c>
      <c r="S46" s="6" t="str">
        <f t="shared" si="5"/>
        <v>未知出租租赁商用车</v>
      </c>
      <c r="T46" s="5" t="s">
        <v>78</v>
      </c>
      <c r="U46" s="6" t="s">
        <v>64</v>
      </c>
      <c r="V46" s="6">
        <f t="shared" si="6"/>
        <v>1219</v>
      </c>
    </row>
    <row r="47" spans="1:22" x14ac:dyDescent="0.2">
      <c r="A47">
        <v>46</v>
      </c>
      <c r="B47">
        <v>2019</v>
      </c>
      <c r="C47" t="s">
        <v>16</v>
      </c>
      <c r="D47" t="str">
        <f t="shared" si="0"/>
        <v>natural gas vehicle</v>
      </c>
      <c r="E47" t="s">
        <v>7</v>
      </c>
      <c r="F47" t="s">
        <v>8</v>
      </c>
      <c r="G47" t="s">
        <v>9</v>
      </c>
      <c r="H47" t="str">
        <f t="shared" si="1"/>
        <v>公交车</v>
      </c>
      <c r="I47" t="str">
        <f t="shared" si="2"/>
        <v>Passenger HDV</v>
      </c>
      <c r="J47">
        <v>1088</v>
      </c>
      <c r="P47" s="6" t="s">
        <v>21</v>
      </c>
      <c r="Q47" s="6" t="s">
        <v>22</v>
      </c>
      <c r="R47" s="6" t="s">
        <v>9</v>
      </c>
      <c r="S47" s="6" t="str">
        <f t="shared" si="5"/>
        <v>重型货车出租租赁商用车</v>
      </c>
      <c r="T47" s="5" t="s">
        <v>79</v>
      </c>
      <c r="U47" s="6" t="s">
        <v>70</v>
      </c>
      <c r="V47" s="6">
        <f t="shared" si="6"/>
        <v>651</v>
      </c>
    </row>
    <row r="48" spans="1:22" x14ac:dyDescent="0.2">
      <c r="A48">
        <v>47</v>
      </c>
      <c r="B48">
        <v>2020</v>
      </c>
      <c r="C48" t="s">
        <v>16</v>
      </c>
      <c r="D48" t="str">
        <f t="shared" si="0"/>
        <v>natural gas vehicle</v>
      </c>
      <c r="E48" t="s">
        <v>7</v>
      </c>
      <c r="F48" t="s">
        <v>8</v>
      </c>
      <c r="G48" t="s">
        <v>9</v>
      </c>
      <c r="H48" t="str">
        <f t="shared" si="1"/>
        <v>公交车</v>
      </c>
      <c r="I48" t="str">
        <f t="shared" si="2"/>
        <v>Passenger HDV</v>
      </c>
      <c r="J48">
        <v>416</v>
      </c>
      <c r="P48" s="6" t="s">
        <v>17</v>
      </c>
      <c r="Q48" s="6" t="s">
        <v>8</v>
      </c>
      <c r="R48" s="6" t="s">
        <v>9</v>
      </c>
      <c r="S48" s="6" t="str">
        <f t="shared" si="5"/>
        <v>未知城市公交商用车</v>
      </c>
      <c r="T48" s="5" t="s">
        <v>77</v>
      </c>
      <c r="U48" s="6" t="s">
        <v>64</v>
      </c>
      <c r="V48" s="6">
        <f t="shared" si="6"/>
        <v>630</v>
      </c>
    </row>
    <row r="49" spans="1:22" x14ac:dyDescent="0.2">
      <c r="A49">
        <v>48</v>
      </c>
      <c r="B49">
        <v>2021</v>
      </c>
      <c r="C49" t="s">
        <v>16</v>
      </c>
      <c r="D49" t="str">
        <f t="shared" si="0"/>
        <v>natural gas vehicle</v>
      </c>
      <c r="E49" t="s">
        <v>7</v>
      </c>
      <c r="F49" t="s">
        <v>8</v>
      </c>
      <c r="G49" t="s">
        <v>9</v>
      </c>
      <c r="H49" t="str">
        <f t="shared" si="1"/>
        <v>公交车</v>
      </c>
      <c r="I49" t="str">
        <f t="shared" si="2"/>
        <v>Passenger HDV</v>
      </c>
      <c r="J49">
        <v>110</v>
      </c>
      <c r="P49" s="6" t="s">
        <v>23</v>
      </c>
      <c r="Q49" s="6" t="s">
        <v>22</v>
      </c>
      <c r="R49" s="6" t="s">
        <v>9</v>
      </c>
      <c r="S49" s="6" t="str">
        <f t="shared" si="5"/>
        <v>轻型货车出租租赁商用车</v>
      </c>
      <c r="T49" s="5" t="s">
        <v>23</v>
      </c>
      <c r="U49" s="6" t="s">
        <v>66</v>
      </c>
      <c r="V49" s="6">
        <f t="shared" si="6"/>
        <v>586</v>
      </c>
    </row>
    <row r="50" spans="1:22" x14ac:dyDescent="0.2">
      <c r="A50">
        <v>49</v>
      </c>
      <c r="B50">
        <v>2015</v>
      </c>
      <c r="C50" t="s">
        <v>10</v>
      </c>
      <c r="D50" t="str">
        <f t="shared" si="0"/>
        <v>diesel vehicle</v>
      </c>
      <c r="E50" t="s">
        <v>17</v>
      </c>
      <c r="F50" t="s">
        <v>8</v>
      </c>
      <c r="G50" t="s">
        <v>9</v>
      </c>
      <c r="H50" t="str">
        <f t="shared" si="1"/>
        <v>公交车</v>
      </c>
      <c r="I50" t="str">
        <f t="shared" si="2"/>
        <v>Passenger HDV</v>
      </c>
      <c r="J50">
        <v>13</v>
      </c>
      <c r="P50" s="6" t="s">
        <v>19</v>
      </c>
      <c r="Q50" s="6" t="s">
        <v>22</v>
      </c>
      <c r="R50" s="6" t="s">
        <v>9</v>
      </c>
      <c r="S50" s="6" t="str">
        <f t="shared" si="5"/>
        <v>中型货车出租租赁商用车</v>
      </c>
      <c r="T50" s="5" t="s">
        <v>79</v>
      </c>
      <c r="U50" s="6" t="s">
        <v>70</v>
      </c>
      <c r="V50" s="6">
        <f t="shared" si="6"/>
        <v>283</v>
      </c>
    </row>
    <row r="51" spans="1:22" x14ac:dyDescent="0.2">
      <c r="A51">
        <v>50</v>
      </c>
      <c r="B51">
        <v>2015</v>
      </c>
      <c r="C51" t="s">
        <v>11</v>
      </c>
      <c r="D51" t="str">
        <f t="shared" si="0"/>
        <v>battery electric vehicle</v>
      </c>
      <c r="E51" t="s">
        <v>17</v>
      </c>
      <c r="F51" t="s">
        <v>8</v>
      </c>
      <c r="G51" t="s">
        <v>9</v>
      </c>
      <c r="H51" t="str">
        <f t="shared" si="1"/>
        <v>公交车</v>
      </c>
      <c r="I51" t="str">
        <f t="shared" si="2"/>
        <v>Passenger HDV</v>
      </c>
      <c r="J51">
        <v>150</v>
      </c>
      <c r="P51" s="6" t="s">
        <v>19</v>
      </c>
      <c r="Q51" s="6" t="s">
        <v>8</v>
      </c>
      <c r="R51" s="6" t="s">
        <v>9</v>
      </c>
      <c r="S51" s="6" t="str">
        <f t="shared" si="5"/>
        <v>中型货车城市公交商用车</v>
      </c>
      <c r="T51" s="5" t="s">
        <v>77</v>
      </c>
      <c r="U51" s="6" t="s">
        <v>64</v>
      </c>
      <c r="V51" s="6">
        <f t="shared" si="6"/>
        <v>273</v>
      </c>
    </row>
    <row r="52" spans="1:22" x14ac:dyDescent="0.2">
      <c r="A52">
        <v>51</v>
      </c>
      <c r="B52">
        <v>2015</v>
      </c>
      <c r="C52" t="s">
        <v>13</v>
      </c>
      <c r="D52" t="str">
        <f t="shared" si="0"/>
        <v>gasoline vehicle</v>
      </c>
      <c r="E52" t="s">
        <v>17</v>
      </c>
      <c r="F52" t="s">
        <v>8</v>
      </c>
      <c r="G52" t="s">
        <v>9</v>
      </c>
      <c r="H52" t="str">
        <f t="shared" si="1"/>
        <v>公交车</v>
      </c>
      <c r="I52" t="str">
        <f t="shared" si="2"/>
        <v>Passenger HDV</v>
      </c>
      <c r="J52">
        <v>410</v>
      </c>
      <c r="P52" s="6" t="s">
        <v>27</v>
      </c>
      <c r="Q52" s="6" t="s">
        <v>31</v>
      </c>
      <c r="R52" s="6" t="s">
        <v>9</v>
      </c>
      <c r="S52" s="6" t="str">
        <f t="shared" si="5"/>
        <v>微型货车营运商用车</v>
      </c>
      <c r="T52" s="5" t="s">
        <v>23</v>
      </c>
      <c r="U52" s="6" t="s">
        <v>66</v>
      </c>
      <c r="V52" s="6">
        <f t="shared" si="6"/>
        <v>91</v>
      </c>
    </row>
    <row r="53" spans="1:22" x14ac:dyDescent="0.2">
      <c r="A53">
        <v>52</v>
      </c>
      <c r="B53">
        <v>2015</v>
      </c>
      <c r="C53" t="s">
        <v>14</v>
      </c>
      <c r="D53" t="str">
        <f t="shared" si="0"/>
        <v>natural gas vehicle</v>
      </c>
      <c r="E53" t="s">
        <v>17</v>
      </c>
      <c r="F53" t="s">
        <v>8</v>
      </c>
      <c r="G53" t="s">
        <v>9</v>
      </c>
      <c r="H53" t="str">
        <f t="shared" si="1"/>
        <v>公交车</v>
      </c>
      <c r="I53" t="str">
        <f t="shared" si="2"/>
        <v>Passenger HDV</v>
      </c>
      <c r="J53">
        <v>57</v>
      </c>
      <c r="P53" s="6" t="s">
        <v>27</v>
      </c>
      <c r="Q53" s="6" t="s">
        <v>17</v>
      </c>
      <c r="R53" s="6" t="s">
        <v>9</v>
      </c>
      <c r="S53" s="6" t="str">
        <f t="shared" si="5"/>
        <v>微型货车未知商用车</v>
      </c>
      <c r="T53" s="5" t="s">
        <v>23</v>
      </c>
      <c r="U53" s="6" t="s">
        <v>66</v>
      </c>
      <c r="V53" s="6">
        <f t="shared" si="6"/>
        <v>87</v>
      </c>
    </row>
    <row r="54" spans="1:22" x14ac:dyDescent="0.2">
      <c r="A54">
        <v>53</v>
      </c>
      <c r="B54">
        <v>2015</v>
      </c>
      <c r="C54" t="s">
        <v>10</v>
      </c>
      <c r="D54" t="str">
        <f t="shared" si="0"/>
        <v>diesel vehicle</v>
      </c>
      <c r="E54" t="s">
        <v>18</v>
      </c>
      <c r="F54" t="s">
        <v>8</v>
      </c>
      <c r="G54" t="s">
        <v>9</v>
      </c>
      <c r="H54" t="str">
        <f t="shared" si="1"/>
        <v>公交车</v>
      </c>
      <c r="I54" t="str">
        <f t="shared" si="2"/>
        <v>Passenger LDV</v>
      </c>
      <c r="J54">
        <v>1</v>
      </c>
      <c r="P54" s="6" t="s">
        <v>21</v>
      </c>
      <c r="Q54" s="6" t="s">
        <v>30</v>
      </c>
      <c r="R54" s="6" t="s">
        <v>9</v>
      </c>
      <c r="S54" s="6" t="str">
        <f t="shared" si="5"/>
        <v>重型货车公路客运商用车</v>
      </c>
      <c r="T54" s="5" t="s">
        <v>78</v>
      </c>
      <c r="U54" s="6" t="s">
        <v>64</v>
      </c>
      <c r="V54" s="6">
        <f t="shared" si="6"/>
        <v>81</v>
      </c>
    </row>
    <row r="55" spans="1:22" x14ac:dyDescent="0.2">
      <c r="A55">
        <v>54</v>
      </c>
      <c r="B55">
        <v>2016</v>
      </c>
      <c r="C55" t="s">
        <v>10</v>
      </c>
      <c r="D55" t="str">
        <f t="shared" si="0"/>
        <v>diesel vehicle</v>
      </c>
      <c r="E55" t="s">
        <v>18</v>
      </c>
      <c r="F55" t="s">
        <v>8</v>
      </c>
      <c r="G55" t="s">
        <v>9</v>
      </c>
      <c r="H55" t="str">
        <f t="shared" si="1"/>
        <v>公交车</v>
      </c>
      <c r="I55" t="str">
        <f t="shared" si="2"/>
        <v>Passenger LDV</v>
      </c>
      <c r="J55">
        <v>17</v>
      </c>
      <c r="P55" s="6" t="s">
        <v>20</v>
      </c>
      <c r="Q55" s="6" t="s">
        <v>30</v>
      </c>
      <c r="R55" s="6" t="s">
        <v>33</v>
      </c>
      <c r="S55" s="6" t="str">
        <f t="shared" si="5"/>
        <v>中型客车公路客运乘用车</v>
      </c>
      <c r="T55" s="5" t="s">
        <v>78</v>
      </c>
      <c r="U55" s="6" t="s">
        <v>64</v>
      </c>
      <c r="V55" s="6">
        <f t="shared" si="6"/>
        <v>70</v>
      </c>
    </row>
    <row r="56" spans="1:22" x14ac:dyDescent="0.2">
      <c r="A56">
        <v>55</v>
      </c>
      <c r="B56">
        <v>2017</v>
      </c>
      <c r="C56" t="s">
        <v>10</v>
      </c>
      <c r="D56" t="str">
        <f t="shared" si="0"/>
        <v>diesel vehicle</v>
      </c>
      <c r="E56" t="s">
        <v>18</v>
      </c>
      <c r="F56" t="s">
        <v>8</v>
      </c>
      <c r="G56" t="s">
        <v>9</v>
      </c>
      <c r="H56" t="str">
        <f t="shared" si="1"/>
        <v>公交车</v>
      </c>
      <c r="I56" t="str">
        <f t="shared" si="2"/>
        <v>Passenger LDV</v>
      </c>
      <c r="J56">
        <v>79</v>
      </c>
      <c r="P56" s="6" t="s">
        <v>34</v>
      </c>
      <c r="Q56" s="6" t="s">
        <v>22</v>
      </c>
      <c r="R56" s="6" t="s">
        <v>33</v>
      </c>
      <c r="S56" s="6" t="str">
        <f t="shared" si="5"/>
        <v>NULL出租租赁乘用车</v>
      </c>
      <c r="T56" s="5" t="s">
        <v>76</v>
      </c>
      <c r="U56" s="6" t="s">
        <v>68</v>
      </c>
      <c r="V56" s="6">
        <f t="shared" si="6"/>
        <v>64</v>
      </c>
    </row>
    <row r="57" spans="1:22" x14ac:dyDescent="0.2">
      <c r="A57">
        <v>56</v>
      </c>
      <c r="B57">
        <v>2018</v>
      </c>
      <c r="C57" t="s">
        <v>10</v>
      </c>
      <c r="D57" t="str">
        <f t="shared" si="0"/>
        <v>diesel vehicle</v>
      </c>
      <c r="E57" t="s">
        <v>18</v>
      </c>
      <c r="F57" t="s">
        <v>8</v>
      </c>
      <c r="G57" t="s">
        <v>9</v>
      </c>
      <c r="H57" t="str">
        <f t="shared" si="1"/>
        <v>公交车</v>
      </c>
      <c r="I57" t="str">
        <f t="shared" si="2"/>
        <v>Passenger LDV</v>
      </c>
      <c r="J57">
        <v>579</v>
      </c>
      <c r="P57" s="6" t="s">
        <v>19</v>
      </c>
      <c r="Q57" s="6" t="s">
        <v>30</v>
      </c>
      <c r="R57" s="6" t="s">
        <v>9</v>
      </c>
      <c r="S57" s="6" t="str">
        <f t="shared" si="5"/>
        <v>中型货车公路客运商用车</v>
      </c>
      <c r="T57" s="5" t="s">
        <v>78</v>
      </c>
      <c r="U57" s="6" t="s">
        <v>64</v>
      </c>
      <c r="V57" s="6">
        <f t="shared" si="6"/>
        <v>37</v>
      </c>
    </row>
    <row r="58" spans="1:22" x14ac:dyDescent="0.2">
      <c r="A58">
        <v>57</v>
      </c>
      <c r="B58">
        <v>2019</v>
      </c>
      <c r="C58" t="s">
        <v>10</v>
      </c>
      <c r="D58" t="str">
        <f t="shared" si="0"/>
        <v>diesel vehicle</v>
      </c>
      <c r="E58" t="s">
        <v>18</v>
      </c>
      <c r="F58" t="s">
        <v>8</v>
      </c>
      <c r="G58" t="s">
        <v>9</v>
      </c>
      <c r="H58" t="str">
        <f t="shared" si="1"/>
        <v>公交车</v>
      </c>
      <c r="I58" t="str">
        <f t="shared" si="2"/>
        <v>Passenger LDV</v>
      </c>
      <c r="J58">
        <v>4</v>
      </c>
      <c r="P58" s="6" t="s">
        <v>28</v>
      </c>
      <c r="Q58" s="6" t="s">
        <v>25</v>
      </c>
      <c r="R58" s="6" t="s">
        <v>9</v>
      </c>
      <c r="S58" s="6" t="str">
        <f t="shared" si="5"/>
        <v>微型客车非营运商用车</v>
      </c>
      <c r="T58" s="5" t="s">
        <v>76</v>
      </c>
      <c r="U58" s="6" t="s">
        <v>62</v>
      </c>
      <c r="V58" s="6">
        <f t="shared" si="6"/>
        <v>36</v>
      </c>
    </row>
    <row r="59" spans="1:22" x14ac:dyDescent="0.2">
      <c r="A59">
        <v>58</v>
      </c>
      <c r="B59">
        <v>2020</v>
      </c>
      <c r="C59" t="s">
        <v>10</v>
      </c>
      <c r="D59" t="str">
        <f t="shared" si="0"/>
        <v>diesel vehicle</v>
      </c>
      <c r="E59" t="s">
        <v>18</v>
      </c>
      <c r="F59" t="s">
        <v>8</v>
      </c>
      <c r="G59" t="s">
        <v>9</v>
      </c>
      <c r="H59" t="str">
        <f t="shared" si="1"/>
        <v>公交车</v>
      </c>
      <c r="I59" t="str">
        <f t="shared" si="2"/>
        <v>Passenger LDV</v>
      </c>
      <c r="J59">
        <v>310</v>
      </c>
      <c r="P59" s="6" t="s">
        <v>20</v>
      </c>
      <c r="Q59" s="6" t="s">
        <v>22</v>
      </c>
      <c r="R59" s="6" t="s">
        <v>33</v>
      </c>
      <c r="S59" s="6" t="str">
        <f t="shared" si="5"/>
        <v>中型客车出租租赁乘用车</v>
      </c>
      <c r="T59" s="5" t="s">
        <v>78</v>
      </c>
      <c r="U59" s="6" t="s">
        <v>64</v>
      </c>
      <c r="V59" s="6">
        <f t="shared" si="6"/>
        <v>26</v>
      </c>
    </row>
    <row r="60" spans="1:22" x14ac:dyDescent="0.2">
      <c r="A60">
        <v>59</v>
      </c>
      <c r="B60">
        <v>2021</v>
      </c>
      <c r="C60" t="s">
        <v>10</v>
      </c>
      <c r="D60" t="str">
        <f t="shared" si="0"/>
        <v>diesel vehicle</v>
      </c>
      <c r="E60" t="s">
        <v>18</v>
      </c>
      <c r="F60" t="s">
        <v>8</v>
      </c>
      <c r="G60" t="s">
        <v>9</v>
      </c>
      <c r="H60" t="str">
        <f t="shared" si="1"/>
        <v>公交车</v>
      </c>
      <c r="I60" t="str">
        <f t="shared" si="2"/>
        <v>Passenger LDV</v>
      </c>
      <c r="J60">
        <v>16</v>
      </c>
      <c r="P60" s="6" t="s">
        <v>20</v>
      </c>
      <c r="Q60" s="6" t="s">
        <v>17</v>
      </c>
      <c r="R60" s="6" t="s">
        <v>33</v>
      </c>
      <c r="S60" s="6" t="str">
        <f t="shared" si="5"/>
        <v>中型客车未知乘用车</v>
      </c>
      <c r="T60" s="5" t="s">
        <v>78</v>
      </c>
      <c r="U60" s="6" t="s">
        <v>64</v>
      </c>
      <c r="V60" s="6">
        <f t="shared" si="6"/>
        <v>13</v>
      </c>
    </row>
    <row r="61" spans="1:22" x14ac:dyDescent="0.2">
      <c r="A61">
        <v>60</v>
      </c>
      <c r="B61">
        <v>2019</v>
      </c>
      <c r="C61" t="s">
        <v>11</v>
      </c>
      <c r="D61" t="str">
        <f t="shared" si="0"/>
        <v>battery electric vehicle</v>
      </c>
      <c r="E61" t="s">
        <v>18</v>
      </c>
      <c r="F61" t="s">
        <v>8</v>
      </c>
      <c r="G61" t="s">
        <v>9</v>
      </c>
      <c r="H61" t="str">
        <f t="shared" si="1"/>
        <v>公交车</v>
      </c>
      <c r="I61" t="str">
        <f t="shared" si="2"/>
        <v>Passenger LDV</v>
      </c>
      <c r="J61">
        <v>13</v>
      </c>
      <c r="P61" s="6" t="s">
        <v>7</v>
      </c>
      <c r="Q61" s="6" t="s">
        <v>25</v>
      </c>
      <c r="R61" s="6" t="s">
        <v>33</v>
      </c>
      <c r="S61" s="6" t="str">
        <f t="shared" si="5"/>
        <v>大型客车非营运乘用车</v>
      </c>
      <c r="T61" s="5" t="s">
        <v>78</v>
      </c>
      <c r="U61" s="6" t="s">
        <v>64</v>
      </c>
      <c r="V61" s="6">
        <f t="shared" si="6"/>
        <v>9</v>
      </c>
    </row>
    <row r="62" spans="1:22" x14ac:dyDescent="0.2">
      <c r="A62">
        <v>61</v>
      </c>
      <c r="B62">
        <v>2020</v>
      </c>
      <c r="C62" t="s">
        <v>11</v>
      </c>
      <c r="D62" t="str">
        <f t="shared" si="0"/>
        <v>battery electric vehicle</v>
      </c>
      <c r="E62" t="s">
        <v>18</v>
      </c>
      <c r="F62" t="s">
        <v>8</v>
      </c>
      <c r="G62" t="s">
        <v>9</v>
      </c>
      <c r="H62" t="str">
        <f t="shared" si="1"/>
        <v>公交车</v>
      </c>
      <c r="I62" t="str">
        <f t="shared" si="2"/>
        <v>Passenger LDV</v>
      </c>
      <c r="J62">
        <v>595</v>
      </c>
      <c r="P62" s="6" t="s">
        <v>28</v>
      </c>
      <c r="Q62" s="6" t="s">
        <v>17</v>
      </c>
      <c r="R62" s="6" t="s">
        <v>9</v>
      </c>
      <c r="S62" s="6" t="str">
        <f t="shared" si="5"/>
        <v>微型客车未知商用车</v>
      </c>
      <c r="T62" s="5" t="s">
        <v>76</v>
      </c>
      <c r="U62" s="6" t="s">
        <v>62</v>
      </c>
      <c r="V62" s="6">
        <f t="shared" si="6"/>
        <v>9</v>
      </c>
    </row>
    <row r="63" spans="1:22" x14ac:dyDescent="0.2">
      <c r="A63">
        <v>62</v>
      </c>
      <c r="B63">
        <v>2021</v>
      </c>
      <c r="C63" t="s">
        <v>11</v>
      </c>
      <c r="D63" t="str">
        <f t="shared" si="0"/>
        <v>battery electric vehicle</v>
      </c>
      <c r="E63" t="s">
        <v>18</v>
      </c>
      <c r="F63" t="s">
        <v>8</v>
      </c>
      <c r="G63" t="s">
        <v>9</v>
      </c>
      <c r="H63" t="str">
        <f t="shared" si="1"/>
        <v>公交车</v>
      </c>
      <c r="I63" t="str">
        <f t="shared" si="2"/>
        <v>Passenger LDV</v>
      </c>
      <c r="J63">
        <v>9</v>
      </c>
      <c r="P63" s="6" t="s">
        <v>23</v>
      </c>
      <c r="Q63" s="6" t="s">
        <v>30</v>
      </c>
      <c r="R63" s="6" t="s">
        <v>9</v>
      </c>
      <c r="S63" s="6" t="str">
        <f t="shared" si="5"/>
        <v>轻型货车公路客运商用车</v>
      </c>
      <c r="T63" s="5" t="s">
        <v>78</v>
      </c>
      <c r="U63" s="6" t="s">
        <v>62</v>
      </c>
      <c r="V63" s="6">
        <f t="shared" si="6"/>
        <v>7</v>
      </c>
    </row>
    <row r="64" spans="1:22" x14ac:dyDescent="0.2">
      <c r="A64">
        <v>63</v>
      </c>
      <c r="B64">
        <v>2016</v>
      </c>
      <c r="C64" t="s">
        <v>13</v>
      </c>
      <c r="D64" t="str">
        <f t="shared" si="0"/>
        <v>gasoline vehicle</v>
      </c>
      <c r="E64" t="s">
        <v>18</v>
      </c>
      <c r="F64" t="s">
        <v>8</v>
      </c>
      <c r="G64" t="s">
        <v>9</v>
      </c>
      <c r="H64" t="str">
        <f t="shared" si="1"/>
        <v>公交车</v>
      </c>
      <c r="I64" t="str">
        <f t="shared" si="2"/>
        <v>Passenger LDV</v>
      </c>
      <c r="J64">
        <v>203</v>
      </c>
      <c r="P64" s="6" t="s">
        <v>20</v>
      </c>
      <c r="Q64" s="6" t="s">
        <v>31</v>
      </c>
      <c r="R64" s="6" t="s">
        <v>33</v>
      </c>
      <c r="S64" s="6" t="str">
        <f t="shared" si="5"/>
        <v>中型客车营运乘用车</v>
      </c>
      <c r="T64" s="5" t="s">
        <v>78</v>
      </c>
      <c r="U64" s="6" t="s">
        <v>64</v>
      </c>
      <c r="V64" s="6">
        <f t="shared" si="6"/>
        <v>5</v>
      </c>
    </row>
    <row r="65" spans="1:22" x14ac:dyDescent="0.2">
      <c r="A65">
        <v>64</v>
      </c>
      <c r="B65">
        <v>2017</v>
      </c>
      <c r="C65" t="s">
        <v>13</v>
      </c>
      <c r="D65" t="str">
        <f t="shared" si="0"/>
        <v>gasoline vehicle</v>
      </c>
      <c r="E65" t="s">
        <v>18</v>
      </c>
      <c r="F65" t="s">
        <v>8</v>
      </c>
      <c r="G65" t="s">
        <v>9</v>
      </c>
      <c r="H65" t="str">
        <f t="shared" si="1"/>
        <v>公交车</v>
      </c>
      <c r="I65" t="str">
        <f t="shared" si="2"/>
        <v>Passenger LDV</v>
      </c>
      <c r="J65">
        <v>46</v>
      </c>
      <c r="P65" s="6" t="s">
        <v>7</v>
      </c>
      <c r="Q65" s="6" t="s">
        <v>8</v>
      </c>
      <c r="R65" s="6" t="s">
        <v>33</v>
      </c>
      <c r="S65" s="6" t="str">
        <f t="shared" si="5"/>
        <v>大型客车城市公交乘用车</v>
      </c>
      <c r="T65" s="5" t="s">
        <v>77</v>
      </c>
      <c r="U65" s="6" t="s">
        <v>64</v>
      </c>
      <c r="V65" s="6">
        <f t="shared" si="6"/>
        <v>3</v>
      </c>
    </row>
    <row r="66" spans="1:22" x14ac:dyDescent="0.2">
      <c r="A66">
        <v>65</v>
      </c>
      <c r="B66">
        <v>2018</v>
      </c>
      <c r="C66" t="s">
        <v>13</v>
      </c>
      <c r="D66" t="str">
        <f t="shared" ref="D66:D129" si="7">VLOOKUP(C66,M$3:N$16,2,FALSE)</f>
        <v>gasoline vehicle</v>
      </c>
      <c r="E66" t="s">
        <v>18</v>
      </c>
      <c r="F66" t="s">
        <v>8</v>
      </c>
      <c r="G66" t="s">
        <v>9</v>
      </c>
      <c r="H66" t="str">
        <f t="shared" si="1"/>
        <v>公交车</v>
      </c>
      <c r="I66" t="str">
        <f t="shared" si="2"/>
        <v>Passenger LDV</v>
      </c>
      <c r="J66">
        <v>176</v>
      </c>
      <c r="P66" s="6" t="s">
        <v>28</v>
      </c>
      <c r="Q66" s="6" t="s">
        <v>31</v>
      </c>
      <c r="R66" s="6" t="s">
        <v>33</v>
      </c>
      <c r="S66" s="6" t="str">
        <f t="shared" si="5"/>
        <v>微型客车营运乘用车</v>
      </c>
      <c r="T66" s="5" t="s">
        <v>76</v>
      </c>
      <c r="U66" s="6" t="s">
        <v>62</v>
      </c>
      <c r="V66" s="6">
        <f t="shared" si="6"/>
        <v>3</v>
      </c>
    </row>
    <row r="67" spans="1:22" x14ac:dyDescent="0.2">
      <c r="A67">
        <v>66</v>
      </c>
      <c r="B67">
        <v>2019</v>
      </c>
      <c r="C67" t="s">
        <v>13</v>
      </c>
      <c r="D67" t="str">
        <f t="shared" si="7"/>
        <v>gasoline vehicle</v>
      </c>
      <c r="E67" t="s">
        <v>18</v>
      </c>
      <c r="F67" t="s">
        <v>8</v>
      </c>
      <c r="G67" t="s">
        <v>9</v>
      </c>
      <c r="H67" t="str">
        <f t="shared" ref="H67:H130" si="8">VLOOKUP(E67&amp;F67&amp;G67,$S$3:$U$68,2,FALSE)</f>
        <v>公交车</v>
      </c>
      <c r="I67" t="str">
        <f t="shared" ref="I67:I130" si="9">VLOOKUP(E67&amp;F67&amp;G67,$S$3:$U$68,3,FALSE)</f>
        <v>Passenger LDV</v>
      </c>
      <c r="J67">
        <v>92</v>
      </c>
      <c r="P67" s="6" t="s">
        <v>28</v>
      </c>
      <c r="Q67" s="6" t="s">
        <v>31</v>
      </c>
      <c r="R67" s="6" t="s">
        <v>9</v>
      </c>
      <c r="S67" s="6" t="str">
        <f t="shared" ref="S67:S68" si="10">P67&amp;Q67&amp;R67</f>
        <v>微型客车营运商用车</v>
      </c>
      <c r="T67" s="5" t="s">
        <v>76</v>
      </c>
      <c r="U67" s="6" t="s">
        <v>62</v>
      </c>
      <c r="V67" s="6">
        <f t="shared" si="6"/>
        <v>2</v>
      </c>
    </row>
    <row r="68" spans="1:22" x14ac:dyDescent="0.2">
      <c r="A68">
        <v>67</v>
      </c>
      <c r="B68">
        <v>2020</v>
      </c>
      <c r="C68" t="s">
        <v>13</v>
      </c>
      <c r="D68" t="str">
        <f t="shared" si="7"/>
        <v>gasoline vehicle</v>
      </c>
      <c r="E68" t="s">
        <v>18</v>
      </c>
      <c r="F68" t="s">
        <v>8</v>
      </c>
      <c r="G68" t="s">
        <v>9</v>
      </c>
      <c r="H68" t="str">
        <f t="shared" si="8"/>
        <v>公交车</v>
      </c>
      <c r="I68" t="str">
        <f t="shared" si="9"/>
        <v>Passenger LDV</v>
      </c>
      <c r="J68">
        <v>106</v>
      </c>
      <c r="P68" s="6" t="s">
        <v>34</v>
      </c>
      <c r="Q68" s="6" t="s">
        <v>30</v>
      </c>
      <c r="R68" s="6" t="s">
        <v>33</v>
      </c>
      <c r="S68" s="6" t="str">
        <f t="shared" si="10"/>
        <v>NULL公路客运乘用车</v>
      </c>
      <c r="T68" s="6" t="s">
        <v>68</v>
      </c>
      <c r="U68" s="6" t="s">
        <v>68</v>
      </c>
      <c r="V68" s="6">
        <f t="shared" si="6"/>
        <v>1</v>
      </c>
    </row>
    <row r="69" spans="1:22" x14ac:dyDescent="0.2">
      <c r="A69">
        <v>68</v>
      </c>
      <c r="B69">
        <v>2021</v>
      </c>
      <c r="C69" t="s">
        <v>13</v>
      </c>
      <c r="D69" t="str">
        <f t="shared" si="7"/>
        <v>gasoline vehicle</v>
      </c>
      <c r="E69" t="s">
        <v>18</v>
      </c>
      <c r="F69" t="s">
        <v>8</v>
      </c>
      <c r="G69" t="s">
        <v>9</v>
      </c>
      <c r="H69" t="str">
        <f t="shared" si="8"/>
        <v>公交车</v>
      </c>
      <c r="I69" t="str">
        <f t="shared" si="9"/>
        <v>Passenger LDV</v>
      </c>
      <c r="J69">
        <v>34</v>
      </c>
    </row>
    <row r="70" spans="1:22" x14ac:dyDescent="0.2">
      <c r="A70">
        <v>69</v>
      </c>
      <c r="B70">
        <v>2016</v>
      </c>
      <c r="C70" t="s">
        <v>14</v>
      </c>
      <c r="D70" t="str">
        <f t="shared" si="7"/>
        <v>natural gas vehicle</v>
      </c>
      <c r="E70" t="s">
        <v>18</v>
      </c>
      <c r="F70" t="s">
        <v>8</v>
      </c>
      <c r="G70" t="s">
        <v>9</v>
      </c>
      <c r="H70" t="str">
        <f t="shared" si="8"/>
        <v>公交车</v>
      </c>
      <c r="I70" t="str">
        <f t="shared" si="9"/>
        <v>Passenger LDV</v>
      </c>
      <c r="J70">
        <v>88</v>
      </c>
    </row>
    <row r="71" spans="1:22" x14ac:dyDescent="0.2">
      <c r="A71">
        <v>70</v>
      </c>
      <c r="B71">
        <v>2017</v>
      </c>
      <c r="C71" t="s">
        <v>14</v>
      </c>
      <c r="D71" t="str">
        <f t="shared" si="7"/>
        <v>natural gas vehicle</v>
      </c>
      <c r="E71" t="s">
        <v>18</v>
      </c>
      <c r="F71" t="s">
        <v>8</v>
      </c>
      <c r="G71" t="s">
        <v>9</v>
      </c>
      <c r="H71" t="str">
        <f t="shared" si="8"/>
        <v>公交车</v>
      </c>
      <c r="I71" t="str">
        <f t="shared" si="9"/>
        <v>Passenger LDV</v>
      </c>
      <c r="J71">
        <v>11</v>
      </c>
    </row>
    <row r="72" spans="1:22" x14ac:dyDescent="0.2">
      <c r="A72">
        <v>71</v>
      </c>
      <c r="B72">
        <v>2018</v>
      </c>
      <c r="C72" t="s">
        <v>14</v>
      </c>
      <c r="D72" t="str">
        <f t="shared" si="7"/>
        <v>natural gas vehicle</v>
      </c>
      <c r="E72" t="s">
        <v>18</v>
      </c>
      <c r="F72" t="s">
        <v>8</v>
      </c>
      <c r="G72" t="s">
        <v>9</v>
      </c>
      <c r="H72" t="str">
        <f t="shared" si="8"/>
        <v>公交车</v>
      </c>
      <c r="I72" t="str">
        <f t="shared" si="9"/>
        <v>Passenger LDV</v>
      </c>
      <c r="J72">
        <v>60</v>
      </c>
    </row>
    <row r="73" spans="1:22" x14ac:dyDescent="0.2">
      <c r="A73">
        <v>72</v>
      </c>
      <c r="B73">
        <v>2019</v>
      </c>
      <c r="C73" t="s">
        <v>14</v>
      </c>
      <c r="D73" t="str">
        <f t="shared" si="7"/>
        <v>natural gas vehicle</v>
      </c>
      <c r="E73" t="s">
        <v>18</v>
      </c>
      <c r="F73" t="s">
        <v>8</v>
      </c>
      <c r="G73" t="s">
        <v>9</v>
      </c>
      <c r="H73" t="str">
        <f t="shared" si="8"/>
        <v>公交车</v>
      </c>
      <c r="I73" t="str">
        <f t="shared" si="9"/>
        <v>Passenger LDV</v>
      </c>
      <c r="J73">
        <v>129</v>
      </c>
    </row>
    <row r="74" spans="1:22" x14ac:dyDescent="0.2">
      <c r="A74">
        <v>73</v>
      </c>
      <c r="B74">
        <v>2020</v>
      </c>
      <c r="C74" t="s">
        <v>14</v>
      </c>
      <c r="D74" t="str">
        <f t="shared" si="7"/>
        <v>natural gas vehicle</v>
      </c>
      <c r="E74" t="s">
        <v>18</v>
      </c>
      <c r="F74" t="s">
        <v>8</v>
      </c>
      <c r="G74" t="s">
        <v>9</v>
      </c>
      <c r="H74" t="str">
        <f t="shared" si="8"/>
        <v>公交车</v>
      </c>
      <c r="I74" t="str">
        <f t="shared" si="9"/>
        <v>Passenger LDV</v>
      </c>
      <c r="J74">
        <v>82</v>
      </c>
    </row>
    <row r="75" spans="1:22" x14ac:dyDescent="0.2">
      <c r="A75">
        <v>74</v>
      </c>
      <c r="B75">
        <v>2016</v>
      </c>
      <c r="C75" t="s">
        <v>16</v>
      </c>
      <c r="D75" t="str">
        <f t="shared" si="7"/>
        <v>natural gas vehicle</v>
      </c>
      <c r="E75" t="s">
        <v>18</v>
      </c>
      <c r="F75" t="s">
        <v>8</v>
      </c>
      <c r="G75" t="s">
        <v>9</v>
      </c>
      <c r="H75" t="str">
        <f t="shared" si="8"/>
        <v>公交车</v>
      </c>
      <c r="I75" t="str">
        <f t="shared" si="9"/>
        <v>Passenger LDV</v>
      </c>
      <c r="J75">
        <v>5</v>
      </c>
    </row>
    <row r="76" spans="1:22" x14ac:dyDescent="0.2">
      <c r="A76">
        <v>75</v>
      </c>
      <c r="B76">
        <v>2017</v>
      </c>
      <c r="C76" t="s">
        <v>16</v>
      </c>
      <c r="D76" t="str">
        <f t="shared" si="7"/>
        <v>natural gas vehicle</v>
      </c>
      <c r="E76" t="s">
        <v>18</v>
      </c>
      <c r="F76" t="s">
        <v>8</v>
      </c>
      <c r="G76" t="s">
        <v>9</v>
      </c>
      <c r="H76" t="str">
        <f t="shared" si="8"/>
        <v>公交车</v>
      </c>
      <c r="I76" t="str">
        <f t="shared" si="9"/>
        <v>Passenger LDV</v>
      </c>
      <c r="J76">
        <v>256</v>
      </c>
    </row>
    <row r="77" spans="1:22" x14ac:dyDescent="0.2">
      <c r="A77">
        <v>76</v>
      </c>
      <c r="B77">
        <v>2018</v>
      </c>
      <c r="C77" t="s">
        <v>16</v>
      </c>
      <c r="D77" t="str">
        <f t="shared" si="7"/>
        <v>natural gas vehicle</v>
      </c>
      <c r="E77" t="s">
        <v>18</v>
      </c>
      <c r="F77" t="s">
        <v>8</v>
      </c>
      <c r="G77" t="s">
        <v>9</v>
      </c>
      <c r="H77" t="str">
        <f t="shared" si="8"/>
        <v>公交车</v>
      </c>
      <c r="I77" t="str">
        <f t="shared" si="9"/>
        <v>Passenger LDV</v>
      </c>
      <c r="J77">
        <v>115</v>
      </c>
    </row>
    <row r="78" spans="1:22" x14ac:dyDescent="0.2">
      <c r="A78">
        <v>77</v>
      </c>
      <c r="B78">
        <v>2019</v>
      </c>
      <c r="C78" t="s">
        <v>16</v>
      </c>
      <c r="D78" t="str">
        <f t="shared" si="7"/>
        <v>natural gas vehicle</v>
      </c>
      <c r="E78" t="s">
        <v>18</v>
      </c>
      <c r="F78" t="s">
        <v>8</v>
      </c>
      <c r="G78" t="s">
        <v>9</v>
      </c>
      <c r="H78" t="str">
        <f t="shared" si="8"/>
        <v>公交车</v>
      </c>
      <c r="I78" t="str">
        <f t="shared" si="9"/>
        <v>Passenger LDV</v>
      </c>
      <c r="J78">
        <v>40</v>
      </c>
    </row>
    <row r="79" spans="1:22" x14ac:dyDescent="0.2">
      <c r="A79">
        <v>78</v>
      </c>
      <c r="B79">
        <v>2020</v>
      </c>
      <c r="C79" t="s">
        <v>16</v>
      </c>
      <c r="D79" t="str">
        <f t="shared" si="7"/>
        <v>natural gas vehicle</v>
      </c>
      <c r="E79" t="s">
        <v>18</v>
      </c>
      <c r="F79" t="s">
        <v>8</v>
      </c>
      <c r="G79" t="s">
        <v>9</v>
      </c>
      <c r="H79" t="str">
        <f t="shared" si="8"/>
        <v>公交车</v>
      </c>
      <c r="I79" t="str">
        <f t="shared" si="9"/>
        <v>Passenger LDV</v>
      </c>
      <c r="J79">
        <v>1</v>
      </c>
    </row>
    <row r="80" spans="1:22" x14ac:dyDescent="0.2">
      <c r="A80">
        <v>79</v>
      </c>
      <c r="B80">
        <v>2017</v>
      </c>
      <c r="C80" t="s">
        <v>10</v>
      </c>
      <c r="D80" t="str">
        <f t="shared" si="7"/>
        <v>diesel vehicle</v>
      </c>
      <c r="E80" t="s">
        <v>19</v>
      </c>
      <c r="F80" t="s">
        <v>8</v>
      </c>
      <c r="G80" t="s">
        <v>9</v>
      </c>
      <c r="H80" t="str">
        <f t="shared" si="8"/>
        <v>公交车</v>
      </c>
      <c r="I80" t="str">
        <f t="shared" si="9"/>
        <v>Passenger HDV</v>
      </c>
      <c r="J80">
        <v>51</v>
      </c>
    </row>
    <row r="81" spans="1:10" x14ac:dyDescent="0.2">
      <c r="A81">
        <v>80</v>
      </c>
      <c r="B81">
        <v>2015</v>
      </c>
      <c r="C81" t="s">
        <v>11</v>
      </c>
      <c r="D81" t="str">
        <f t="shared" si="7"/>
        <v>battery electric vehicle</v>
      </c>
      <c r="E81" t="s">
        <v>19</v>
      </c>
      <c r="F81" t="s">
        <v>8</v>
      </c>
      <c r="G81" t="s">
        <v>9</v>
      </c>
      <c r="H81" t="str">
        <f t="shared" si="8"/>
        <v>公交车</v>
      </c>
      <c r="I81" t="str">
        <f t="shared" si="9"/>
        <v>Passenger HDV</v>
      </c>
      <c r="J81">
        <v>2</v>
      </c>
    </row>
    <row r="82" spans="1:10" x14ac:dyDescent="0.2">
      <c r="A82">
        <v>81</v>
      </c>
      <c r="B82">
        <v>2017</v>
      </c>
      <c r="C82" t="s">
        <v>11</v>
      </c>
      <c r="D82" t="str">
        <f t="shared" si="7"/>
        <v>battery electric vehicle</v>
      </c>
      <c r="E82" t="s">
        <v>19</v>
      </c>
      <c r="F82" t="s">
        <v>8</v>
      </c>
      <c r="G82" t="s">
        <v>9</v>
      </c>
      <c r="H82" t="str">
        <f t="shared" si="8"/>
        <v>公交车</v>
      </c>
      <c r="I82" t="str">
        <f t="shared" si="9"/>
        <v>Passenger HDV</v>
      </c>
      <c r="J82">
        <v>83</v>
      </c>
    </row>
    <row r="83" spans="1:10" x14ac:dyDescent="0.2">
      <c r="A83">
        <v>82</v>
      </c>
      <c r="B83">
        <v>2017</v>
      </c>
      <c r="C83" t="s">
        <v>16</v>
      </c>
      <c r="D83" t="str">
        <f t="shared" si="7"/>
        <v>natural gas vehicle</v>
      </c>
      <c r="E83" t="s">
        <v>19</v>
      </c>
      <c r="F83" t="s">
        <v>8</v>
      </c>
      <c r="G83" t="s">
        <v>9</v>
      </c>
      <c r="H83" t="str">
        <f t="shared" si="8"/>
        <v>公交车</v>
      </c>
      <c r="I83" t="str">
        <f t="shared" si="9"/>
        <v>Passenger HDV</v>
      </c>
      <c r="J83">
        <v>137</v>
      </c>
    </row>
    <row r="84" spans="1:10" x14ac:dyDescent="0.2">
      <c r="A84">
        <v>83</v>
      </c>
      <c r="B84">
        <v>2015</v>
      </c>
      <c r="C84" t="s">
        <v>10</v>
      </c>
      <c r="D84" t="str">
        <f t="shared" si="7"/>
        <v>diesel vehicle</v>
      </c>
      <c r="E84" t="s">
        <v>20</v>
      </c>
      <c r="F84" t="s">
        <v>8</v>
      </c>
      <c r="G84" t="s">
        <v>9</v>
      </c>
      <c r="H84" t="str">
        <f t="shared" si="8"/>
        <v>公交车</v>
      </c>
      <c r="I84" t="str">
        <f t="shared" si="9"/>
        <v>Passenger HDV</v>
      </c>
      <c r="J84">
        <v>14322</v>
      </c>
    </row>
    <row r="85" spans="1:10" x14ac:dyDescent="0.2">
      <c r="A85">
        <v>84</v>
      </c>
      <c r="B85">
        <v>2016</v>
      </c>
      <c r="C85" t="s">
        <v>10</v>
      </c>
      <c r="D85" t="str">
        <f t="shared" si="7"/>
        <v>diesel vehicle</v>
      </c>
      <c r="E85" t="s">
        <v>20</v>
      </c>
      <c r="F85" t="s">
        <v>8</v>
      </c>
      <c r="G85" t="s">
        <v>9</v>
      </c>
      <c r="H85" t="str">
        <f t="shared" si="8"/>
        <v>公交车</v>
      </c>
      <c r="I85" t="str">
        <f t="shared" si="9"/>
        <v>Passenger HDV</v>
      </c>
      <c r="J85">
        <v>2173</v>
      </c>
    </row>
    <row r="86" spans="1:10" x14ac:dyDescent="0.2">
      <c r="A86">
        <v>85</v>
      </c>
      <c r="B86">
        <v>2017</v>
      </c>
      <c r="C86" t="s">
        <v>10</v>
      </c>
      <c r="D86" t="str">
        <f t="shared" si="7"/>
        <v>diesel vehicle</v>
      </c>
      <c r="E86" t="s">
        <v>20</v>
      </c>
      <c r="F86" t="s">
        <v>8</v>
      </c>
      <c r="G86" t="s">
        <v>9</v>
      </c>
      <c r="H86" t="str">
        <f t="shared" si="8"/>
        <v>公交车</v>
      </c>
      <c r="I86" t="str">
        <f t="shared" si="9"/>
        <v>Passenger HDV</v>
      </c>
      <c r="J86">
        <v>1873</v>
      </c>
    </row>
    <row r="87" spans="1:10" x14ac:dyDescent="0.2">
      <c r="A87">
        <v>86</v>
      </c>
      <c r="B87">
        <v>2018</v>
      </c>
      <c r="C87" t="s">
        <v>10</v>
      </c>
      <c r="D87" t="str">
        <f t="shared" si="7"/>
        <v>diesel vehicle</v>
      </c>
      <c r="E87" t="s">
        <v>20</v>
      </c>
      <c r="F87" t="s">
        <v>8</v>
      </c>
      <c r="G87" t="s">
        <v>9</v>
      </c>
      <c r="H87" t="str">
        <f t="shared" si="8"/>
        <v>公交车</v>
      </c>
      <c r="I87" t="str">
        <f t="shared" si="9"/>
        <v>Passenger HDV</v>
      </c>
      <c r="J87">
        <v>879</v>
      </c>
    </row>
    <row r="88" spans="1:10" x14ac:dyDescent="0.2">
      <c r="A88">
        <v>87</v>
      </c>
      <c r="B88">
        <v>2019</v>
      </c>
      <c r="C88" t="s">
        <v>10</v>
      </c>
      <c r="D88" t="str">
        <f t="shared" si="7"/>
        <v>diesel vehicle</v>
      </c>
      <c r="E88" t="s">
        <v>20</v>
      </c>
      <c r="F88" t="s">
        <v>8</v>
      </c>
      <c r="G88" t="s">
        <v>9</v>
      </c>
      <c r="H88" t="str">
        <f t="shared" si="8"/>
        <v>公交车</v>
      </c>
      <c r="I88" t="str">
        <f t="shared" si="9"/>
        <v>Passenger HDV</v>
      </c>
      <c r="J88">
        <v>867</v>
      </c>
    </row>
    <row r="89" spans="1:10" x14ac:dyDescent="0.2">
      <c r="A89">
        <v>88</v>
      </c>
      <c r="B89">
        <v>2020</v>
      </c>
      <c r="C89" t="s">
        <v>10</v>
      </c>
      <c r="D89" t="str">
        <f t="shared" si="7"/>
        <v>diesel vehicle</v>
      </c>
      <c r="E89" t="s">
        <v>20</v>
      </c>
      <c r="F89" t="s">
        <v>8</v>
      </c>
      <c r="G89" t="s">
        <v>9</v>
      </c>
      <c r="H89" t="str">
        <f t="shared" si="8"/>
        <v>公交车</v>
      </c>
      <c r="I89" t="str">
        <f t="shared" si="9"/>
        <v>Passenger HDV</v>
      </c>
      <c r="J89">
        <v>130</v>
      </c>
    </row>
    <row r="90" spans="1:10" x14ac:dyDescent="0.2">
      <c r="A90">
        <v>89</v>
      </c>
      <c r="B90">
        <v>2021</v>
      </c>
      <c r="C90" t="s">
        <v>10</v>
      </c>
      <c r="D90" t="str">
        <f t="shared" si="7"/>
        <v>diesel vehicle</v>
      </c>
      <c r="E90" t="s">
        <v>20</v>
      </c>
      <c r="F90" t="s">
        <v>8</v>
      </c>
      <c r="G90" t="s">
        <v>9</v>
      </c>
      <c r="H90" t="str">
        <f t="shared" si="8"/>
        <v>公交车</v>
      </c>
      <c r="I90" t="str">
        <f t="shared" si="9"/>
        <v>Passenger HDV</v>
      </c>
      <c r="J90">
        <v>146</v>
      </c>
    </row>
    <row r="91" spans="1:10" x14ac:dyDescent="0.2">
      <c r="A91">
        <v>90</v>
      </c>
      <c r="B91">
        <v>2018</v>
      </c>
      <c r="C91" t="s">
        <v>11</v>
      </c>
      <c r="D91" t="str">
        <f t="shared" si="7"/>
        <v>battery electric vehicle</v>
      </c>
      <c r="E91" t="s">
        <v>20</v>
      </c>
      <c r="F91" t="s">
        <v>8</v>
      </c>
      <c r="G91" t="s">
        <v>9</v>
      </c>
      <c r="H91" t="str">
        <f t="shared" si="8"/>
        <v>公交车</v>
      </c>
      <c r="I91" t="str">
        <f t="shared" si="9"/>
        <v>Passenger HDV</v>
      </c>
      <c r="J91">
        <v>62</v>
      </c>
    </row>
    <row r="92" spans="1:10" x14ac:dyDescent="0.2">
      <c r="A92">
        <v>91</v>
      </c>
      <c r="B92">
        <v>2019</v>
      </c>
      <c r="C92" t="s">
        <v>11</v>
      </c>
      <c r="D92" t="str">
        <f t="shared" si="7"/>
        <v>battery electric vehicle</v>
      </c>
      <c r="E92" t="s">
        <v>20</v>
      </c>
      <c r="F92" t="s">
        <v>8</v>
      </c>
      <c r="G92" t="s">
        <v>9</v>
      </c>
      <c r="H92" t="str">
        <f t="shared" si="8"/>
        <v>公交车</v>
      </c>
      <c r="I92" t="str">
        <f t="shared" si="9"/>
        <v>Passenger HDV</v>
      </c>
      <c r="J92">
        <v>1105</v>
      </c>
    </row>
    <row r="93" spans="1:10" x14ac:dyDescent="0.2">
      <c r="A93">
        <v>92</v>
      </c>
      <c r="B93">
        <v>2020</v>
      </c>
      <c r="C93" t="s">
        <v>11</v>
      </c>
      <c r="D93" t="str">
        <f t="shared" si="7"/>
        <v>battery electric vehicle</v>
      </c>
      <c r="E93" t="s">
        <v>20</v>
      </c>
      <c r="F93" t="s">
        <v>8</v>
      </c>
      <c r="G93" t="s">
        <v>9</v>
      </c>
      <c r="H93" t="str">
        <f t="shared" si="8"/>
        <v>公交车</v>
      </c>
      <c r="I93" t="str">
        <f t="shared" si="9"/>
        <v>Passenger HDV</v>
      </c>
      <c r="J93">
        <v>1093</v>
      </c>
    </row>
    <row r="94" spans="1:10" x14ac:dyDescent="0.2">
      <c r="A94">
        <v>93</v>
      </c>
      <c r="B94">
        <v>2021</v>
      </c>
      <c r="C94" t="s">
        <v>11</v>
      </c>
      <c r="D94" t="str">
        <f t="shared" si="7"/>
        <v>battery electric vehicle</v>
      </c>
      <c r="E94" t="s">
        <v>20</v>
      </c>
      <c r="F94" t="s">
        <v>8</v>
      </c>
      <c r="G94" t="s">
        <v>9</v>
      </c>
      <c r="H94" t="str">
        <f t="shared" si="8"/>
        <v>公交车</v>
      </c>
      <c r="I94" t="str">
        <f t="shared" si="9"/>
        <v>Passenger HDV</v>
      </c>
      <c r="J94">
        <v>1474</v>
      </c>
    </row>
    <row r="95" spans="1:10" x14ac:dyDescent="0.2">
      <c r="A95">
        <v>94</v>
      </c>
      <c r="B95">
        <v>2015</v>
      </c>
      <c r="C95" t="s">
        <v>13</v>
      </c>
      <c r="D95" t="str">
        <f t="shared" si="7"/>
        <v>gasoline vehicle</v>
      </c>
      <c r="E95" t="s">
        <v>20</v>
      </c>
      <c r="F95" t="s">
        <v>8</v>
      </c>
      <c r="G95" t="s">
        <v>9</v>
      </c>
      <c r="H95" t="str">
        <f t="shared" si="8"/>
        <v>公交车</v>
      </c>
      <c r="I95" t="str">
        <f t="shared" si="9"/>
        <v>Passenger HDV</v>
      </c>
      <c r="J95">
        <v>3092</v>
      </c>
    </row>
    <row r="96" spans="1:10" x14ac:dyDescent="0.2">
      <c r="A96">
        <v>95</v>
      </c>
      <c r="B96">
        <v>2016</v>
      </c>
      <c r="C96" t="s">
        <v>13</v>
      </c>
      <c r="D96" t="str">
        <f t="shared" si="7"/>
        <v>gasoline vehicle</v>
      </c>
      <c r="E96" t="s">
        <v>20</v>
      </c>
      <c r="F96" t="s">
        <v>8</v>
      </c>
      <c r="G96" t="s">
        <v>9</v>
      </c>
      <c r="H96" t="str">
        <f t="shared" si="8"/>
        <v>公交车</v>
      </c>
      <c r="I96" t="str">
        <f t="shared" si="9"/>
        <v>Passenger HDV</v>
      </c>
      <c r="J96">
        <v>39</v>
      </c>
    </row>
    <row r="97" spans="1:10" x14ac:dyDescent="0.2">
      <c r="A97">
        <v>96</v>
      </c>
      <c r="B97">
        <v>2017</v>
      </c>
      <c r="C97" t="s">
        <v>13</v>
      </c>
      <c r="D97" t="str">
        <f t="shared" si="7"/>
        <v>gasoline vehicle</v>
      </c>
      <c r="E97" t="s">
        <v>20</v>
      </c>
      <c r="F97" t="s">
        <v>8</v>
      </c>
      <c r="G97" t="s">
        <v>9</v>
      </c>
      <c r="H97" t="str">
        <f t="shared" si="8"/>
        <v>公交车</v>
      </c>
      <c r="I97" t="str">
        <f t="shared" si="9"/>
        <v>Passenger HDV</v>
      </c>
      <c r="J97">
        <v>73</v>
      </c>
    </row>
    <row r="98" spans="1:10" x14ac:dyDescent="0.2">
      <c r="A98">
        <v>97</v>
      </c>
      <c r="B98">
        <v>2018</v>
      </c>
      <c r="C98" t="s">
        <v>13</v>
      </c>
      <c r="D98" t="str">
        <f t="shared" si="7"/>
        <v>gasoline vehicle</v>
      </c>
      <c r="E98" t="s">
        <v>20</v>
      </c>
      <c r="F98" t="s">
        <v>8</v>
      </c>
      <c r="G98" t="s">
        <v>9</v>
      </c>
      <c r="H98" t="str">
        <f t="shared" si="8"/>
        <v>公交车</v>
      </c>
      <c r="I98" t="str">
        <f t="shared" si="9"/>
        <v>Passenger HDV</v>
      </c>
      <c r="J98">
        <v>31</v>
      </c>
    </row>
    <row r="99" spans="1:10" x14ac:dyDescent="0.2">
      <c r="A99">
        <v>98</v>
      </c>
      <c r="B99">
        <v>2019</v>
      </c>
      <c r="C99" t="s">
        <v>13</v>
      </c>
      <c r="D99" t="str">
        <f t="shared" si="7"/>
        <v>gasoline vehicle</v>
      </c>
      <c r="E99" t="s">
        <v>20</v>
      </c>
      <c r="F99" t="s">
        <v>8</v>
      </c>
      <c r="G99" t="s">
        <v>9</v>
      </c>
      <c r="H99" t="str">
        <f t="shared" si="8"/>
        <v>公交车</v>
      </c>
      <c r="I99" t="str">
        <f t="shared" si="9"/>
        <v>Passenger HDV</v>
      </c>
      <c r="J99">
        <v>145</v>
      </c>
    </row>
    <row r="100" spans="1:10" x14ac:dyDescent="0.2">
      <c r="A100">
        <v>99</v>
      </c>
      <c r="B100">
        <v>2020</v>
      </c>
      <c r="C100" t="s">
        <v>13</v>
      </c>
      <c r="D100" t="str">
        <f t="shared" si="7"/>
        <v>gasoline vehicle</v>
      </c>
      <c r="E100" t="s">
        <v>20</v>
      </c>
      <c r="F100" t="s">
        <v>8</v>
      </c>
      <c r="G100" t="s">
        <v>9</v>
      </c>
      <c r="H100" t="str">
        <f t="shared" si="8"/>
        <v>公交车</v>
      </c>
      <c r="I100" t="str">
        <f t="shared" si="9"/>
        <v>Passenger HDV</v>
      </c>
      <c r="J100">
        <v>37</v>
      </c>
    </row>
    <row r="101" spans="1:10" x14ac:dyDescent="0.2">
      <c r="A101">
        <v>100</v>
      </c>
      <c r="B101">
        <v>2021</v>
      </c>
      <c r="C101" t="s">
        <v>13</v>
      </c>
      <c r="D101" t="str">
        <f t="shared" si="7"/>
        <v>gasoline vehicle</v>
      </c>
      <c r="E101" t="s">
        <v>20</v>
      </c>
      <c r="F101" t="s">
        <v>8</v>
      </c>
      <c r="G101" t="s">
        <v>9</v>
      </c>
      <c r="H101" t="str">
        <f t="shared" si="8"/>
        <v>公交车</v>
      </c>
      <c r="I101" t="str">
        <f t="shared" si="9"/>
        <v>Passenger HDV</v>
      </c>
      <c r="J101">
        <v>45</v>
      </c>
    </row>
    <row r="102" spans="1:10" x14ac:dyDescent="0.2">
      <c r="A102">
        <v>101</v>
      </c>
      <c r="B102">
        <v>2015</v>
      </c>
      <c r="C102" t="s">
        <v>14</v>
      </c>
      <c r="D102" t="str">
        <f t="shared" si="7"/>
        <v>natural gas vehicle</v>
      </c>
      <c r="E102" t="s">
        <v>20</v>
      </c>
      <c r="F102" t="s">
        <v>8</v>
      </c>
      <c r="G102" t="s">
        <v>9</v>
      </c>
      <c r="H102" t="str">
        <f t="shared" si="8"/>
        <v>公交车</v>
      </c>
      <c r="I102" t="str">
        <f t="shared" si="9"/>
        <v>Passenger HDV</v>
      </c>
      <c r="J102">
        <v>309</v>
      </c>
    </row>
    <row r="103" spans="1:10" x14ac:dyDescent="0.2">
      <c r="A103">
        <v>102</v>
      </c>
      <c r="B103">
        <v>2016</v>
      </c>
      <c r="C103" t="s">
        <v>14</v>
      </c>
      <c r="D103" t="str">
        <f t="shared" si="7"/>
        <v>natural gas vehicle</v>
      </c>
      <c r="E103" t="s">
        <v>20</v>
      </c>
      <c r="F103" t="s">
        <v>8</v>
      </c>
      <c r="G103" t="s">
        <v>9</v>
      </c>
      <c r="H103" t="str">
        <f t="shared" si="8"/>
        <v>公交车</v>
      </c>
      <c r="I103" t="str">
        <f t="shared" si="9"/>
        <v>Passenger HDV</v>
      </c>
      <c r="J103">
        <v>29</v>
      </c>
    </row>
    <row r="104" spans="1:10" x14ac:dyDescent="0.2">
      <c r="A104">
        <v>103</v>
      </c>
      <c r="B104">
        <v>2017</v>
      </c>
      <c r="C104" t="s">
        <v>14</v>
      </c>
      <c r="D104" t="str">
        <f t="shared" si="7"/>
        <v>natural gas vehicle</v>
      </c>
      <c r="E104" t="s">
        <v>20</v>
      </c>
      <c r="F104" t="s">
        <v>8</v>
      </c>
      <c r="G104" t="s">
        <v>9</v>
      </c>
      <c r="H104" t="str">
        <f t="shared" si="8"/>
        <v>公交车</v>
      </c>
      <c r="I104" t="str">
        <f t="shared" si="9"/>
        <v>Passenger HDV</v>
      </c>
      <c r="J104">
        <v>46</v>
      </c>
    </row>
    <row r="105" spans="1:10" x14ac:dyDescent="0.2">
      <c r="A105">
        <v>104</v>
      </c>
      <c r="B105">
        <v>2020</v>
      </c>
      <c r="C105" t="s">
        <v>14</v>
      </c>
      <c r="D105" t="str">
        <f t="shared" si="7"/>
        <v>natural gas vehicle</v>
      </c>
      <c r="E105" t="s">
        <v>20</v>
      </c>
      <c r="F105" t="s">
        <v>8</v>
      </c>
      <c r="G105" t="s">
        <v>9</v>
      </c>
      <c r="H105" t="str">
        <f t="shared" si="8"/>
        <v>公交车</v>
      </c>
      <c r="I105" t="str">
        <f t="shared" si="9"/>
        <v>Passenger HDV</v>
      </c>
      <c r="J105">
        <v>15</v>
      </c>
    </row>
    <row r="106" spans="1:10" x14ac:dyDescent="0.2">
      <c r="A106">
        <v>105</v>
      </c>
      <c r="B106">
        <v>2015</v>
      </c>
      <c r="C106" t="s">
        <v>16</v>
      </c>
      <c r="D106" t="str">
        <f t="shared" si="7"/>
        <v>natural gas vehicle</v>
      </c>
      <c r="E106" t="s">
        <v>20</v>
      </c>
      <c r="F106" t="s">
        <v>8</v>
      </c>
      <c r="G106" t="s">
        <v>9</v>
      </c>
      <c r="H106" t="str">
        <f t="shared" si="8"/>
        <v>公交车</v>
      </c>
      <c r="I106" t="str">
        <f t="shared" si="9"/>
        <v>Passenger HDV</v>
      </c>
      <c r="J106">
        <v>1141</v>
      </c>
    </row>
    <row r="107" spans="1:10" x14ac:dyDescent="0.2">
      <c r="A107">
        <v>106</v>
      </c>
      <c r="B107">
        <v>2016</v>
      </c>
      <c r="C107" t="s">
        <v>16</v>
      </c>
      <c r="D107" t="str">
        <f t="shared" si="7"/>
        <v>natural gas vehicle</v>
      </c>
      <c r="E107" t="s">
        <v>20</v>
      </c>
      <c r="F107" t="s">
        <v>8</v>
      </c>
      <c r="G107" t="s">
        <v>9</v>
      </c>
      <c r="H107" t="str">
        <f t="shared" si="8"/>
        <v>公交车</v>
      </c>
      <c r="I107" t="str">
        <f t="shared" si="9"/>
        <v>Passenger HDV</v>
      </c>
      <c r="J107">
        <v>804</v>
      </c>
    </row>
    <row r="108" spans="1:10" x14ac:dyDescent="0.2">
      <c r="A108">
        <v>107</v>
      </c>
      <c r="B108">
        <v>2017</v>
      </c>
      <c r="C108" t="s">
        <v>16</v>
      </c>
      <c r="D108" t="str">
        <f t="shared" si="7"/>
        <v>natural gas vehicle</v>
      </c>
      <c r="E108" t="s">
        <v>20</v>
      </c>
      <c r="F108" t="s">
        <v>8</v>
      </c>
      <c r="G108" t="s">
        <v>9</v>
      </c>
      <c r="H108" t="str">
        <f t="shared" si="8"/>
        <v>公交车</v>
      </c>
      <c r="I108" t="str">
        <f t="shared" si="9"/>
        <v>Passenger HDV</v>
      </c>
      <c r="J108">
        <v>397</v>
      </c>
    </row>
    <row r="109" spans="1:10" x14ac:dyDescent="0.2">
      <c r="A109">
        <v>108</v>
      </c>
      <c r="B109">
        <v>2018</v>
      </c>
      <c r="C109" t="s">
        <v>16</v>
      </c>
      <c r="D109" t="str">
        <f t="shared" si="7"/>
        <v>natural gas vehicle</v>
      </c>
      <c r="E109" t="s">
        <v>20</v>
      </c>
      <c r="F109" t="s">
        <v>8</v>
      </c>
      <c r="G109" t="s">
        <v>9</v>
      </c>
      <c r="H109" t="str">
        <f t="shared" si="8"/>
        <v>公交车</v>
      </c>
      <c r="I109" t="str">
        <f t="shared" si="9"/>
        <v>Passenger HDV</v>
      </c>
      <c r="J109">
        <v>45</v>
      </c>
    </row>
    <row r="110" spans="1:10" x14ac:dyDescent="0.2">
      <c r="A110">
        <v>109</v>
      </c>
      <c r="B110">
        <v>2019</v>
      </c>
      <c r="C110" t="s">
        <v>16</v>
      </c>
      <c r="D110" t="str">
        <f t="shared" si="7"/>
        <v>natural gas vehicle</v>
      </c>
      <c r="E110" t="s">
        <v>20</v>
      </c>
      <c r="F110" t="s">
        <v>8</v>
      </c>
      <c r="G110" t="s">
        <v>9</v>
      </c>
      <c r="H110" t="str">
        <f t="shared" si="8"/>
        <v>公交车</v>
      </c>
      <c r="I110" t="str">
        <f t="shared" si="9"/>
        <v>Passenger HDV</v>
      </c>
      <c r="J110">
        <v>55</v>
      </c>
    </row>
    <row r="111" spans="1:10" x14ac:dyDescent="0.2">
      <c r="A111">
        <v>110</v>
      </c>
      <c r="B111">
        <v>2017</v>
      </c>
      <c r="C111" t="s">
        <v>6</v>
      </c>
      <c r="D111" t="str">
        <f t="shared" si="7"/>
        <v>plugin hybrid vehicle</v>
      </c>
      <c r="E111" t="s">
        <v>21</v>
      </c>
      <c r="F111" t="s">
        <v>8</v>
      </c>
      <c r="G111" t="s">
        <v>9</v>
      </c>
      <c r="H111" t="str">
        <f t="shared" si="8"/>
        <v>公交车</v>
      </c>
      <c r="I111" t="str">
        <f t="shared" si="9"/>
        <v>Passenger HDV</v>
      </c>
      <c r="J111">
        <v>52</v>
      </c>
    </row>
    <row r="112" spans="1:10" x14ac:dyDescent="0.2">
      <c r="A112">
        <v>111</v>
      </c>
      <c r="B112">
        <v>2017</v>
      </c>
      <c r="C112" t="s">
        <v>10</v>
      </c>
      <c r="D112" t="str">
        <f t="shared" si="7"/>
        <v>diesel vehicle</v>
      </c>
      <c r="E112" t="s">
        <v>21</v>
      </c>
      <c r="F112" t="s">
        <v>8</v>
      </c>
      <c r="G112" t="s">
        <v>9</v>
      </c>
      <c r="H112" t="str">
        <f t="shared" si="8"/>
        <v>公交车</v>
      </c>
      <c r="I112" t="str">
        <f t="shared" si="9"/>
        <v>Passenger HDV</v>
      </c>
      <c r="J112">
        <v>1</v>
      </c>
    </row>
    <row r="113" spans="1:10" x14ac:dyDescent="0.2">
      <c r="A113">
        <v>112</v>
      </c>
      <c r="B113">
        <v>2017</v>
      </c>
      <c r="C113" t="s">
        <v>11</v>
      </c>
      <c r="D113" t="str">
        <f t="shared" si="7"/>
        <v>battery electric vehicle</v>
      </c>
      <c r="E113" t="s">
        <v>21</v>
      </c>
      <c r="F113" t="s">
        <v>8</v>
      </c>
      <c r="G113" t="s">
        <v>9</v>
      </c>
      <c r="H113" t="str">
        <f t="shared" si="8"/>
        <v>公交车</v>
      </c>
      <c r="I113" t="str">
        <f t="shared" si="9"/>
        <v>Passenger HDV</v>
      </c>
      <c r="J113">
        <v>1174</v>
      </c>
    </row>
    <row r="114" spans="1:10" x14ac:dyDescent="0.2">
      <c r="A114">
        <v>113</v>
      </c>
      <c r="B114">
        <v>2017</v>
      </c>
      <c r="C114" t="s">
        <v>12</v>
      </c>
      <c r="D114" t="str">
        <f t="shared" si="7"/>
        <v>hybrid fuel vehicle</v>
      </c>
      <c r="E114" t="s">
        <v>21</v>
      </c>
      <c r="F114" t="s">
        <v>8</v>
      </c>
      <c r="G114" t="s">
        <v>9</v>
      </c>
      <c r="H114" t="str">
        <f t="shared" si="8"/>
        <v>公交车</v>
      </c>
      <c r="I114" t="str">
        <f t="shared" si="9"/>
        <v>Passenger HDV</v>
      </c>
      <c r="J114">
        <v>120</v>
      </c>
    </row>
    <row r="115" spans="1:10" x14ac:dyDescent="0.2">
      <c r="A115">
        <v>114</v>
      </c>
      <c r="B115">
        <v>2017</v>
      </c>
      <c r="C115" t="s">
        <v>16</v>
      </c>
      <c r="D115" t="str">
        <f t="shared" si="7"/>
        <v>natural gas vehicle</v>
      </c>
      <c r="E115" t="s">
        <v>21</v>
      </c>
      <c r="F115" t="s">
        <v>8</v>
      </c>
      <c r="G115" t="s">
        <v>9</v>
      </c>
      <c r="H115" t="str">
        <f t="shared" si="8"/>
        <v>公交车</v>
      </c>
      <c r="I115" t="str">
        <f t="shared" si="9"/>
        <v>Passenger HDV</v>
      </c>
      <c r="J115">
        <v>340</v>
      </c>
    </row>
    <row r="116" spans="1:10" x14ac:dyDescent="0.2">
      <c r="A116">
        <v>115</v>
      </c>
      <c r="B116">
        <v>2015</v>
      </c>
      <c r="C116" t="s">
        <v>6</v>
      </c>
      <c r="D116" t="str">
        <f t="shared" si="7"/>
        <v>plugin hybrid vehicle</v>
      </c>
      <c r="E116" t="s">
        <v>7</v>
      </c>
      <c r="F116" t="s">
        <v>22</v>
      </c>
      <c r="G116" t="s">
        <v>9</v>
      </c>
      <c r="H116" t="str">
        <f t="shared" si="8"/>
        <v>道路客车</v>
      </c>
      <c r="I116" t="str">
        <f t="shared" si="9"/>
        <v>Passenger HDV</v>
      </c>
      <c r="J116">
        <v>31</v>
      </c>
    </row>
    <row r="117" spans="1:10" x14ac:dyDescent="0.2">
      <c r="A117">
        <v>116</v>
      </c>
      <c r="B117">
        <v>2016</v>
      </c>
      <c r="C117" t="s">
        <v>6</v>
      </c>
      <c r="D117" t="str">
        <f t="shared" si="7"/>
        <v>plugin hybrid vehicle</v>
      </c>
      <c r="E117" t="s">
        <v>7</v>
      </c>
      <c r="F117" t="s">
        <v>22</v>
      </c>
      <c r="G117" t="s">
        <v>9</v>
      </c>
      <c r="H117" t="str">
        <f t="shared" si="8"/>
        <v>道路客车</v>
      </c>
      <c r="I117" t="str">
        <f t="shared" si="9"/>
        <v>Passenger HDV</v>
      </c>
      <c r="J117">
        <v>15</v>
      </c>
    </row>
    <row r="118" spans="1:10" x14ac:dyDescent="0.2">
      <c r="A118">
        <v>117</v>
      </c>
      <c r="B118">
        <v>2020</v>
      </c>
      <c r="C118" t="s">
        <v>6</v>
      </c>
      <c r="D118" t="str">
        <f t="shared" si="7"/>
        <v>plugin hybrid vehicle</v>
      </c>
      <c r="E118" t="s">
        <v>7</v>
      </c>
      <c r="F118" t="s">
        <v>22</v>
      </c>
      <c r="G118" t="s">
        <v>9</v>
      </c>
      <c r="H118" t="str">
        <f t="shared" si="8"/>
        <v>道路客车</v>
      </c>
      <c r="I118" t="str">
        <f t="shared" si="9"/>
        <v>Passenger HDV</v>
      </c>
      <c r="J118">
        <v>1</v>
      </c>
    </row>
    <row r="119" spans="1:10" x14ac:dyDescent="0.2">
      <c r="A119">
        <v>118</v>
      </c>
      <c r="B119">
        <v>2015</v>
      </c>
      <c r="C119" t="s">
        <v>10</v>
      </c>
      <c r="D119" t="str">
        <f t="shared" si="7"/>
        <v>diesel vehicle</v>
      </c>
      <c r="E119" t="s">
        <v>7</v>
      </c>
      <c r="F119" t="s">
        <v>22</v>
      </c>
      <c r="G119" t="s">
        <v>9</v>
      </c>
      <c r="H119" t="str">
        <f t="shared" si="8"/>
        <v>道路客车</v>
      </c>
      <c r="I119" t="str">
        <f t="shared" si="9"/>
        <v>Passenger HDV</v>
      </c>
      <c r="J119">
        <v>790</v>
      </c>
    </row>
    <row r="120" spans="1:10" x14ac:dyDescent="0.2">
      <c r="A120">
        <v>119</v>
      </c>
      <c r="B120">
        <v>2016</v>
      </c>
      <c r="C120" t="s">
        <v>10</v>
      </c>
      <c r="D120" t="str">
        <f t="shared" si="7"/>
        <v>diesel vehicle</v>
      </c>
      <c r="E120" t="s">
        <v>7</v>
      </c>
      <c r="F120" t="s">
        <v>22</v>
      </c>
      <c r="G120" t="s">
        <v>9</v>
      </c>
      <c r="H120" t="str">
        <f t="shared" si="8"/>
        <v>道路客车</v>
      </c>
      <c r="I120" t="str">
        <f t="shared" si="9"/>
        <v>Passenger HDV</v>
      </c>
      <c r="J120">
        <v>1034</v>
      </c>
    </row>
    <row r="121" spans="1:10" x14ac:dyDescent="0.2">
      <c r="A121">
        <v>120</v>
      </c>
      <c r="B121">
        <v>2017</v>
      </c>
      <c r="C121" t="s">
        <v>10</v>
      </c>
      <c r="D121" t="str">
        <f t="shared" si="7"/>
        <v>diesel vehicle</v>
      </c>
      <c r="E121" t="s">
        <v>7</v>
      </c>
      <c r="F121" t="s">
        <v>22</v>
      </c>
      <c r="G121" t="s">
        <v>9</v>
      </c>
      <c r="H121" t="str">
        <f t="shared" si="8"/>
        <v>道路客车</v>
      </c>
      <c r="I121" t="str">
        <f t="shared" si="9"/>
        <v>Passenger HDV</v>
      </c>
      <c r="J121">
        <v>1483</v>
      </c>
    </row>
    <row r="122" spans="1:10" x14ac:dyDescent="0.2">
      <c r="A122">
        <v>121</v>
      </c>
      <c r="B122">
        <v>2018</v>
      </c>
      <c r="C122" t="s">
        <v>10</v>
      </c>
      <c r="D122" t="str">
        <f t="shared" si="7"/>
        <v>diesel vehicle</v>
      </c>
      <c r="E122" t="s">
        <v>7</v>
      </c>
      <c r="F122" t="s">
        <v>22</v>
      </c>
      <c r="G122" t="s">
        <v>9</v>
      </c>
      <c r="H122" t="str">
        <f t="shared" si="8"/>
        <v>道路客车</v>
      </c>
      <c r="I122" t="str">
        <f t="shared" si="9"/>
        <v>Passenger HDV</v>
      </c>
      <c r="J122">
        <v>621</v>
      </c>
    </row>
    <row r="123" spans="1:10" x14ac:dyDescent="0.2">
      <c r="A123">
        <v>122</v>
      </c>
      <c r="B123">
        <v>2019</v>
      </c>
      <c r="C123" t="s">
        <v>10</v>
      </c>
      <c r="D123" t="str">
        <f t="shared" si="7"/>
        <v>diesel vehicle</v>
      </c>
      <c r="E123" t="s">
        <v>7</v>
      </c>
      <c r="F123" t="s">
        <v>22</v>
      </c>
      <c r="G123" t="s">
        <v>9</v>
      </c>
      <c r="H123" t="str">
        <f t="shared" si="8"/>
        <v>道路客车</v>
      </c>
      <c r="I123" t="str">
        <f t="shared" si="9"/>
        <v>Passenger HDV</v>
      </c>
      <c r="J123">
        <v>544</v>
      </c>
    </row>
    <row r="124" spans="1:10" x14ac:dyDescent="0.2">
      <c r="A124">
        <v>123</v>
      </c>
      <c r="B124">
        <v>2020</v>
      </c>
      <c r="C124" t="s">
        <v>10</v>
      </c>
      <c r="D124" t="str">
        <f t="shared" si="7"/>
        <v>diesel vehicle</v>
      </c>
      <c r="E124" t="s">
        <v>7</v>
      </c>
      <c r="F124" t="s">
        <v>22</v>
      </c>
      <c r="G124" t="s">
        <v>9</v>
      </c>
      <c r="H124" t="str">
        <f t="shared" si="8"/>
        <v>道路客车</v>
      </c>
      <c r="I124" t="str">
        <f t="shared" si="9"/>
        <v>Passenger HDV</v>
      </c>
      <c r="J124">
        <v>228</v>
      </c>
    </row>
    <row r="125" spans="1:10" x14ac:dyDescent="0.2">
      <c r="A125">
        <v>124</v>
      </c>
      <c r="B125">
        <v>2021</v>
      </c>
      <c r="C125" t="s">
        <v>10</v>
      </c>
      <c r="D125" t="str">
        <f t="shared" si="7"/>
        <v>diesel vehicle</v>
      </c>
      <c r="E125" t="s">
        <v>7</v>
      </c>
      <c r="F125" t="s">
        <v>22</v>
      </c>
      <c r="G125" t="s">
        <v>9</v>
      </c>
      <c r="H125" t="str">
        <f t="shared" si="8"/>
        <v>道路客车</v>
      </c>
      <c r="I125" t="str">
        <f t="shared" si="9"/>
        <v>Passenger HDV</v>
      </c>
      <c r="J125">
        <v>216</v>
      </c>
    </row>
    <row r="126" spans="1:10" x14ac:dyDescent="0.2">
      <c r="A126">
        <v>125</v>
      </c>
      <c r="B126">
        <v>2015</v>
      </c>
      <c r="C126" t="s">
        <v>11</v>
      </c>
      <c r="D126" t="str">
        <f t="shared" si="7"/>
        <v>battery electric vehicle</v>
      </c>
      <c r="E126" t="s">
        <v>7</v>
      </c>
      <c r="F126" t="s">
        <v>22</v>
      </c>
      <c r="G126" t="s">
        <v>9</v>
      </c>
      <c r="H126" t="str">
        <f t="shared" si="8"/>
        <v>道路客车</v>
      </c>
      <c r="I126" t="str">
        <f t="shared" si="9"/>
        <v>Passenger HDV</v>
      </c>
      <c r="J126">
        <v>4611</v>
      </c>
    </row>
    <row r="127" spans="1:10" x14ac:dyDescent="0.2">
      <c r="A127">
        <v>126</v>
      </c>
      <c r="B127">
        <v>2016</v>
      </c>
      <c r="C127" t="s">
        <v>11</v>
      </c>
      <c r="D127" t="str">
        <f t="shared" si="7"/>
        <v>battery electric vehicle</v>
      </c>
      <c r="E127" t="s">
        <v>7</v>
      </c>
      <c r="F127" t="s">
        <v>22</v>
      </c>
      <c r="G127" t="s">
        <v>9</v>
      </c>
      <c r="H127" t="str">
        <f t="shared" si="8"/>
        <v>道路客车</v>
      </c>
      <c r="I127" t="str">
        <f t="shared" si="9"/>
        <v>Passenger HDV</v>
      </c>
      <c r="J127">
        <v>2577</v>
      </c>
    </row>
    <row r="128" spans="1:10" x14ac:dyDescent="0.2">
      <c r="A128">
        <v>127</v>
      </c>
      <c r="B128">
        <v>2017</v>
      </c>
      <c r="C128" t="s">
        <v>11</v>
      </c>
      <c r="D128" t="str">
        <f t="shared" si="7"/>
        <v>battery electric vehicle</v>
      </c>
      <c r="E128" t="s">
        <v>7</v>
      </c>
      <c r="F128" t="s">
        <v>22</v>
      </c>
      <c r="G128" t="s">
        <v>9</v>
      </c>
      <c r="H128" t="str">
        <f t="shared" si="8"/>
        <v>道路客车</v>
      </c>
      <c r="I128" t="str">
        <f t="shared" si="9"/>
        <v>Passenger HDV</v>
      </c>
      <c r="J128">
        <v>445</v>
      </c>
    </row>
    <row r="129" spans="1:10" x14ac:dyDescent="0.2">
      <c r="A129">
        <v>128</v>
      </c>
      <c r="B129">
        <v>2018</v>
      </c>
      <c r="C129" t="s">
        <v>11</v>
      </c>
      <c r="D129" t="str">
        <f t="shared" si="7"/>
        <v>battery electric vehicle</v>
      </c>
      <c r="E129" t="s">
        <v>7</v>
      </c>
      <c r="F129" t="s">
        <v>22</v>
      </c>
      <c r="G129" t="s">
        <v>9</v>
      </c>
      <c r="H129" t="str">
        <f t="shared" si="8"/>
        <v>道路客车</v>
      </c>
      <c r="I129" t="str">
        <f t="shared" si="9"/>
        <v>Passenger HDV</v>
      </c>
      <c r="J129">
        <v>199</v>
      </c>
    </row>
    <row r="130" spans="1:10" x14ac:dyDescent="0.2">
      <c r="A130">
        <v>129</v>
      </c>
      <c r="B130">
        <v>2019</v>
      </c>
      <c r="C130" t="s">
        <v>11</v>
      </c>
      <c r="D130" t="str">
        <f t="shared" ref="D130:D193" si="11">VLOOKUP(C130,M$3:N$16,2,FALSE)</f>
        <v>battery electric vehicle</v>
      </c>
      <c r="E130" t="s">
        <v>7</v>
      </c>
      <c r="F130" t="s">
        <v>22</v>
      </c>
      <c r="G130" t="s">
        <v>9</v>
      </c>
      <c r="H130" t="str">
        <f t="shared" si="8"/>
        <v>道路客车</v>
      </c>
      <c r="I130" t="str">
        <f t="shared" si="9"/>
        <v>Passenger HDV</v>
      </c>
      <c r="J130">
        <v>78</v>
      </c>
    </row>
    <row r="131" spans="1:10" x14ac:dyDescent="0.2">
      <c r="A131">
        <v>130</v>
      </c>
      <c r="B131">
        <v>2020</v>
      </c>
      <c r="C131" t="s">
        <v>11</v>
      </c>
      <c r="D131" t="str">
        <f t="shared" si="11"/>
        <v>battery electric vehicle</v>
      </c>
      <c r="E131" t="s">
        <v>7</v>
      </c>
      <c r="F131" t="s">
        <v>22</v>
      </c>
      <c r="G131" t="s">
        <v>9</v>
      </c>
      <c r="H131" t="str">
        <f t="shared" ref="H131:H194" si="12">VLOOKUP(E131&amp;F131&amp;G131,$S$3:$U$68,2,FALSE)</f>
        <v>道路客车</v>
      </c>
      <c r="I131" t="str">
        <f t="shared" ref="I131:I194" si="13">VLOOKUP(E131&amp;F131&amp;G131,$S$3:$U$68,3,FALSE)</f>
        <v>Passenger HDV</v>
      </c>
      <c r="J131">
        <v>45</v>
      </c>
    </row>
    <row r="132" spans="1:10" x14ac:dyDescent="0.2">
      <c r="A132">
        <v>131</v>
      </c>
      <c r="B132">
        <v>2021</v>
      </c>
      <c r="C132" t="s">
        <v>11</v>
      </c>
      <c r="D132" t="str">
        <f t="shared" si="11"/>
        <v>battery electric vehicle</v>
      </c>
      <c r="E132" t="s">
        <v>7</v>
      </c>
      <c r="F132" t="s">
        <v>22</v>
      </c>
      <c r="G132" t="s">
        <v>9</v>
      </c>
      <c r="H132" t="str">
        <f t="shared" si="12"/>
        <v>道路客车</v>
      </c>
      <c r="I132" t="str">
        <f t="shared" si="13"/>
        <v>Passenger HDV</v>
      </c>
      <c r="J132">
        <v>87</v>
      </c>
    </row>
    <row r="133" spans="1:10" x14ac:dyDescent="0.2">
      <c r="A133">
        <v>132</v>
      </c>
      <c r="B133">
        <v>2015</v>
      </c>
      <c r="C133" t="s">
        <v>13</v>
      </c>
      <c r="D133" t="str">
        <f t="shared" si="11"/>
        <v>gasoline vehicle</v>
      </c>
      <c r="E133" t="s">
        <v>7</v>
      </c>
      <c r="F133" t="s">
        <v>22</v>
      </c>
      <c r="G133" t="s">
        <v>9</v>
      </c>
      <c r="H133" t="str">
        <f t="shared" si="12"/>
        <v>道路客车</v>
      </c>
      <c r="I133" t="str">
        <f t="shared" si="13"/>
        <v>Passenger HDV</v>
      </c>
      <c r="J133">
        <v>37</v>
      </c>
    </row>
    <row r="134" spans="1:10" x14ac:dyDescent="0.2">
      <c r="A134">
        <v>133</v>
      </c>
      <c r="B134">
        <v>2016</v>
      </c>
      <c r="C134" t="s">
        <v>13</v>
      </c>
      <c r="D134" t="str">
        <f t="shared" si="11"/>
        <v>gasoline vehicle</v>
      </c>
      <c r="E134" t="s">
        <v>7</v>
      </c>
      <c r="F134" t="s">
        <v>22</v>
      </c>
      <c r="G134" t="s">
        <v>9</v>
      </c>
      <c r="H134" t="str">
        <f t="shared" si="12"/>
        <v>道路客车</v>
      </c>
      <c r="I134" t="str">
        <f t="shared" si="13"/>
        <v>Passenger HDV</v>
      </c>
      <c r="J134">
        <v>121</v>
      </c>
    </row>
    <row r="135" spans="1:10" x14ac:dyDescent="0.2">
      <c r="A135">
        <v>134</v>
      </c>
      <c r="B135">
        <v>2017</v>
      </c>
      <c r="C135" t="s">
        <v>13</v>
      </c>
      <c r="D135" t="str">
        <f t="shared" si="11"/>
        <v>gasoline vehicle</v>
      </c>
      <c r="E135" t="s">
        <v>7</v>
      </c>
      <c r="F135" t="s">
        <v>22</v>
      </c>
      <c r="G135" t="s">
        <v>9</v>
      </c>
      <c r="H135" t="str">
        <f t="shared" si="12"/>
        <v>道路客车</v>
      </c>
      <c r="I135" t="str">
        <f t="shared" si="13"/>
        <v>Passenger HDV</v>
      </c>
      <c r="J135">
        <v>254</v>
      </c>
    </row>
    <row r="136" spans="1:10" x14ac:dyDescent="0.2">
      <c r="A136">
        <v>135</v>
      </c>
      <c r="B136">
        <v>2018</v>
      </c>
      <c r="C136" t="s">
        <v>13</v>
      </c>
      <c r="D136" t="str">
        <f t="shared" si="11"/>
        <v>gasoline vehicle</v>
      </c>
      <c r="E136" t="s">
        <v>7</v>
      </c>
      <c r="F136" t="s">
        <v>22</v>
      </c>
      <c r="G136" t="s">
        <v>9</v>
      </c>
      <c r="H136" t="str">
        <f t="shared" si="12"/>
        <v>道路客车</v>
      </c>
      <c r="I136" t="str">
        <f t="shared" si="13"/>
        <v>Passenger HDV</v>
      </c>
      <c r="J136">
        <v>45</v>
      </c>
    </row>
    <row r="137" spans="1:10" x14ac:dyDescent="0.2">
      <c r="A137">
        <v>136</v>
      </c>
      <c r="B137">
        <v>2019</v>
      </c>
      <c r="C137" t="s">
        <v>13</v>
      </c>
      <c r="D137" t="str">
        <f t="shared" si="11"/>
        <v>gasoline vehicle</v>
      </c>
      <c r="E137" t="s">
        <v>7</v>
      </c>
      <c r="F137" t="s">
        <v>22</v>
      </c>
      <c r="G137" t="s">
        <v>9</v>
      </c>
      <c r="H137" t="str">
        <f t="shared" si="12"/>
        <v>道路客车</v>
      </c>
      <c r="I137" t="str">
        <f t="shared" si="13"/>
        <v>Passenger HDV</v>
      </c>
      <c r="J137">
        <v>105</v>
      </c>
    </row>
    <row r="138" spans="1:10" x14ac:dyDescent="0.2">
      <c r="A138">
        <v>137</v>
      </c>
      <c r="B138">
        <v>2020</v>
      </c>
      <c r="C138" t="s">
        <v>13</v>
      </c>
      <c r="D138" t="str">
        <f t="shared" si="11"/>
        <v>gasoline vehicle</v>
      </c>
      <c r="E138" t="s">
        <v>7</v>
      </c>
      <c r="F138" t="s">
        <v>22</v>
      </c>
      <c r="G138" t="s">
        <v>9</v>
      </c>
      <c r="H138" t="str">
        <f t="shared" si="12"/>
        <v>道路客车</v>
      </c>
      <c r="I138" t="str">
        <f t="shared" si="13"/>
        <v>Passenger HDV</v>
      </c>
      <c r="J138">
        <v>23</v>
      </c>
    </row>
    <row r="139" spans="1:10" x14ac:dyDescent="0.2">
      <c r="A139">
        <v>138</v>
      </c>
      <c r="B139">
        <v>2021</v>
      </c>
      <c r="C139" t="s">
        <v>13</v>
      </c>
      <c r="D139" t="str">
        <f t="shared" si="11"/>
        <v>gasoline vehicle</v>
      </c>
      <c r="E139" t="s">
        <v>7</v>
      </c>
      <c r="F139" t="s">
        <v>22</v>
      </c>
      <c r="G139" t="s">
        <v>9</v>
      </c>
      <c r="H139" t="str">
        <f t="shared" si="12"/>
        <v>道路客车</v>
      </c>
      <c r="I139" t="str">
        <f t="shared" si="13"/>
        <v>Passenger HDV</v>
      </c>
      <c r="J139">
        <v>42</v>
      </c>
    </row>
    <row r="140" spans="1:10" x14ac:dyDescent="0.2">
      <c r="A140">
        <v>139</v>
      </c>
      <c r="B140">
        <v>2016</v>
      </c>
      <c r="C140" t="s">
        <v>14</v>
      </c>
      <c r="D140" t="str">
        <f t="shared" si="11"/>
        <v>natural gas vehicle</v>
      </c>
      <c r="E140" t="s">
        <v>7</v>
      </c>
      <c r="F140" t="s">
        <v>22</v>
      </c>
      <c r="G140" t="s">
        <v>9</v>
      </c>
      <c r="H140" t="str">
        <f t="shared" si="12"/>
        <v>道路客车</v>
      </c>
      <c r="I140" t="str">
        <f t="shared" si="13"/>
        <v>Passenger HDV</v>
      </c>
      <c r="J140">
        <v>5</v>
      </c>
    </row>
    <row r="141" spans="1:10" x14ac:dyDescent="0.2">
      <c r="A141">
        <v>140</v>
      </c>
      <c r="B141">
        <v>2020</v>
      </c>
      <c r="C141" t="s">
        <v>15</v>
      </c>
      <c r="D141" t="str">
        <f t="shared" si="11"/>
        <v>hydrogen vehicle</v>
      </c>
      <c r="E141" t="s">
        <v>7</v>
      </c>
      <c r="F141" t="s">
        <v>22</v>
      </c>
      <c r="G141" t="s">
        <v>9</v>
      </c>
      <c r="H141" t="str">
        <f t="shared" si="12"/>
        <v>道路客车</v>
      </c>
      <c r="I141" t="str">
        <f t="shared" si="13"/>
        <v>Passenger HDV</v>
      </c>
      <c r="J141">
        <v>10</v>
      </c>
    </row>
    <row r="142" spans="1:10" x14ac:dyDescent="0.2">
      <c r="A142">
        <v>141</v>
      </c>
      <c r="B142">
        <v>2021</v>
      </c>
      <c r="C142" t="s">
        <v>15</v>
      </c>
      <c r="D142" t="str">
        <f t="shared" si="11"/>
        <v>hydrogen vehicle</v>
      </c>
      <c r="E142" t="s">
        <v>7</v>
      </c>
      <c r="F142" t="s">
        <v>22</v>
      </c>
      <c r="G142" t="s">
        <v>9</v>
      </c>
      <c r="H142" t="str">
        <f t="shared" si="12"/>
        <v>道路客车</v>
      </c>
      <c r="I142" t="str">
        <f t="shared" si="13"/>
        <v>Passenger HDV</v>
      </c>
      <c r="J142">
        <v>20</v>
      </c>
    </row>
    <row r="143" spans="1:10" x14ac:dyDescent="0.2">
      <c r="A143">
        <v>142</v>
      </c>
      <c r="B143">
        <v>2015</v>
      </c>
      <c r="C143" t="s">
        <v>16</v>
      </c>
      <c r="D143" t="str">
        <f t="shared" si="11"/>
        <v>natural gas vehicle</v>
      </c>
      <c r="E143" t="s">
        <v>7</v>
      </c>
      <c r="F143" t="s">
        <v>22</v>
      </c>
      <c r="G143" t="s">
        <v>9</v>
      </c>
      <c r="H143" t="str">
        <f t="shared" si="12"/>
        <v>道路客车</v>
      </c>
      <c r="I143" t="str">
        <f t="shared" si="13"/>
        <v>Passenger HDV</v>
      </c>
      <c r="J143">
        <v>48</v>
      </c>
    </row>
    <row r="144" spans="1:10" x14ac:dyDescent="0.2">
      <c r="A144">
        <v>143</v>
      </c>
      <c r="B144">
        <v>2016</v>
      </c>
      <c r="C144" t="s">
        <v>16</v>
      </c>
      <c r="D144" t="str">
        <f t="shared" si="11"/>
        <v>natural gas vehicle</v>
      </c>
      <c r="E144" t="s">
        <v>7</v>
      </c>
      <c r="F144" t="s">
        <v>22</v>
      </c>
      <c r="G144" t="s">
        <v>9</v>
      </c>
      <c r="H144" t="str">
        <f t="shared" si="12"/>
        <v>道路客车</v>
      </c>
      <c r="I144" t="str">
        <f t="shared" si="13"/>
        <v>Passenger HDV</v>
      </c>
      <c r="J144">
        <v>8</v>
      </c>
    </row>
    <row r="145" spans="1:10" x14ac:dyDescent="0.2">
      <c r="A145">
        <v>144</v>
      </c>
      <c r="B145">
        <v>2017</v>
      </c>
      <c r="C145" t="s">
        <v>16</v>
      </c>
      <c r="D145" t="str">
        <f t="shared" si="11"/>
        <v>natural gas vehicle</v>
      </c>
      <c r="E145" t="s">
        <v>7</v>
      </c>
      <c r="F145" t="s">
        <v>22</v>
      </c>
      <c r="G145" t="s">
        <v>9</v>
      </c>
      <c r="H145" t="str">
        <f t="shared" si="12"/>
        <v>道路客车</v>
      </c>
      <c r="I145" t="str">
        <f t="shared" si="13"/>
        <v>Passenger HDV</v>
      </c>
      <c r="J145">
        <v>6</v>
      </c>
    </row>
    <row r="146" spans="1:10" x14ac:dyDescent="0.2">
      <c r="A146">
        <v>145</v>
      </c>
      <c r="B146">
        <v>2018</v>
      </c>
      <c r="C146" t="s">
        <v>16</v>
      </c>
      <c r="D146" t="str">
        <f t="shared" si="11"/>
        <v>natural gas vehicle</v>
      </c>
      <c r="E146" t="s">
        <v>7</v>
      </c>
      <c r="F146" t="s">
        <v>22</v>
      </c>
      <c r="G146" t="s">
        <v>9</v>
      </c>
      <c r="H146" t="str">
        <f t="shared" si="12"/>
        <v>道路客车</v>
      </c>
      <c r="I146" t="str">
        <f t="shared" si="13"/>
        <v>Passenger HDV</v>
      </c>
      <c r="J146">
        <v>29</v>
      </c>
    </row>
    <row r="147" spans="1:10" x14ac:dyDescent="0.2">
      <c r="A147">
        <v>146</v>
      </c>
      <c r="B147">
        <v>2015</v>
      </c>
      <c r="C147" t="s">
        <v>10</v>
      </c>
      <c r="D147" t="str">
        <f t="shared" si="11"/>
        <v>diesel vehicle</v>
      </c>
      <c r="E147" t="s">
        <v>23</v>
      </c>
      <c r="F147" t="s">
        <v>22</v>
      </c>
      <c r="G147" t="s">
        <v>9</v>
      </c>
      <c r="H147" t="str">
        <f t="shared" si="12"/>
        <v>轻型货车</v>
      </c>
      <c r="I147" t="str">
        <f t="shared" si="13"/>
        <v>Freight LDV</v>
      </c>
      <c r="J147">
        <v>103</v>
      </c>
    </row>
    <row r="148" spans="1:10" x14ac:dyDescent="0.2">
      <c r="A148">
        <v>147</v>
      </c>
      <c r="B148">
        <v>2016</v>
      </c>
      <c r="C148" t="s">
        <v>10</v>
      </c>
      <c r="D148" t="str">
        <f t="shared" si="11"/>
        <v>diesel vehicle</v>
      </c>
      <c r="E148" t="s">
        <v>23</v>
      </c>
      <c r="F148" t="s">
        <v>22</v>
      </c>
      <c r="G148" t="s">
        <v>9</v>
      </c>
      <c r="H148" t="str">
        <f t="shared" si="12"/>
        <v>轻型货车</v>
      </c>
      <c r="I148" t="str">
        <f t="shared" si="13"/>
        <v>Freight LDV</v>
      </c>
      <c r="J148">
        <v>19</v>
      </c>
    </row>
    <row r="149" spans="1:10" x14ac:dyDescent="0.2">
      <c r="A149">
        <v>148</v>
      </c>
      <c r="B149">
        <v>2017</v>
      </c>
      <c r="C149" t="s">
        <v>10</v>
      </c>
      <c r="D149" t="str">
        <f t="shared" si="11"/>
        <v>diesel vehicle</v>
      </c>
      <c r="E149" t="s">
        <v>23</v>
      </c>
      <c r="F149" t="s">
        <v>22</v>
      </c>
      <c r="G149" t="s">
        <v>9</v>
      </c>
      <c r="H149" t="str">
        <f t="shared" si="12"/>
        <v>轻型货车</v>
      </c>
      <c r="I149" t="str">
        <f t="shared" si="13"/>
        <v>Freight LDV</v>
      </c>
      <c r="J149">
        <v>5</v>
      </c>
    </row>
    <row r="150" spans="1:10" x14ac:dyDescent="0.2">
      <c r="A150">
        <v>149</v>
      </c>
      <c r="B150">
        <v>2018</v>
      </c>
      <c r="C150" t="s">
        <v>10</v>
      </c>
      <c r="D150" t="str">
        <f t="shared" si="11"/>
        <v>diesel vehicle</v>
      </c>
      <c r="E150" t="s">
        <v>23</v>
      </c>
      <c r="F150" t="s">
        <v>22</v>
      </c>
      <c r="G150" t="s">
        <v>9</v>
      </c>
      <c r="H150" t="str">
        <f t="shared" si="12"/>
        <v>轻型货车</v>
      </c>
      <c r="I150" t="str">
        <f t="shared" si="13"/>
        <v>Freight LDV</v>
      </c>
      <c r="J150">
        <v>19</v>
      </c>
    </row>
    <row r="151" spans="1:10" x14ac:dyDescent="0.2">
      <c r="A151">
        <v>150</v>
      </c>
      <c r="B151">
        <v>2019</v>
      </c>
      <c r="C151" t="s">
        <v>10</v>
      </c>
      <c r="D151" t="str">
        <f t="shared" si="11"/>
        <v>diesel vehicle</v>
      </c>
      <c r="E151" t="s">
        <v>23</v>
      </c>
      <c r="F151" t="s">
        <v>22</v>
      </c>
      <c r="G151" t="s">
        <v>9</v>
      </c>
      <c r="H151" t="str">
        <f t="shared" si="12"/>
        <v>轻型货车</v>
      </c>
      <c r="I151" t="str">
        <f t="shared" si="13"/>
        <v>Freight LDV</v>
      </c>
      <c r="J151">
        <v>42</v>
      </c>
    </row>
    <row r="152" spans="1:10" x14ac:dyDescent="0.2">
      <c r="A152">
        <v>151</v>
      </c>
      <c r="B152">
        <v>2020</v>
      </c>
      <c r="C152" t="s">
        <v>10</v>
      </c>
      <c r="D152" t="str">
        <f t="shared" si="11"/>
        <v>diesel vehicle</v>
      </c>
      <c r="E152" t="s">
        <v>23</v>
      </c>
      <c r="F152" t="s">
        <v>22</v>
      </c>
      <c r="G152" t="s">
        <v>9</v>
      </c>
      <c r="H152" t="str">
        <f t="shared" si="12"/>
        <v>轻型货车</v>
      </c>
      <c r="I152" t="str">
        <f t="shared" si="13"/>
        <v>Freight LDV</v>
      </c>
      <c r="J152">
        <v>20</v>
      </c>
    </row>
    <row r="153" spans="1:10" x14ac:dyDescent="0.2">
      <c r="A153">
        <v>152</v>
      </c>
      <c r="B153">
        <v>2021</v>
      </c>
      <c r="C153" t="s">
        <v>10</v>
      </c>
      <c r="D153" t="str">
        <f t="shared" si="11"/>
        <v>diesel vehicle</v>
      </c>
      <c r="E153" t="s">
        <v>23</v>
      </c>
      <c r="F153" t="s">
        <v>22</v>
      </c>
      <c r="G153" t="s">
        <v>9</v>
      </c>
      <c r="H153" t="str">
        <f t="shared" si="12"/>
        <v>轻型货车</v>
      </c>
      <c r="I153" t="str">
        <f t="shared" si="13"/>
        <v>Freight LDV</v>
      </c>
      <c r="J153">
        <v>10</v>
      </c>
    </row>
    <row r="154" spans="1:10" x14ac:dyDescent="0.2">
      <c r="A154">
        <v>153</v>
      </c>
      <c r="B154">
        <v>2015</v>
      </c>
      <c r="C154" t="s">
        <v>11</v>
      </c>
      <c r="D154" t="str">
        <f t="shared" si="11"/>
        <v>battery electric vehicle</v>
      </c>
      <c r="E154" t="s">
        <v>23</v>
      </c>
      <c r="F154" t="s">
        <v>22</v>
      </c>
      <c r="G154" t="s">
        <v>9</v>
      </c>
      <c r="H154" t="str">
        <f t="shared" si="12"/>
        <v>轻型货车</v>
      </c>
      <c r="I154" t="str">
        <f t="shared" si="13"/>
        <v>Freight LDV</v>
      </c>
      <c r="J154">
        <v>283</v>
      </c>
    </row>
    <row r="155" spans="1:10" x14ac:dyDescent="0.2">
      <c r="A155">
        <v>154</v>
      </c>
      <c r="B155">
        <v>2018</v>
      </c>
      <c r="C155" t="s">
        <v>11</v>
      </c>
      <c r="D155" t="str">
        <f t="shared" si="11"/>
        <v>battery electric vehicle</v>
      </c>
      <c r="E155" t="s">
        <v>23</v>
      </c>
      <c r="F155" t="s">
        <v>22</v>
      </c>
      <c r="G155" t="s">
        <v>9</v>
      </c>
      <c r="H155" t="str">
        <f t="shared" si="12"/>
        <v>轻型货车</v>
      </c>
      <c r="I155" t="str">
        <f t="shared" si="13"/>
        <v>Freight LDV</v>
      </c>
      <c r="J155">
        <v>1</v>
      </c>
    </row>
    <row r="156" spans="1:10" x14ac:dyDescent="0.2">
      <c r="A156">
        <v>155</v>
      </c>
      <c r="B156">
        <v>2015</v>
      </c>
      <c r="C156" t="s">
        <v>13</v>
      </c>
      <c r="D156" t="str">
        <f t="shared" si="11"/>
        <v>gasoline vehicle</v>
      </c>
      <c r="E156" t="s">
        <v>23</v>
      </c>
      <c r="F156" t="s">
        <v>22</v>
      </c>
      <c r="G156" t="s">
        <v>9</v>
      </c>
      <c r="H156" t="str">
        <f t="shared" si="12"/>
        <v>轻型货车</v>
      </c>
      <c r="I156" t="str">
        <f t="shared" si="13"/>
        <v>Freight LDV</v>
      </c>
      <c r="J156">
        <v>51</v>
      </c>
    </row>
    <row r="157" spans="1:10" x14ac:dyDescent="0.2">
      <c r="A157">
        <v>156</v>
      </c>
      <c r="B157">
        <v>2016</v>
      </c>
      <c r="C157" t="s">
        <v>13</v>
      </c>
      <c r="D157" t="str">
        <f t="shared" si="11"/>
        <v>gasoline vehicle</v>
      </c>
      <c r="E157" t="s">
        <v>23</v>
      </c>
      <c r="F157" t="s">
        <v>22</v>
      </c>
      <c r="G157" t="s">
        <v>9</v>
      </c>
      <c r="H157" t="str">
        <f t="shared" si="12"/>
        <v>轻型货车</v>
      </c>
      <c r="I157" t="str">
        <f t="shared" si="13"/>
        <v>Freight LDV</v>
      </c>
      <c r="J157">
        <v>1</v>
      </c>
    </row>
    <row r="158" spans="1:10" x14ac:dyDescent="0.2">
      <c r="A158">
        <v>157</v>
      </c>
      <c r="B158">
        <v>2017</v>
      </c>
      <c r="C158" t="s">
        <v>13</v>
      </c>
      <c r="D158" t="str">
        <f t="shared" si="11"/>
        <v>gasoline vehicle</v>
      </c>
      <c r="E158" t="s">
        <v>23</v>
      </c>
      <c r="F158" t="s">
        <v>22</v>
      </c>
      <c r="G158" t="s">
        <v>9</v>
      </c>
      <c r="H158" t="str">
        <f t="shared" si="12"/>
        <v>轻型货车</v>
      </c>
      <c r="I158" t="str">
        <f t="shared" si="13"/>
        <v>Freight LDV</v>
      </c>
      <c r="J158">
        <v>15</v>
      </c>
    </row>
    <row r="159" spans="1:10" x14ac:dyDescent="0.2">
      <c r="A159">
        <v>158</v>
      </c>
      <c r="B159">
        <v>2018</v>
      </c>
      <c r="C159" t="s">
        <v>13</v>
      </c>
      <c r="D159" t="str">
        <f t="shared" si="11"/>
        <v>gasoline vehicle</v>
      </c>
      <c r="E159" t="s">
        <v>23</v>
      </c>
      <c r="F159" t="s">
        <v>22</v>
      </c>
      <c r="G159" t="s">
        <v>9</v>
      </c>
      <c r="H159" t="str">
        <f t="shared" si="12"/>
        <v>轻型货车</v>
      </c>
      <c r="I159" t="str">
        <f t="shared" si="13"/>
        <v>Freight LDV</v>
      </c>
      <c r="J159">
        <v>2</v>
      </c>
    </row>
    <row r="160" spans="1:10" x14ac:dyDescent="0.2">
      <c r="A160">
        <v>159</v>
      </c>
      <c r="B160">
        <v>2019</v>
      </c>
      <c r="C160" t="s">
        <v>13</v>
      </c>
      <c r="D160" t="str">
        <f t="shared" si="11"/>
        <v>gasoline vehicle</v>
      </c>
      <c r="E160" t="s">
        <v>23</v>
      </c>
      <c r="F160" t="s">
        <v>22</v>
      </c>
      <c r="G160" t="s">
        <v>9</v>
      </c>
      <c r="H160" t="str">
        <f t="shared" si="12"/>
        <v>轻型货车</v>
      </c>
      <c r="I160" t="str">
        <f t="shared" si="13"/>
        <v>Freight LDV</v>
      </c>
      <c r="J160">
        <v>8</v>
      </c>
    </row>
    <row r="161" spans="1:10" x14ac:dyDescent="0.2">
      <c r="A161">
        <v>160</v>
      </c>
      <c r="B161">
        <v>2020</v>
      </c>
      <c r="C161" t="s">
        <v>13</v>
      </c>
      <c r="D161" t="str">
        <f t="shared" si="11"/>
        <v>gasoline vehicle</v>
      </c>
      <c r="E161" t="s">
        <v>23</v>
      </c>
      <c r="F161" t="s">
        <v>22</v>
      </c>
      <c r="G161" t="s">
        <v>9</v>
      </c>
      <c r="H161" t="str">
        <f t="shared" si="12"/>
        <v>轻型货车</v>
      </c>
      <c r="I161" t="str">
        <f t="shared" si="13"/>
        <v>Freight LDV</v>
      </c>
      <c r="J161">
        <v>4</v>
      </c>
    </row>
    <row r="162" spans="1:10" x14ac:dyDescent="0.2">
      <c r="A162">
        <v>161</v>
      </c>
      <c r="B162">
        <v>2021</v>
      </c>
      <c r="C162" t="s">
        <v>13</v>
      </c>
      <c r="D162" t="str">
        <f t="shared" si="11"/>
        <v>gasoline vehicle</v>
      </c>
      <c r="E162" t="s">
        <v>23</v>
      </c>
      <c r="F162" t="s">
        <v>22</v>
      </c>
      <c r="G162" t="s">
        <v>9</v>
      </c>
      <c r="H162" t="str">
        <f t="shared" si="12"/>
        <v>轻型货车</v>
      </c>
      <c r="I162" t="str">
        <f t="shared" si="13"/>
        <v>Freight LDV</v>
      </c>
      <c r="J162">
        <v>2</v>
      </c>
    </row>
    <row r="163" spans="1:10" x14ac:dyDescent="0.2">
      <c r="A163">
        <v>162</v>
      </c>
      <c r="B163">
        <v>2015</v>
      </c>
      <c r="C163" t="s">
        <v>14</v>
      </c>
      <c r="D163" t="str">
        <f t="shared" si="11"/>
        <v>natural gas vehicle</v>
      </c>
      <c r="E163" t="s">
        <v>23</v>
      </c>
      <c r="F163" t="s">
        <v>22</v>
      </c>
      <c r="G163" t="s">
        <v>9</v>
      </c>
      <c r="H163" t="str">
        <f t="shared" si="12"/>
        <v>轻型货车</v>
      </c>
      <c r="I163" t="str">
        <f t="shared" si="13"/>
        <v>Freight LDV</v>
      </c>
      <c r="J163">
        <v>1</v>
      </c>
    </row>
    <row r="164" spans="1:10" x14ac:dyDescent="0.2">
      <c r="A164">
        <v>163</v>
      </c>
      <c r="B164">
        <v>2015</v>
      </c>
      <c r="C164" t="s">
        <v>10</v>
      </c>
      <c r="D164" t="str">
        <f t="shared" si="11"/>
        <v>diesel vehicle</v>
      </c>
      <c r="E164" t="s">
        <v>17</v>
      </c>
      <c r="F164" t="s">
        <v>22</v>
      </c>
      <c r="G164" t="s">
        <v>9</v>
      </c>
      <c r="H164" t="str">
        <f t="shared" si="12"/>
        <v>道路客车</v>
      </c>
      <c r="I164" t="str">
        <f t="shared" si="13"/>
        <v>Passenger HDV</v>
      </c>
      <c r="J164">
        <v>54</v>
      </c>
    </row>
    <row r="165" spans="1:10" x14ac:dyDescent="0.2">
      <c r="A165">
        <v>164</v>
      </c>
      <c r="B165">
        <v>2015</v>
      </c>
      <c r="C165" t="s">
        <v>11</v>
      </c>
      <c r="D165" t="str">
        <f t="shared" si="11"/>
        <v>battery electric vehicle</v>
      </c>
      <c r="E165" t="s">
        <v>17</v>
      </c>
      <c r="F165" t="s">
        <v>22</v>
      </c>
      <c r="G165" t="s">
        <v>9</v>
      </c>
      <c r="H165" t="str">
        <f t="shared" si="12"/>
        <v>道路客车</v>
      </c>
      <c r="I165" t="str">
        <f t="shared" si="13"/>
        <v>Passenger HDV</v>
      </c>
      <c r="J165">
        <v>2</v>
      </c>
    </row>
    <row r="166" spans="1:10" x14ac:dyDescent="0.2">
      <c r="A166">
        <v>165</v>
      </c>
      <c r="B166">
        <v>2015</v>
      </c>
      <c r="C166" t="s">
        <v>13</v>
      </c>
      <c r="D166" t="str">
        <f t="shared" si="11"/>
        <v>gasoline vehicle</v>
      </c>
      <c r="E166" t="s">
        <v>17</v>
      </c>
      <c r="F166" t="s">
        <v>22</v>
      </c>
      <c r="G166" t="s">
        <v>9</v>
      </c>
      <c r="H166" t="str">
        <f t="shared" si="12"/>
        <v>道路客车</v>
      </c>
      <c r="I166" t="str">
        <f t="shared" si="13"/>
        <v>Passenger HDV</v>
      </c>
      <c r="J166">
        <v>1124</v>
      </c>
    </row>
    <row r="167" spans="1:10" x14ac:dyDescent="0.2">
      <c r="A167">
        <v>166</v>
      </c>
      <c r="B167">
        <v>2015</v>
      </c>
      <c r="C167" t="s">
        <v>14</v>
      </c>
      <c r="D167" t="str">
        <f t="shared" si="11"/>
        <v>natural gas vehicle</v>
      </c>
      <c r="E167" t="s">
        <v>17</v>
      </c>
      <c r="F167" t="s">
        <v>22</v>
      </c>
      <c r="G167" t="s">
        <v>9</v>
      </c>
      <c r="H167" t="str">
        <f t="shared" si="12"/>
        <v>道路客车</v>
      </c>
      <c r="I167" t="str">
        <f t="shared" si="13"/>
        <v>Passenger HDV</v>
      </c>
      <c r="J167">
        <v>1</v>
      </c>
    </row>
    <row r="168" spans="1:10" x14ac:dyDescent="0.2">
      <c r="A168">
        <v>167</v>
      </c>
      <c r="B168">
        <v>2015</v>
      </c>
      <c r="C168" t="s">
        <v>24</v>
      </c>
      <c r="D168" t="str">
        <f t="shared" si="11"/>
        <v>unknown</v>
      </c>
      <c r="E168" t="s">
        <v>17</v>
      </c>
      <c r="F168" t="s">
        <v>22</v>
      </c>
      <c r="G168" t="s">
        <v>9</v>
      </c>
      <c r="H168" t="str">
        <f t="shared" si="12"/>
        <v>道路客车</v>
      </c>
      <c r="I168" t="str">
        <f t="shared" si="13"/>
        <v>Passenger HDV</v>
      </c>
      <c r="J168">
        <v>38</v>
      </c>
    </row>
    <row r="169" spans="1:10" x14ac:dyDescent="0.2">
      <c r="A169">
        <v>168</v>
      </c>
      <c r="B169">
        <v>2015</v>
      </c>
      <c r="C169" t="s">
        <v>10</v>
      </c>
      <c r="D169" t="str">
        <f t="shared" si="11"/>
        <v>diesel vehicle</v>
      </c>
      <c r="E169" t="s">
        <v>18</v>
      </c>
      <c r="F169" t="s">
        <v>22</v>
      </c>
      <c r="G169" t="s">
        <v>9</v>
      </c>
      <c r="H169" t="str">
        <f t="shared" si="12"/>
        <v>出租车</v>
      </c>
      <c r="I169" t="str">
        <f t="shared" si="13"/>
        <v>Passenger LDV</v>
      </c>
      <c r="J169">
        <v>96</v>
      </c>
    </row>
    <row r="170" spans="1:10" x14ac:dyDescent="0.2">
      <c r="A170">
        <v>169</v>
      </c>
      <c r="B170">
        <v>2016</v>
      </c>
      <c r="C170" t="s">
        <v>10</v>
      </c>
      <c r="D170" t="str">
        <f t="shared" si="11"/>
        <v>diesel vehicle</v>
      </c>
      <c r="E170" t="s">
        <v>18</v>
      </c>
      <c r="F170" t="s">
        <v>22</v>
      </c>
      <c r="G170" t="s">
        <v>9</v>
      </c>
      <c r="H170" t="str">
        <f t="shared" si="12"/>
        <v>出租车</v>
      </c>
      <c r="I170" t="str">
        <f t="shared" si="13"/>
        <v>Passenger LDV</v>
      </c>
      <c r="J170">
        <v>63</v>
      </c>
    </row>
    <row r="171" spans="1:10" x14ac:dyDescent="0.2">
      <c r="A171">
        <v>170</v>
      </c>
      <c r="B171">
        <v>2017</v>
      </c>
      <c r="C171" t="s">
        <v>10</v>
      </c>
      <c r="D171" t="str">
        <f t="shared" si="11"/>
        <v>diesel vehicle</v>
      </c>
      <c r="E171" t="s">
        <v>18</v>
      </c>
      <c r="F171" t="s">
        <v>22</v>
      </c>
      <c r="G171" t="s">
        <v>9</v>
      </c>
      <c r="H171" t="str">
        <f t="shared" si="12"/>
        <v>出租车</v>
      </c>
      <c r="I171" t="str">
        <f t="shared" si="13"/>
        <v>Passenger LDV</v>
      </c>
      <c r="J171">
        <v>1995</v>
      </c>
    </row>
    <row r="172" spans="1:10" x14ac:dyDescent="0.2">
      <c r="A172">
        <v>171</v>
      </c>
      <c r="B172">
        <v>2018</v>
      </c>
      <c r="C172" t="s">
        <v>10</v>
      </c>
      <c r="D172" t="str">
        <f t="shared" si="11"/>
        <v>diesel vehicle</v>
      </c>
      <c r="E172" t="s">
        <v>18</v>
      </c>
      <c r="F172" t="s">
        <v>22</v>
      </c>
      <c r="G172" t="s">
        <v>9</v>
      </c>
      <c r="H172" t="str">
        <f t="shared" si="12"/>
        <v>出租车</v>
      </c>
      <c r="I172" t="str">
        <f t="shared" si="13"/>
        <v>Passenger LDV</v>
      </c>
      <c r="J172">
        <v>225</v>
      </c>
    </row>
    <row r="173" spans="1:10" x14ac:dyDescent="0.2">
      <c r="A173">
        <v>172</v>
      </c>
      <c r="B173">
        <v>2019</v>
      </c>
      <c r="C173" t="s">
        <v>10</v>
      </c>
      <c r="D173" t="str">
        <f t="shared" si="11"/>
        <v>diesel vehicle</v>
      </c>
      <c r="E173" t="s">
        <v>18</v>
      </c>
      <c r="F173" t="s">
        <v>22</v>
      </c>
      <c r="G173" t="s">
        <v>9</v>
      </c>
      <c r="H173" t="str">
        <f t="shared" si="12"/>
        <v>出租车</v>
      </c>
      <c r="I173" t="str">
        <f t="shared" si="13"/>
        <v>Passenger LDV</v>
      </c>
      <c r="J173">
        <v>279</v>
      </c>
    </row>
    <row r="174" spans="1:10" x14ac:dyDescent="0.2">
      <c r="A174">
        <v>173</v>
      </c>
      <c r="B174">
        <v>2020</v>
      </c>
      <c r="C174" t="s">
        <v>10</v>
      </c>
      <c r="D174" t="str">
        <f t="shared" si="11"/>
        <v>diesel vehicle</v>
      </c>
      <c r="E174" t="s">
        <v>18</v>
      </c>
      <c r="F174" t="s">
        <v>22</v>
      </c>
      <c r="G174" t="s">
        <v>9</v>
      </c>
      <c r="H174" t="str">
        <f t="shared" si="12"/>
        <v>出租车</v>
      </c>
      <c r="I174" t="str">
        <f t="shared" si="13"/>
        <v>Passenger LDV</v>
      </c>
      <c r="J174">
        <v>518</v>
      </c>
    </row>
    <row r="175" spans="1:10" x14ac:dyDescent="0.2">
      <c r="A175">
        <v>174</v>
      </c>
      <c r="B175">
        <v>2021</v>
      </c>
      <c r="C175" t="s">
        <v>10</v>
      </c>
      <c r="D175" t="str">
        <f t="shared" si="11"/>
        <v>diesel vehicle</v>
      </c>
      <c r="E175" t="s">
        <v>18</v>
      </c>
      <c r="F175" t="s">
        <v>22</v>
      </c>
      <c r="G175" t="s">
        <v>9</v>
      </c>
      <c r="H175" t="str">
        <f t="shared" si="12"/>
        <v>出租车</v>
      </c>
      <c r="I175" t="str">
        <f t="shared" si="13"/>
        <v>Passenger LDV</v>
      </c>
      <c r="J175">
        <v>414</v>
      </c>
    </row>
    <row r="176" spans="1:10" x14ac:dyDescent="0.2">
      <c r="A176">
        <v>175</v>
      </c>
      <c r="B176">
        <v>2015</v>
      </c>
      <c r="C176" t="s">
        <v>11</v>
      </c>
      <c r="D176" t="str">
        <f t="shared" si="11"/>
        <v>battery electric vehicle</v>
      </c>
      <c r="E176" t="s">
        <v>18</v>
      </c>
      <c r="F176" t="s">
        <v>22</v>
      </c>
      <c r="G176" t="s">
        <v>9</v>
      </c>
      <c r="H176" t="str">
        <f t="shared" si="12"/>
        <v>出租车</v>
      </c>
      <c r="I176" t="str">
        <f t="shared" si="13"/>
        <v>Passenger LDV</v>
      </c>
      <c r="J176">
        <v>48</v>
      </c>
    </row>
    <row r="177" spans="1:10" x14ac:dyDescent="0.2">
      <c r="A177">
        <v>176</v>
      </c>
      <c r="B177">
        <v>2020</v>
      </c>
      <c r="C177" t="s">
        <v>11</v>
      </c>
      <c r="D177" t="str">
        <f t="shared" si="11"/>
        <v>battery electric vehicle</v>
      </c>
      <c r="E177" t="s">
        <v>18</v>
      </c>
      <c r="F177" t="s">
        <v>22</v>
      </c>
      <c r="G177" t="s">
        <v>9</v>
      </c>
      <c r="H177" t="str">
        <f t="shared" si="12"/>
        <v>出租车</v>
      </c>
      <c r="I177" t="str">
        <f t="shared" si="13"/>
        <v>Passenger LDV</v>
      </c>
      <c r="J177">
        <v>2</v>
      </c>
    </row>
    <row r="178" spans="1:10" x14ac:dyDescent="0.2">
      <c r="A178">
        <v>177</v>
      </c>
      <c r="B178">
        <v>2015</v>
      </c>
      <c r="C178" t="s">
        <v>13</v>
      </c>
      <c r="D178" t="str">
        <f t="shared" si="11"/>
        <v>gasoline vehicle</v>
      </c>
      <c r="E178" t="s">
        <v>18</v>
      </c>
      <c r="F178" t="s">
        <v>22</v>
      </c>
      <c r="G178" t="s">
        <v>9</v>
      </c>
      <c r="H178" t="str">
        <f t="shared" si="12"/>
        <v>出租车</v>
      </c>
      <c r="I178" t="str">
        <f t="shared" si="13"/>
        <v>Passenger LDV</v>
      </c>
      <c r="J178">
        <v>52</v>
      </c>
    </row>
    <row r="179" spans="1:10" x14ac:dyDescent="0.2">
      <c r="A179">
        <v>178</v>
      </c>
      <c r="B179">
        <v>2016</v>
      </c>
      <c r="C179" t="s">
        <v>13</v>
      </c>
      <c r="D179" t="str">
        <f t="shared" si="11"/>
        <v>gasoline vehicle</v>
      </c>
      <c r="E179" t="s">
        <v>18</v>
      </c>
      <c r="F179" t="s">
        <v>22</v>
      </c>
      <c r="G179" t="s">
        <v>9</v>
      </c>
      <c r="H179" t="str">
        <f t="shared" si="12"/>
        <v>出租车</v>
      </c>
      <c r="I179" t="str">
        <f t="shared" si="13"/>
        <v>Passenger LDV</v>
      </c>
      <c r="J179">
        <v>99</v>
      </c>
    </row>
    <row r="180" spans="1:10" x14ac:dyDescent="0.2">
      <c r="A180">
        <v>179</v>
      </c>
      <c r="B180">
        <v>2017</v>
      </c>
      <c r="C180" t="s">
        <v>13</v>
      </c>
      <c r="D180" t="str">
        <f t="shared" si="11"/>
        <v>gasoline vehicle</v>
      </c>
      <c r="E180" t="s">
        <v>18</v>
      </c>
      <c r="F180" t="s">
        <v>22</v>
      </c>
      <c r="G180" t="s">
        <v>9</v>
      </c>
      <c r="H180" t="str">
        <f t="shared" si="12"/>
        <v>出租车</v>
      </c>
      <c r="I180" t="str">
        <f t="shared" si="13"/>
        <v>Passenger LDV</v>
      </c>
      <c r="J180">
        <v>651</v>
      </c>
    </row>
    <row r="181" spans="1:10" x14ac:dyDescent="0.2">
      <c r="A181">
        <v>180</v>
      </c>
      <c r="B181">
        <v>2018</v>
      </c>
      <c r="C181" t="s">
        <v>13</v>
      </c>
      <c r="D181" t="str">
        <f t="shared" si="11"/>
        <v>gasoline vehicle</v>
      </c>
      <c r="E181" t="s">
        <v>18</v>
      </c>
      <c r="F181" t="s">
        <v>22</v>
      </c>
      <c r="G181" t="s">
        <v>9</v>
      </c>
      <c r="H181" t="str">
        <f t="shared" si="12"/>
        <v>出租车</v>
      </c>
      <c r="I181" t="str">
        <f t="shared" si="13"/>
        <v>Passenger LDV</v>
      </c>
      <c r="J181">
        <v>91</v>
      </c>
    </row>
    <row r="182" spans="1:10" x14ac:dyDescent="0.2">
      <c r="A182">
        <v>181</v>
      </c>
      <c r="B182">
        <v>2019</v>
      </c>
      <c r="C182" t="s">
        <v>13</v>
      </c>
      <c r="D182" t="str">
        <f t="shared" si="11"/>
        <v>gasoline vehicle</v>
      </c>
      <c r="E182" t="s">
        <v>18</v>
      </c>
      <c r="F182" t="s">
        <v>22</v>
      </c>
      <c r="G182" t="s">
        <v>9</v>
      </c>
      <c r="H182" t="str">
        <f t="shared" si="12"/>
        <v>出租车</v>
      </c>
      <c r="I182" t="str">
        <f t="shared" si="13"/>
        <v>Passenger LDV</v>
      </c>
      <c r="J182">
        <v>59</v>
      </c>
    </row>
    <row r="183" spans="1:10" x14ac:dyDescent="0.2">
      <c r="A183">
        <v>182</v>
      </c>
      <c r="B183">
        <v>2020</v>
      </c>
      <c r="C183" t="s">
        <v>13</v>
      </c>
      <c r="D183" t="str">
        <f t="shared" si="11"/>
        <v>gasoline vehicle</v>
      </c>
      <c r="E183" t="s">
        <v>18</v>
      </c>
      <c r="F183" t="s">
        <v>22</v>
      </c>
      <c r="G183" t="s">
        <v>9</v>
      </c>
      <c r="H183" t="str">
        <f t="shared" si="12"/>
        <v>出租车</v>
      </c>
      <c r="I183" t="str">
        <f t="shared" si="13"/>
        <v>Passenger LDV</v>
      </c>
      <c r="J183">
        <v>56</v>
      </c>
    </row>
    <row r="184" spans="1:10" x14ac:dyDescent="0.2">
      <c r="A184">
        <v>183</v>
      </c>
      <c r="B184">
        <v>2021</v>
      </c>
      <c r="C184" t="s">
        <v>13</v>
      </c>
      <c r="D184" t="str">
        <f t="shared" si="11"/>
        <v>gasoline vehicle</v>
      </c>
      <c r="E184" t="s">
        <v>18</v>
      </c>
      <c r="F184" t="s">
        <v>22</v>
      </c>
      <c r="G184" t="s">
        <v>9</v>
      </c>
      <c r="H184" t="str">
        <f t="shared" si="12"/>
        <v>出租车</v>
      </c>
      <c r="I184" t="str">
        <f t="shared" si="13"/>
        <v>Passenger LDV</v>
      </c>
      <c r="J184">
        <v>53</v>
      </c>
    </row>
    <row r="185" spans="1:10" x14ac:dyDescent="0.2">
      <c r="A185">
        <v>184</v>
      </c>
      <c r="B185">
        <v>2016</v>
      </c>
      <c r="C185" t="s">
        <v>14</v>
      </c>
      <c r="D185" t="str">
        <f t="shared" si="11"/>
        <v>natural gas vehicle</v>
      </c>
      <c r="E185" t="s">
        <v>18</v>
      </c>
      <c r="F185" t="s">
        <v>22</v>
      </c>
      <c r="G185" t="s">
        <v>9</v>
      </c>
      <c r="H185" t="str">
        <f t="shared" si="12"/>
        <v>出租车</v>
      </c>
      <c r="I185" t="str">
        <f t="shared" si="13"/>
        <v>Passenger LDV</v>
      </c>
      <c r="J185">
        <v>9</v>
      </c>
    </row>
    <row r="186" spans="1:10" x14ac:dyDescent="0.2">
      <c r="A186">
        <v>185</v>
      </c>
      <c r="B186">
        <v>2019</v>
      </c>
      <c r="C186" t="s">
        <v>14</v>
      </c>
      <c r="D186" t="str">
        <f t="shared" si="11"/>
        <v>natural gas vehicle</v>
      </c>
      <c r="E186" t="s">
        <v>18</v>
      </c>
      <c r="F186" t="s">
        <v>22</v>
      </c>
      <c r="G186" t="s">
        <v>9</v>
      </c>
      <c r="H186" t="str">
        <f t="shared" si="12"/>
        <v>出租车</v>
      </c>
      <c r="I186" t="str">
        <f t="shared" si="13"/>
        <v>Passenger LDV</v>
      </c>
      <c r="J186">
        <v>3</v>
      </c>
    </row>
    <row r="187" spans="1:10" x14ac:dyDescent="0.2">
      <c r="A187">
        <v>186</v>
      </c>
      <c r="B187">
        <v>2015</v>
      </c>
      <c r="C187" t="s">
        <v>10</v>
      </c>
      <c r="D187" t="str">
        <f t="shared" si="11"/>
        <v>diesel vehicle</v>
      </c>
      <c r="E187" t="s">
        <v>19</v>
      </c>
      <c r="F187" t="s">
        <v>22</v>
      </c>
      <c r="G187" t="s">
        <v>9</v>
      </c>
      <c r="H187" t="str">
        <f t="shared" si="12"/>
        <v>中重型货车</v>
      </c>
      <c r="I187" t="str">
        <f t="shared" si="13"/>
        <v>Freight HDV</v>
      </c>
      <c r="J187">
        <v>277</v>
      </c>
    </row>
    <row r="188" spans="1:10" x14ac:dyDescent="0.2">
      <c r="A188">
        <v>187</v>
      </c>
      <c r="B188">
        <v>2017</v>
      </c>
      <c r="C188" t="s">
        <v>10</v>
      </c>
      <c r="D188" t="str">
        <f t="shared" si="11"/>
        <v>diesel vehicle</v>
      </c>
      <c r="E188" t="s">
        <v>19</v>
      </c>
      <c r="F188" t="s">
        <v>22</v>
      </c>
      <c r="G188" t="s">
        <v>9</v>
      </c>
      <c r="H188" t="str">
        <f t="shared" si="12"/>
        <v>中重型货车</v>
      </c>
      <c r="I188" t="str">
        <f t="shared" si="13"/>
        <v>Freight HDV</v>
      </c>
      <c r="J188">
        <v>6</v>
      </c>
    </row>
    <row r="189" spans="1:10" x14ac:dyDescent="0.2">
      <c r="A189">
        <v>188</v>
      </c>
      <c r="B189">
        <v>2015</v>
      </c>
      <c r="C189" t="s">
        <v>10</v>
      </c>
      <c r="D189" t="str">
        <f t="shared" si="11"/>
        <v>diesel vehicle</v>
      </c>
      <c r="E189" t="s">
        <v>20</v>
      </c>
      <c r="F189" t="s">
        <v>22</v>
      </c>
      <c r="G189" t="s">
        <v>9</v>
      </c>
      <c r="H189" t="str">
        <f t="shared" si="12"/>
        <v>道路客车</v>
      </c>
      <c r="I189" t="str">
        <f t="shared" si="13"/>
        <v>Passenger HDV</v>
      </c>
      <c r="J189">
        <v>459</v>
      </c>
    </row>
    <row r="190" spans="1:10" x14ac:dyDescent="0.2">
      <c r="A190">
        <v>189</v>
      </c>
      <c r="B190">
        <v>2016</v>
      </c>
      <c r="C190" t="s">
        <v>10</v>
      </c>
      <c r="D190" t="str">
        <f t="shared" si="11"/>
        <v>diesel vehicle</v>
      </c>
      <c r="E190" t="s">
        <v>20</v>
      </c>
      <c r="F190" t="s">
        <v>22</v>
      </c>
      <c r="G190" t="s">
        <v>9</v>
      </c>
      <c r="H190" t="str">
        <f t="shared" si="12"/>
        <v>道路客车</v>
      </c>
      <c r="I190" t="str">
        <f t="shared" si="13"/>
        <v>Passenger HDV</v>
      </c>
      <c r="J190">
        <v>376</v>
      </c>
    </row>
    <row r="191" spans="1:10" x14ac:dyDescent="0.2">
      <c r="A191">
        <v>190</v>
      </c>
      <c r="B191">
        <v>2017</v>
      </c>
      <c r="C191" t="s">
        <v>10</v>
      </c>
      <c r="D191" t="str">
        <f t="shared" si="11"/>
        <v>diesel vehicle</v>
      </c>
      <c r="E191" t="s">
        <v>20</v>
      </c>
      <c r="F191" t="s">
        <v>22</v>
      </c>
      <c r="G191" t="s">
        <v>9</v>
      </c>
      <c r="H191" t="str">
        <f t="shared" si="12"/>
        <v>道路客车</v>
      </c>
      <c r="I191" t="str">
        <f t="shared" si="13"/>
        <v>Passenger HDV</v>
      </c>
      <c r="J191">
        <v>451</v>
      </c>
    </row>
    <row r="192" spans="1:10" x14ac:dyDescent="0.2">
      <c r="A192">
        <v>191</v>
      </c>
      <c r="B192">
        <v>2018</v>
      </c>
      <c r="C192" t="s">
        <v>10</v>
      </c>
      <c r="D192" t="str">
        <f t="shared" si="11"/>
        <v>diesel vehicle</v>
      </c>
      <c r="E192" t="s">
        <v>20</v>
      </c>
      <c r="F192" t="s">
        <v>22</v>
      </c>
      <c r="G192" t="s">
        <v>9</v>
      </c>
      <c r="H192" t="str">
        <f t="shared" si="12"/>
        <v>道路客车</v>
      </c>
      <c r="I192" t="str">
        <f t="shared" si="13"/>
        <v>Passenger HDV</v>
      </c>
      <c r="J192">
        <v>124</v>
      </c>
    </row>
    <row r="193" spans="1:10" x14ac:dyDescent="0.2">
      <c r="A193">
        <v>192</v>
      </c>
      <c r="B193">
        <v>2019</v>
      </c>
      <c r="C193" t="s">
        <v>10</v>
      </c>
      <c r="D193" t="str">
        <f t="shared" si="11"/>
        <v>diesel vehicle</v>
      </c>
      <c r="E193" t="s">
        <v>20</v>
      </c>
      <c r="F193" t="s">
        <v>22</v>
      </c>
      <c r="G193" t="s">
        <v>9</v>
      </c>
      <c r="H193" t="str">
        <f t="shared" si="12"/>
        <v>道路客车</v>
      </c>
      <c r="I193" t="str">
        <f t="shared" si="13"/>
        <v>Passenger HDV</v>
      </c>
      <c r="J193">
        <v>108</v>
      </c>
    </row>
    <row r="194" spans="1:10" x14ac:dyDescent="0.2">
      <c r="A194">
        <v>193</v>
      </c>
      <c r="B194">
        <v>2020</v>
      </c>
      <c r="C194" t="s">
        <v>10</v>
      </c>
      <c r="D194" t="str">
        <f t="shared" ref="D194:D257" si="14">VLOOKUP(C194,M$3:N$16,2,FALSE)</f>
        <v>diesel vehicle</v>
      </c>
      <c r="E194" t="s">
        <v>20</v>
      </c>
      <c r="F194" t="s">
        <v>22</v>
      </c>
      <c r="G194" t="s">
        <v>9</v>
      </c>
      <c r="H194" t="str">
        <f t="shared" si="12"/>
        <v>道路客车</v>
      </c>
      <c r="I194" t="str">
        <f t="shared" si="13"/>
        <v>Passenger HDV</v>
      </c>
      <c r="J194">
        <v>47</v>
      </c>
    </row>
    <row r="195" spans="1:10" x14ac:dyDescent="0.2">
      <c r="A195">
        <v>194</v>
      </c>
      <c r="B195">
        <v>2021</v>
      </c>
      <c r="C195" t="s">
        <v>10</v>
      </c>
      <c r="D195" t="str">
        <f t="shared" si="14"/>
        <v>diesel vehicle</v>
      </c>
      <c r="E195" t="s">
        <v>20</v>
      </c>
      <c r="F195" t="s">
        <v>22</v>
      </c>
      <c r="G195" t="s">
        <v>9</v>
      </c>
      <c r="H195" t="str">
        <f t="shared" ref="H195:H258" si="15">VLOOKUP(E195&amp;F195&amp;G195,$S$3:$U$68,2,FALSE)</f>
        <v>道路客车</v>
      </c>
      <c r="I195" t="str">
        <f t="shared" ref="I195:I258" si="16">VLOOKUP(E195&amp;F195&amp;G195,$S$3:$U$68,3,FALSE)</f>
        <v>Passenger HDV</v>
      </c>
      <c r="J195">
        <v>54</v>
      </c>
    </row>
    <row r="196" spans="1:10" x14ac:dyDescent="0.2">
      <c r="A196">
        <v>195</v>
      </c>
      <c r="B196">
        <v>2020</v>
      </c>
      <c r="C196" t="s">
        <v>11</v>
      </c>
      <c r="D196" t="str">
        <f t="shared" si="14"/>
        <v>battery electric vehicle</v>
      </c>
      <c r="E196" t="s">
        <v>20</v>
      </c>
      <c r="F196" t="s">
        <v>22</v>
      </c>
      <c r="G196" t="s">
        <v>9</v>
      </c>
      <c r="H196" t="str">
        <f t="shared" si="15"/>
        <v>道路客车</v>
      </c>
      <c r="I196" t="str">
        <f t="shared" si="16"/>
        <v>Passenger HDV</v>
      </c>
      <c r="J196">
        <v>3</v>
      </c>
    </row>
    <row r="197" spans="1:10" x14ac:dyDescent="0.2">
      <c r="A197">
        <v>196</v>
      </c>
      <c r="B197">
        <v>2021</v>
      </c>
      <c r="C197" t="s">
        <v>11</v>
      </c>
      <c r="D197" t="str">
        <f t="shared" si="14"/>
        <v>battery electric vehicle</v>
      </c>
      <c r="E197" t="s">
        <v>20</v>
      </c>
      <c r="F197" t="s">
        <v>22</v>
      </c>
      <c r="G197" t="s">
        <v>9</v>
      </c>
      <c r="H197" t="str">
        <f t="shared" si="15"/>
        <v>道路客车</v>
      </c>
      <c r="I197" t="str">
        <f t="shared" si="16"/>
        <v>Passenger HDV</v>
      </c>
      <c r="J197">
        <v>9</v>
      </c>
    </row>
    <row r="198" spans="1:10" x14ac:dyDescent="0.2">
      <c r="A198">
        <v>197</v>
      </c>
      <c r="B198">
        <v>2015</v>
      </c>
      <c r="C198" t="s">
        <v>13</v>
      </c>
      <c r="D198" t="str">
        <f t="shared" si="14"/>
        <v>gasoline vehicle</v>
      </c>
      <c r="E198" t="s">
        <v>20</v>
      </c>
      <c r="F198" t="s">
        <v>22</v>
      </c>
      <c r="G198" t="s">
        <v>9</v>
      </c>
      <c r="H198" t="str">
        <f t="shared" si="15"/>
        <v>道路客车</v>
      </c>
      <c r="I198" t="str">
        <f t="shared" si="16"/>
        <v>Passenger HDV</v>
      </c>
      <c r="J198">
        <v>76</v>
      </c>
    </row>
    <row r="199" spans="1:10" x14ac:dyDescent="0.2">
      <c r="A199">
        <v>198</v>
      </c>
      <c r="B199">
        <v>2016</v>
      </c>
      <c r="C199" t="s">
        <v>13</v>
      </c>
      <c r="D199" t="str">
        <f t="shared" si="14"/>
        <v>gasoline vehicle</v>
      </c>
      <c r="E199" t="s">
        <v>20</v>
      </c>
      <c r="F199" t="s">
        <v>22</v>
      </c>
      <c r="G199" t="s">
        <v>9</v>
      </c>
      <c r="H199" t="str">
        <f t="shared" si="15"/>
        <v>道路客车</v>
      </c>
      <c r="I199" t="str">
        <f t="shared" si="16"/>
        <v>Passenger HDV</v>
      </c>
      <c r="J199">
        <v>101</v>
      </c>
    </row>
    <row r="200" spans="1:10" x14ac:dyDescent="0.2">
      <c r="A200">
        <v>199</v>
      </c>
      <c r="B200">
        <v>2017</v>
      </c>
      <c r="C200" t="s">
        <v>13</v>
      </c>
      <c r="D200" t="str">
        <f t="shared" si="14"/>
        <v>gasoline vehicle</v>
      </c>
      <c r="E200" t="s">
        <v>20</v>
      </c>
      <c r="F200" t="s">
        <v>22</v>
      </c>
      <c r="G200" t="s">
        <v>9</v>
      </c>
      <c r="H200" t="str">
        <f t="shared" si="15"/>
        <v>道路客车</v>
      </c>
      <c r="I200" t="str">
        <f t="shared" si="16"/>
        <v>Passenger HDV</v>
      </c>
      <c r="J200">
        <v>220</v>
      </c>
    </row>
    <row r="201" spans="1:10" x14ac:dyDescent="0.2">
      <c r="A201">
        <v>200</v>
      </c>
      <c r="B201">
        <v>2018</v>
      </c>
      <c r="C201" t="s">
        <v>13</v>
      </c>
      <c r="D201" t="str">
        <f t="shared" si="14"/>
        <v>gasoline vehicle</v>
      </c>
      <c r="E201" t="s">
        <v>20</v>
      </c>
      <c r="F201" t="s">
        <v>22</v>
      </c>
      <c r="G201" t="s">
        <v>9</v>
      </c>
      <c r="H201" t="str">
        <f t="shared" si="15"/>
        <v>道路客车</v>
      </c>
      <c r="I201" t="str">
        <f t="shared" si="16"/>
        <v>Passenger HDV</v>
      </c>
      <c r="J201">
        <v>75</v>
      </c>
    </row>
    <row r="202" spans="1:10" x14ac:dyDescent="0.2">
      <c r="A202">
        <v>201</v>
      </c>
      <c r="B202">
        <v>2019</v>
      </c>
      <c r="C202" t="s">
        <v>13</v>
      </c>
      <c r="D202" t="str">
        <f t="shared" si="14"/>
        <v>gasoline vehicle</v>
      </c>
      <c r="E202" t="s">
        <v>20</v>
      </c>
      <c r="F202" t="s">
        <v>22</v>
      </c>
      <c r="G202" t="s">
        <v>9</v>
      </c>
      <c r="H202" t="str">
        <f t="shared" si="15"/>
        <v>道路客车</v>
      </c>
      <c r="I202" t="str">
        <f t="shared" si="16"/>
        <v>Passenger HDV</v>
      </c>
      <c r="J202">
        <v>27</v>
      </c>
    </row>
    <row r="203" spans="1:10" x14ac:dyDescent="0.2">
      <c r="A203">
        <v>202</v>
      </c>
      <c r="B203">
        <v>2020</v>
      </c>
      <c r="C203" t="s">
        <v>13</v>
      </c>
      <c r="D203" t="str">
        <f t="shared" si="14"/>
        <v>gasoline vehicle</v>
      </c>
      <c r="E203" t="s">
        <v>20</v>
      </c>
      <c r="F203" t="s">
        <v>22</v>
      </c>
      <c r="G203" t="s">
        <v>9</v>
      </c>
      <c r="H203" t="str">
        <f t="shared" si="15"/>
        <v>道路客车</v>
      </c>
      <c r="I203" t="str">
        <f t="shared" si="16"/>
        <v>Passenger HDV</v>
      </c>
      <c r="J203">
        <v>1</v>
      </c>
    </row>
    <row r="204" spans="1:10" x14ac:dyDescent="0.2">
      <c r="A204">
        <v>203</v>
      </c>
      <c r="B204">
        <v>2021</v>
      </c>
      <c r="C204" t="s">
        <v>13</v>
      </c>
      <c r="D204" t="str">
        <f t="shared" si="14"/>
        <v>gasoline vehicle</v>
      </c>
      <c r="E204" t="s">
        <v>20</v>
      </c>
      <c r="F204" t="s">
        <v>22</v>
      </c>
      <c r="G204" t="s">
        <v>9</v>
      </c>
      <c r="H204" t="str">
        <f t="shared" si="15"/>
        <v>道路客车</v>
      </c>
      <c r="I204" t="str">
        <f t="shared" si="16"/>
        <v>Passenger HDV</v>
      </c>
      <c r="J204">
        <v>12</v>
      </c>
    </row>
    <row r="205" spans="1:10" x14ac:dyDescent="0.2">
      <c r="A205">
        <v>204</v>
      </c>
      <c r="B205">
        <v>2016</v>
      </c>
      <c r="C205" t="s">
        <v>16</v>
      </c>
      <c r="D205" t="str">
        <f t="shared" si="14"/>
        <v>natural gas vehicle</v>
      </c>
      <c r="E205" t="s">
        <v>20</v>
      </c>
      <c r="F205" t="s">
        <v>22</v>
      </c>
      <c r="G205" t="s">
        <v>9</v>
      </c>
      <c r="H205" t="str">
        <f t="shared" si="15"/>
        <v>道路客车</v>
      </c>
      <c r="I205" t="str">
        <f t="shared" si="16"/>
        <v>Passenger HDV</v>
      </c>
      <c r="J205">
        <v>2</v>
      </c>
    </row>
    <row r="206" spans="1:10" x14ac:dyDescent="0.2">
      <c r="A206">
        <v>205</v>
      </c>
      <c r="B206">
        <v>2015</v>
      </c>
      <c r="C206" t="s">
        <v>10</v>
      </c>
      <c r="D206" t="str">
        <f t="shared" si="14"/>
        <v>diesel vehicle</v>
      </c>
      <c r="E206" t="s">
        <v>21</v>
      </c>
      <c r="F206" t="s">
        <v>22</v>
      </c>
      <c r="G206" t="s">
        <v>9</v>
      </c>
      <c r="H206" t="str">
        <f t="shared" si="15"/>
        <v>中重型货车</v>
      </c>
      <c r="I206" t="str">
        <f t="shared" si="16"/>
        <v>Freight HDV</v>
      </c>
      <c r="J206">
        <v>646</v>
      </c>
    </row>
    <row r="207" spans="1:10" x14ac:dyDescent="0.2">
      <c r="A207">
        <v>206</v>
      </c>
      <c r="B207">
        <v>2016</v>
      </c>
      <c r="C207" t="s">
        <v>10</v>
      </c>
      <c r="D207" t="str">
        <f t="shared" si="14"/>
        <v>diesel vehicle</v>
      </c>
      <c r="E207" t="s">
        <v>21</v>
      </c>
      <c r="F207" t="s">
        <v>22</v>
      </c>
      <c r="G207" t="s">
        <v>9</v>
      </c>
      <c r="H207" t="str">
        <f t="shared" si="15"/>
        <v>中重型货车</v>
      </c>
      <c r="I207" t="str">
        <f t="shared" si="16"/>
        <v>Freight HDV</v>
      </c>
      <c r="J207">
        <v>1</v>
      </c>
    </row>
    <row r="208" spans="1:10" x14ac:dyDescent="0.2">
      <c r="A208">
        <v>207</v>
      </c>
      <c r="B208">
        <v>2017</v>
      </c>
      <c r="C208" t="s">
        <v>10</v>
      </c>
      <c r="D208" t="str">
        <f t="shared" si="14"/>
        <v>diesel vehicle</v>
      </c>
      <c r="E208" t="s">
        <v>21</v>
      </c>
      <c r="F208" t="s">
        <v>22</v>
      </c>
      <c r="G208" t="s">
        <v>9</v>
      </c>
      <c r="H208" t="str">
        <f t="shared" si="15"/>
        <v>中重型货车</v>
      </c>
      <c r="I208" t="str">
        <f t="shared" si="16"/>
        <v>Freight HDV</v>
      </c>
      <c r="J208">
        <v>1</v>
      </c>
    </row>
    <row r="209" spans="1:10" x14ac:dyDescent="0.2">
      <c r="A209">
        <v>208</v>
      </c>
      <c r="B209">
        <v>2019</v>
      </c>
      <c r="C209" t="s">
        <v>10</v>
      </c>
      <c r="D209" t="str">
        <f t="shared" si="14"/>
        <v>diesel vehicle</v>
      </c>
      <c r="E209" t="s">
        <v>21</v>
      </c>
      <c r="F209" t="s">
        <v>22</v>
      </c>
      <c r="G209" t="s">
        <v>9</v>
      </c>
      <c r="H209" t="str">
        <f t="shared" si="15"/>
        <v>中重型货车</v>
      </c>
      <c r="I209" t="str">
        <f t="shared" si="16"/>
        <v>Freight HDV</v>
      </c>
      <c r="J209">
        <v>1</v>
      </c>
    </row>
    <row r="210" spans="1:10" x14ac:dyDescent="0.2">
      <c r="A210">
        <v>209</v>
      </c>
      <c r="B210">
        <v>2020</v>
      </c>
      <c r="C210" t="s">
        <v>10</v>
      </c>
      <c r="D210" t="str">
        <f t="shared" si="14"/>
        <v>diesel vehicle</v>
      </c>
      <c r="E210" t="s">
        <v>21</v>
      </c>
      <c r="F210" t="s">
        <v>22</v>
      </c>
      <c r="G210" t="s">
        <v>9</v>
      </c>
      <c r="H210" t="str">
        <f t="shared" si="15"/>
        <v>中重型货车</v>
      </c>
      <c r="I210" t="str">
        <f t="shared" si="16"/>
        <v>Freight HDV</v>
      </c>
      <c r="J210">
        <v>2</v>
      </c>
    </row>
    <row r="211" spans="1:10" x14ac:dyDescent="0.2">
      <c r="A211">
        <v>210</v>
      </c>
      <c r="B211">
        <v>2015</v>
      </c>
      <c r="C211" t="s">
        <v>6</v>
      </c>
      <c r="D211" t="str">
        <f t="shared" si="14"/>
        <v>plugin hybrid vehicle</v>
      </c>
      <c r="E211" t="s">
        <v>7</v>
      </c>
      <c r="F211" t="s">
        <v>25</v>
      </c>
      <c r="G211" t="s">
        <v>9</v>
      </c>
      <c r="H211" t="str">
        <f t="shared" si="15"/>
        <v>道路客车</v>
      </c>
      <c r="I211" t="str">
        <f t="shared" si="16"/>
        <v>Passenger HDV</v>
      </c>
      <c r="J211">
        <v>375</v>
      </c>
    </row>
    <row r="212" spans="1:10" x14ac:dyDescent="0.2">
      <c r="A212">
        <v>211</v>
      </c>
      <c r="B212">
        <v>2016</v>
      </c>
      <c r="C212" t="s">
        <v>6</v>
      </c>
      <c r="D212" t="str">
        <f t="shared" si="14"/>
        <v>plugin hybrid vehicle</v>
      </c>
      <c r="E212" t="s">
        <v>7</v>
      </c>
      <c r="F212" t="s">
        <v>25</v>
      </c>
      <c r="G212" t="s">
        <v>9</v>
      </c>
      <c r="H212" t="str">
        <f t="shared" si="15"/>
        <v>道路客车</v>
      </c>
      <c r="I212" t="str">
        <f t="shared" si="16"/>
        <v>Passenger HDV</v>
      </c>
      <c r="J212">
        <v>532</v>
      </c>
    </row>
    <row r="213" spans="1:10" x14ac:dyDescent="0.2">
      <c r="A213">
        <v>212</v>
      </c>
      <c r="B213">
        <v>2017</v>
      </c>
      <c r="C213" t="s">
        <v>6</v>
      </c>
      <c r="D213" t="str">
        <f t="shared" si="14"/>
        <v>plugin hybrid vehicle</v>
      </c>
      <c r="E213" t="s">
        <v>7</v>
      </c>
      <c r="F213" t="s">
        <v>25</v>
      </c>
      <c r="G213" t="s">
        <v>9</v>
      </c>
      <c r="H213" t="str">
        <f t="shared" si="15"/>
        <v>道路客车</v>
      </c>
      <c r="I213" t="str">
        <f t="shared" si="16"/>
        <v>Passenger HDV</v>
      </c>
      <c r="J213">
        <v>434</v>
      </c>
    </row>
    <row r="214" spans="1:10" x14ac:dyDescent="0.2">
      <c r="A214">
        <v>213</v>
      </c>
      <c r="B214">
        <v>2018</v>
      </c>
      <c r="C214" t="s">
        <v>6</v>
      </c>
      <c r="D214" t="str">
        <f t="shared" si="14"/>
        <v>plugin hybrid vehicle</v>
      </c>
      <c r="E214" t="s">
        <v>7</v>
      </c>
      <c r="F214" t="s">
        <v>25</v>
      </c>
      <c r="G214" t="s">
        <v>9</v>
      </c>
      <c r="H214" t="str">
        <f t="shared" si="15"/>
        <v>道路客车</v>
      </c>
      <c r="I214" t="str">
        <f t="shared" si="16"/>
        <v>Passenger HDV</v>
      </c>
      <c r="J214">
        <v>64</v>
      </c>
    </row>
    <row r="215" spans="1:10" x14ac:dyDescent="0.2">
      <c r="A215">
        <v>214</v>
      </c>
      <c r="B215">
        <v>2019</v>
      </c>
      <c r="C215" t="s">
        <v>6</v>
      </c>
      <c r="D215" t="str">
        <f t="shared" si="14"/>
        <v>plugin hybrid vehicle</v>
      </c>
      <c r="E215" t="s">
        <v>7</v>
      </c>
      <c r="F215" t="s">
        <v>25</v>
      </c>
      <c r="G215" t="s">
        <v>9</v>
      </c>
      <c r="H215" t="str">
        <f t="shared" si="15"/>
        <v>道路客车</v>
      </c>
      <c r="I215" t="str">
        <f t="shared" si="16"/>
        <v>Passenger HDV</v>
      </c>
      <c r="J215">
        <v>4</v>
      </c>
    </row>
    <row r="216" spans="1:10" x14ac:dyDescent="0.2">
      <c r="A216">
        <v>215</v>
      </c>
      <c r="B216">
        <v>2020</v>
      </c>
      <c r="C216" t="s">
        <v>6</v>
      </c>
      <c r="D216" t="str">
        <f t="shared" si="14"/>
        <v>plugin hybrid vehicle</v>
      </c>
      <c r="E216" t="s">
        <v>7</v>
      </c>
      <c r="F216" t="s">
        <v>25</v>
      </c>
      <c r="G216" t="s">
        <v>9</v>
      </c>
      <c r="H216" t="str">
        <f t="shared" si="15"/>
        <v>道路客车</v>
      </c>
      <c r="I216" t="str">
        <f t="shared" si="16"/>
        <v>Passenger HDV</v>
      </c>
      <c r="J216">
        <v>4</v>
      </c>
    </row>
    <row r="217" spans="1:10" x14ac:dyDescent="0.2">
      <c r="A217">
        <v>216</v>
      </c>
      <c r="B217">
        <v>2021</v>
      </c>
      <c r="C217" t="s">
        <v>6</v>
      </c>
      <c r="D217" t="str">
        <f t="shared" si="14"/>
        <v>plugin hybrid vehicle</v>
      </c>
      <c r="E217" t="s">
        <v>7</v>
      </c>
      <c r="F217" t="s">
        <v>25</v>
      </c>
      <c r="G217" t="s">
        <v>9</v>
      </c>
      <c r="H217" t="str">
        <f t="shared" si="15"/>
        <v>道路客车</v>
      </c>
      <c r="I217" t="str">
        <f t="shared" si="16"/>
        <v>Passenger HDV</v>
      </c>
      <c r="J217">
        <v>2</v>
      </c>
    </row>
    <row r="218" spans="1:10" x14ac:dyDescent="0.2">
      <c r="A218">
        <v>217</v>
      </c>
      <c r="B218">
        <v>2015</v>
      </c>
      <c r="C218" t="s">
        <v>10</v>
      </c>
      <c r="D218" t="str">
        <f t="shared" si="14"/>
        <v>diesel vehicle</v>
      </c>
      <c r="E218" t="s">
        <v>7</v>
      </c>
      <c r="F218" t="s">
        <v>25</v>
      </c>
      <c r="G218" t="s">
        <v>9</v>
      </c>
      <c r="H218" t="str">
        <f t="shared" si="15"/>
        <v>道路客车</v>
      </c>
      <c r="I218" t="str">
        <f t="shared" si="16"/>
        <v>Passenger HDV</v>
      </c>
      <c r="J218">
        <v>15323</v>
      </c>
    </row>
    <row r="219" spans="1:10" x14ac:dyDescent="0.2">
      <c r="A219">
        <v>218</v>
      </c>
      <c r="B219">
        <v>2016</v>
      </c>
      <c r="C219" t="s">
        <v>10</v>
      </c>
      <c r="D219" t="str">
        <f t="shared" si="14"/>
        <v>diesel vehicle</v>
      </c>
      <c r="E219" t="s">
        <v>7</v>
      </c>
      <c r="F219" t="s">
        <v>25</v>
      </c>
      <c r="G219" t="s">
        <v>9</v>
      </c>
      <c r="H219" t="str">
        <f t="shared" si="15"/>
        <v>道路客车</v>
      </c>
      <c r="I219" t="str">
        <f t="shared" si="16"/>
        <v>Passenger HDV</v>
      </c>
      <c r="J219">
        <v>24796</v>
      </c>
    </row>
    <row r="220" spans="1:10" x14ac:dyDescent="0.2">
      <c r="A220">
        <v>219</v>
      </c>
      <c r="B220">
        <v>2017</v>
      </c>
      <c r="C220" t="s">
        <v>10</v>
      </c>
      <c r="D220" t="str">
        <f t="shared" si="14"/>
        <v>diesel vehicle</v>
      </c>
      <c r="E220" t="s">
        <v>7</v>
      </c>
      <c r="F220" t="s">
        <v>25</v>
      </c>
      <c r="G220" t="s">
        <v>9</v>
      </c>
      <c r="H220" t="str">
        <f t="shared" si="15"/>
        <v>道路客车</v>
      </c>
      <c r="I220" t="str">
        <f t="shared" si="16"/>
        <v>Passenger HDV</v>
      </c>
      <c r="J220">
        <v>20316</v>
      </c>
    </row>
    <row r="221" spans="1:10" x14ac:dyDescent="0.2">
      <c r="A221">
        <v>220</v>
      </c>
      <c r="B221">
        <v>2018</v>
      </c>
      <c r="C221" t="s">
        <v>10</v>
      </c>
      <c r="D221" t="str">
        <f t="shared" si="14"/>
        <v>diesel vehicle</v>
      </c>
      <c r="E221" t="s">
        <v>7</v>
      </c>
      <c r="F221" t="s">
        <v>25</v>
      </c>
      <c r="G221" t="s">
        <v>9</v>
      </c>
      <c r="H221" t="str">
        <f t="shared" si="15"/>
        <v>道路客车</v>
      </c>
      <c r="I221" t="str">
        <f t="shared" si="16"/>
        <v>Passenger HDV</v>
      </c>
      <c r="J221">
        <v>26773</v>
      </c>
    </row>
    <row r="222" spans="1:10" x14ac:dyDescent="0.2">
      <c r="A222">
        <v>221</v>
      </c>
      <c r="B222">
        <v>2019</v>
      </c>
      <c r="C222" t="s">
        <v>10</v>
      </c>
      <c r="D222" t="str">
        <f t="shared" si="14"/>
        <v>diesel vehicle</v>
      </c>
      <c r="E222" t="s">
        <v>7</v>
      </c>
      <c r="F222" t="s">
        <v>25</v>
      </c>
      <c r="G222" t="s">
        <v>9</v>
      </c>
      <c r="H222" t="str">
        <f t="shared" si="15"/>
        <v>道路客车</v>
      </c>
      <c r="I222" t="str">
        <f t="shared" si="16"/>
        <v>Passenger HDV</v>
      </c>
      <c r="J222">
        <v>17340</v>
      </c>
    </row>
    <row r="223" spans="1:10" x14ac:dyDescent="0.2">
      <c r="A223">
        <v>222</v>
      </c>
      <c r="B223">
        <v>2020</v>
      </c>
      <c r="C223" t="s">
        <v>10</v>
      </c>
      <c r="D223" t="str">
        <f t="shared" si="14"/>
        <v>diesel vehicle</v>
      </c>
      <c r="E223" t="s">
        <v>7</v>
      </c>
      <c r="F223" t="s">
        <v>25</v>
      </c>
      <c r="G223" t="s">
        <v>9</v>
      </c>
      <c r="H223" t="str">
        <f t="shared" si="15"/>
        <v>道路客车</v>
      </c>
      <c r="I223" t="str">
        <f t="shared" si="16"/>
        <v>Passenger HDV</v>
      </c>
      <c r="J223">
        <v>13091</v>
      </c>
    </row>
    <row r="224" spans="1:10" x14ac:dyDescent="0.2">
      <c r="A224">
        <v>223</v>
      </c>
      <c r="B224">
        <v>2021</v>
      </c>
      <c r="C224" t="s">
        <v>10</v>
      </c>
      <c r="D224" t="str">
        <f t="shared" si="14"/>
        <v>diesel vehicle</v>
      </c>
      <c r="E224" t="s">
        <v>7</v>
      </c>
      <c r="F224" t="s">
        <v>25</v>
      </c>
      <c r="G224" t="s">
        <v>9</v>
      </c>
      <c r="H224" t="str">
        <f t="shared" si="15"/>
        <v>道路客车</v>
      </c>
      <c r="I224" t="str">
        <f t="shared" si="16"/>
        <v>Passenger HDV</v>
      </c>
      <c r="J224">
        <v>14370</v>
      </c>
    </row>
    <row r="225" spans="1:10" x14ac:dyDescent="0.2">
      <c r="A225">
        <v>224</v>
      </c>
      <c r="B225">
        <v>2015</v>
      </c>
      <c r="C225" t="s">
        <v>11</v>
      </c>
      <c r="D225" t="str">
        <f t="shared" si="14"/>
        <v>battery electric vehicle</v>
      </c>
      <c r="E225" t="s">
        <v>7</v>
      </c>
      <c r="F225" t="s">
        <v>25</v>
      </c>
      <c r="G225" t="s">
        <v>9</v>
      </c>
      <c r="H225" t="str">
        <f t="shared" si="15"/>
        <v>道路客车</v>
      </c>
      <c r="I225" t="str">
        <f t="shared" si="16"/>
        <v>Passenger HDV</v>
      </c>
      <c r="J225">
        <v>31331</v>
      </c>
    </row>
    <row r="226" spans="1:10" x14ac:dyDescent="0.2">
      <c r="A226">
        <v>225</v>
      </c>
      <c r="B226">
        <v>2016</v>
      </c>
      <c r="C226" t="s">
        <v>11</v>
      </c>
      <c r="D226" t="str">
        <f t="shared" si="14"/>
        <v>battery electric vehicle</v>
      </c>
      <c r="E226" t="s">
        <v>7</v>
      </c>
      <c r="F226" t="s">
        <v>25</v>
      </c>
      <c r="G226" t="s">
        <v>9</v>
      </c>
      <c r="H226" t="str">
        <f t="shared" si="15"/>
        <v>道路客车</v>
      </c>
      <c r="I226" t="str">
        <f t="shared" si="16"/>
        <v>Passenger HDV</v>
      </c>
      <c r="J226">
        <v>23628</v>
      </c>
    </row>
    <row r="227" spans="1:10" x14ac:dyDescent="0.2">
      <c r="A227">
        <v>226</v>
      </c>
      <c r="B227">
        <v>2017</v>
      </c>
      <c r="C227" t="s">
        <v>11</v>
      </c>
      <c r="D227" t="str">
        <f t="shared" si="14"/>
        <v>battery electric vehicle</v>
      </c>
      <c r="E227" t="s">
        <v>7</v>
      </c>
      <c r="F227" t="s">
        <v>25</v>
      </c>
      <c r="G227" t="s">
        <v>9</v>
      </c>
      <c r="H227" t="str">
        <f t="shared" si="15"/>
        <v>道路客车</v>
      </c>
      <c r="I227" t="str">
        <f t="shared" si="16"/>
        <v>Passenger HDV</v>
      </c>
      <c r="J227">
        <v>11332</v>
      </c>
    </row>
    <row r="228" spans="1:10" x14ac:dyDescent="0.2">
      <c r="A228">
        <v>227</v>
      </c>
      <c r="B228">
        <v>2018</v>
      </c>
      <c r="C228" t="s">
        <v>11</v>
      </c>
      <c r="D228" t="str">
        <f t="shared" si="14"/>
        <v>battery electric vehicle</v>
      </c>
      <c r="E228" t="s">
        <v>7</v>
      </c>
      <c r="F228" t="s">
        <v>25</v>
      </c>
      <c r="G228" t="s">
        <v>9</v>
      </c>
      <c r="H228" t="str">
        <f t="shared" si="15"/>
        <v>道路客车</v>
      </c>
      <c r="I228" t="str">
        <f t="shared" si="16"/>
        <v>Passenger HDV</v>
      </c>
      <c r="J228">
        <v>2929</v>
      </c>
    </row>
    <row r="229" spans="1:10" x14ac:dyDescent="0.2">
      <c r="A229">
        <v>228</v>
      </c>
      <c r="B229">
        <v>2019</v>
      </c>
      <c r="C229" t="s">
        <v>11</v>
      </c>
      <c r="D229" t="str">
        <f t="shared" si="14"/>
        <v>battery electric vehicle</v>
      </c>
      <c r="E229" t="s">
        <v>7</v>
      </c>
      <c r="F229" t="s">
        <v>25</v>
      </c>
      <c r="G229" t="s">
        <v>9</v>
      </c>
      <c r="H229" t="str">
        <f t="shared" si="15"/>
        <v>道路客车</v>
      </c>
      <c r="I229" t="str">
        <f t="shared" si="16"/>
        <v>Passenger HDV</v>
      </c>
      <c r="J229">
        <v>1535</v>
      </c>
    </row>
    <row r="230" spans="1:10" x14ac:dyDescent="0.2">
      <c r="A230">
        <v>229</v>
      </c>
      <c r="B230">
        <v>2020</v>
      </c>
      <c r="C230" t="s">
        <v>11</v>
      </c>
      <c r="D230" t="str">
        <f t="shared" si="14"/>
        <v>battery electric vehicle</v>
      </c>
      <c r="E230" t="s">
        <v>7</v>
      </c>
      <c r="F230" t="s">
        <v>25</v>
      </c>
      <c r="G230" t="s">
        <v>9</v>
      </c>
      <c r="H230" t="str">
        <f t="shared" si="15"/>
        <v>道路客车</v>
      </c>
      <c r="I230" t="str">
        <f t="shared" si="16"/>
        <v>Passenger HDV</v>
      </c>
      <c r="J230">
        <v>667</v>
      </c>
    </row>
    <row r="231" spans="1:10" x14ac:dyDescent="0.2">
      <c r="A231">
        <v>230</v>
      </c>
      <c r="B231">
        <v>2021</v>
      </c>
      <c r="C231" t="s">
        <v>11</v>
      </c>
      <c r="D231" t="str">
        <f t="shared" si="14"/>
        <v>battery electric vehicle</v>
      </c>
      <c r="E231" t="s">
        <v>7</v>
      </c>
      <c r="F231" t="s">
        <v>25</v>
      </c>
      <c r="G231" t="s">
        <v>9</v>
      </c>
      <c r="H231" t="str">
        <f t="shared" si="15"/>
        <v>道路客车</v>
      </c>
      <c r="I231" t="str">
        <f t="shared" si="16"/>
        <v>Passenger HDV</v>
      </c>
      <c r="J231">
        <v>1144</v>
      </c>
    </row>
    <row r="232" spans="1:10" x14ac:dyDescent="0.2">
      <c r="A232">
        <v>231</v>
      </c>
      <c r="B232">
        <v>2015</v>
      </c>
      <c r="C232" t="s">
        <v>12</v>
      </c>
      <c r="D232" t="str">
        <f t="shared" si="14"/>
        <v>hybrid fuel vehicle</v>
      </c>
      <c r="E232" t="s">
        <v>7</v>
      </c>
      <c r="F232" t="s">
        <v>25</v>
      </c>
      <c r="G232" t="s">
        <v>9</v>
      </c>
      <c r="H232" t="str">
        <f t="shared" si="15"/>
        <v>道路客车</v>
      </c>
      <c r="I232" t="str">
        <f t="shared" si="16"/>
        <v>Passenger HDV</v>
      </c>
      <c r="J232">
        <v>327</v>
      </c>
    </row>
    <row r="233" spans="1:10" x14ac:dyDescent="0.2">
      <c r="A233">
        <v>232</v>
      </c>
      <c r="B233">
        <v>2016</v>
      </c>
      <c r="C233" t="s">
        <v>12</v>
      </c>
      <c r="D233" t="str">
        <f t="shared" si="14"/>
        <v>hybrid fuel vehicle</v>
      </c>
      <c r="E233" t="s">
        <v>7</v>
      </c>
      <c r="F233" t="s">
        <v>25</v>
      </c>
      <c r="G233" t="s">
        <v>9</v>
      </c>
      <c r="H233" t="str">
        <f t="shared" si="15"/>
        <v>道路客车</v>
      </c>
      <c r="I233" t="str">
        <f t="shared" si="16"/>
        <v>Passenger HDV</v>
      </c>
      <c r="J233">
        <v>473</v>
      </c>
    </row>
    <row r="234" spans="1:10" x14ac:dyDescent="0.2">
      <c r="A234">
        <v>233</v>
      </c>
      <c r="B234">
        <v>2017</v>
      </c>
      <c r="C234" t="s">
        <v>12</v>
      </c>
      <c r="D234" t="str">
        <f t="shared" si="14"/>
        <v>hybrid fuel vehicle</v>
      </c>
      <c r="E234" t="s">
        <v>7</v>
      </c>
      <c r="F234" t="s">
        <v>25</v>
      </c>
      <c r="G234" t="s">
        <v>9</v>
      </c>
      <c r="H234" t="str">
        <f t="shared" si="15"/>
        <v>道路客车</v>
      </c>
      <c r="I234" t="str">
        <f t="shared" si="16"/>
        <v>Passenger HDV</v>
      </c>
      <c r="J234">
        <v>4</v>
      </c>
    </row>
    <row r="235" spans="1:10" x14ac:dyDescent="0.2">
      <c r="A235">
        <v>234</v>
      </c>
      <c r="B235">
        <v>2018</v>
      </c>
      <c r="C235" t="s">
        <v>12</v>
      </c>
      <c r="D235" t="str">
        <f t="shared" si="14"/>
        <v>hybrid fuel vehicle</v>
      </c>
      <c r="E235" t="s">
        <v>7</v>
      </c>
      <c r="F235" t="s">
        <v>25</v>
      </c>
      <c r="G235" t="s">
        <v>9</v>
      </c>
      <c r="H235" t="str">
        <f t="shared" si="15"/>
        <v>道路客车</v>
      </c>
      <c r="I235" t="str">
        <f t="shared" si="16"/>
        <v>Passenger HDV</v>
      </c>
      <c r="J235">
        <v>11</v>
      </c>
    </row>
    <row r="236" spans="1:10" x14ac:dyDescent="0.2">
      <c r="A236">
        <v>235</v>
      </c>
      <c r="B236">
        <v>2018</v>
      </c>
      <c r="C236" t="s">
        <v>26</v>
      </c>
      <c r="D236" t="str">
        <f t="shared" si="14"/>
        <v>other fuel vehicle</v>
      </c>
      <c r="E236" t="s">
        <v>7</v>
      </c>
      <c r="F236" t="s">
        <v>25</v>
      </c>
      <c r="G236" t="s">
        <v>9</v>
      </c>
      <c r="H236" t="str">
        <f t="shared" si="15"/>
        <v>道路客车</v>
      </c>
      <c r="I236" t="str">
        <f t="shared" si="16"/>
        <v>Passenger HDV</v>
      </c>
      <c r="J236">
        <v>5</v>
      </c>
    </row>
    <row r="237" spans="1:10" x14ac:dyDescent="0.2">
      <c r="A237">
        <v>236</v>
      </c>
      <c r="B237">
        <v>2015</v>
      </c>
      <c r="C237" t="s">
        <v>13</v>
      </c>
      <c r="D237" t="str">
        <f t="shared" si="14"/>
        <v>gasoline vehicle</v>
      </c>
      <c r="E237" t="s">
        <v>7</v>
      </c>
      <c r="F237" t="s">
        <v>25</v>
      </c>
      <c r="G237" t="s">
        <v>9</v>
      </c>
      <c r="H237" t="str">
        <f t="shared" si="15"/>
        <v>道路客车</v>
      </c>
      <c r="I237" t="str">
        <f t="shared" si="16"/>
        <v>Passenger HDV</v>
      </c>
      <c r="J237">
        <v>2433</v>
      </c>
    </row>
    <row r="238" spans="1:10" x14ac:dyDescent="0.2">
      <c r="A238">
        <v>237</v>
      </c>
      <c r="B238">
        <v>2016</v>
      </c>
      <c r="C238" t="s">
        <v>13</v>
      </c>
      <c r="D238" t="str">
        <f t="shared" si="14"/>
        <v>gasoline vehicle</v>
      </c>
      <c r="E238" t="s">
        <v>7</v>
      </c>
      <c r="F238" t="s">
        <v>25</v>
      </c>
      <c r="G238" t="s">
        <v>9</v>
      </c>
      <c r="H238" t="str">
        <f t="shared" si="15"/>
        <v>道路客车</v>
      </c>
      <c r="I238" t="str">
        <f t="shared" si="16"/>
        <v>Passenger HDV</v>
      </c>
      <c r="J238">
        <v>2899</v>
      </c>
    </row>
    <row r="239" spans="1:10" x14ac:dyDescent="0.2">
      <c r="A239">
        <v>238</v>
      </c>
      <c r="B239">
        <v>2017</v>
      </c>
      <c r="C239" t="s">
        <v>13</v>
      </c>
      <c r="D239" t="str">
        <f t="shared" si="14"/>
        <v>gasoline vehicle</v>
      </c>
      <c r="E239" t="s">
        <v>7</v>
      </c>
      <c r="F239" t="s">
        <v>25</v>
      </c>
      <c r="G239" t="s">
        <v>9</v>
      </c>
      <c r="H239" t="str">
        <f t="shared" si="15"/>
        <v>道路客车</v>
      </c>
      <c r="I239" t="str">
        <f t="shared" si="16"/>
        <v>Passenger HDV</v>
      </c>
      <c r="J239">
        <v>3287</v>
      </c>
    </row>
    <row r="240" spans="1:10" x14ac:dyDescent="0.2">
      <c r="A240">
        <v>239</v>
      </c>
      <c r="B240">
        <v>2018</v>
      </c>
      <c r="C240" t="s">
        <v>13</v>
      </c>
      <c r="D240" t="str">
        <f t="shared" si="14"/>
        <v>gasoline vehicle</v>
      </c>
      <c r="E240" t="s">
        <v>7</v>
      </c>
      <c r="F240" t="s">
        <v>25</v>
      </c>
      <c r="G240" t="s">
        <v>9</v>
      </c>
      <c r="H240" t="str">
        <f t="shared" si="15"/>
        <v>道路客车</v>
      </c>
      <c r="I240" t="str">
        <f t="shared" si="16"/>
        <v>Passenger HDV</v>
      </c>
      <c r="J240">
        <v>4521</v>
      </c>
    </row>
    <row r="241" spans="1:10" x14ac:dyDescent="0.2">
      <c r="A241">
        <v>240</v>
      </c>
      <c r="B241">
        <v>2019</v>
      </c>
      <c r="C241" t="s">
        <v>13</v>
      </c>
      <c r="D241" t="str">
        <f t="shared" si="14"/>
        <v>gasoline vehicle</v>
      </c>
      <c r="E241" t="s">
        <v>7</v>
      </c>
      <c r="F241" t="s">
        <v>25</v>
      </c>
      <c r="G241" t="s">
        <v>9</v>
      </c>
      <c r="H241" t="str">
        <f t="shared" si="15"/>
        <v>道路客车</v>
      </c>
      <c r="I241" t="str">
        <f t="shared" si="16"/>
        <v>Passenger HDV</v>
      </c>
      <c r="J241">
        <v>3842</v>
      </c>
    </row>
    <row r="242" spans="1:10" x14ac:dyDescent="0.2">
      <c r="A242">
        <v>241</v>
      </c>
      <c r="B242">
        <v>2020</v>
      </c>
      <c r="C242" t="s">
        <v>13</v>
      </c>
      <c r="D242" t="str">
        <f t="shared" si="14"/>
        <v>gasoline vehicle</v>
      </c>
      <c r="E242" t="s">
        <v>7</v>
      </c>
      <c r="F242" t="s">
        <v>25</v>
      </c>
      <c r="G242" t="s">
        <v>9</v>
      </c>
      <c r="H242" t="str">
        <f t="shared" si="15"/>
        <v>道路客车</v>
      </c>
      <c r="I242" t="str">
        <f t="shared" si="16"/>
        <v>Passenger HDV</v>
      </c>
      <c r="J242">
        <v>3107</v>
      </c>
    </row>
    <row r="243" spans="1:10" x14ac:dyDescent="0.2">
      <c r="A243">
        <v>242</v>
      </c>
      <c r="B243">
        <v>2021</v>
      </c>
      <c r="C243" t="s">
        <v>13</v>
      </c>
      <c r="D243" t="str">
        <f t="shared" si="14"/>
        <v>gasoline vehicle</v>
      </c>
      <c r="E243" t="s">
        <v>7</v>
      </c>
      <c r="F243" t="s">
        <v>25</v>
      </c>
      <c r="G243" t="s">
        <v>9</v>
      </c>
      <c r="H243" t="str">
        <f t="shared" si="15"/>
        <v>道路客车</v>
      </c>
      <c r="I243" t="str">
        <f t="shared" si="16"/>
        <v>Passenger HDV</v>
      </c>
      <c r="J243">
        <v>3378</v>
      </c>
    </row>
    <row r="244" spans="1:10" x14ac:dyDescent="0.2">
      <c r="A244">
        <v>243</v>
      </c>
      <c r="B244">
        <v>2016</v>
      </c>
      <c r="C244" t="s">
        <v>14</v>
      </c>
      <c r="D244" t="str">
        <f t="shared" si="14"/>
        <v>natural gas vehicle</v>
      </c>
      <c r="E244" t="s">
        <v>7</v>
      </c>
      <c r="F244" t="s">
        <v>25</v>
      </c>
      <c r="G244" t="s">
        <v>9</v>
      </c>
      <c r="H244" t="str">
        <f t="shared" si="15"/>
        <v>道路客车</v>
      </c>
      <c r="I244" t="str">
        <f t="shared" si="16"/>
        <v>Passenger HDV</v>
      </c>
      <c r="J244">
        <v>6</v>
      </c>
    </row>
    <row r="245" spans="1:10" x14ac:dyDescent="0.2">
      <c r="A245">
        <v>244</v>
      </c>
      <c r="B245">
        <v>2016</v>
      </c>
      <c r="C245" t="s">
        <v>15</v>
      </c>
      <c r="D245" t="str">
        <f t="shared" si="14"/>
        <v>hydrogen vehicle</v>
      </c>
      <c r="E245" t="s">
        <v>7</v>
      </c>
      <c r="F245" t="s">
        <v>25</v>
      </c>
      <c r="G245" t="s">
        <v>9</v>
      </c>
      <c r="H245" t="str">
        <f t="shared" si="15"/>
        <v>道路客车</v>
      </c>
      <c r="I245" t="str">
        <f t="shared" si="16"/>
        <v>Passenger HDV</v>
      </c>
      <c r="J245">
        <v>5</v>
      </c>
    </row>
    <row r="246" spans="1:10" x14ac:dyDescent="0.2">
      <c r="A246">
        <v>245</v>
      </c>
      <c r="B246">
        <v>2017</v>
      </c>
      <c r="C246" t="s">
        <v>15</v>
      </c>
      <c r="D246" t="str">
        <f t="shared" si="14"/>
        <v>hydrogen vehicle</v>
      </c>
      <c r="E246" t="s">
        <v>7</v>
      </c>
      <c r="F246" t="s">
        <v>25</v>
      </c>
      <c r="G246" t="s">
        <v>9</v>
      </c>
      <c r="H246" t="str">
        <f t="shared" si="15"/>
        <v>道路客车</v>
      </c>
      <c r="I246" t="str">
        <f t="shared" si="16"/>
        <v>Passenger HDV</v>
      </c>
      <c r="J246">
        <v>112</v>
      </c>
    </row>
    <row r="247" spans="1:10" x14ac:dyDescent="0.2">
      <c r="A247">
        <v>246</v>
      </c>
      <c r="B247">
        <v>2018</v>
      </c>
      <c r="C247" t="s">
        <v>15</v>
      </c>
      <c r="D247" t="str">
        <f t="shared" si="14"/>
        <v>hydrogen vehicle</v>
      </c>
      <c r="E247" t="s">
        <v>7</v>
      </c>
      <c r="F247" t="s">
        <v>25</v>
      </c>
      <c r="G247" t="s">
        <v>9</v>
      </c>
      <c r="H247" t="str">
        <f t="shared" si="15"/>
        <v>道路客车</v>
      </c>
      <c r="I247" t="str">
        <f t="shared" si="16"/>
        <v>Passenger HDV</v>
      </c>
      <c r="J247">
        <v>95</v>
      </c>
    </row>
    <row r="248" spans="1:10" x14ac:dyDescent="0.2">
      <c r="A248">
        <v>247</v>
      </c>
      <c r="B248">
        <v>2019</v>
      </c>
      <c r="C248" t="s">
        <v>15</v>
      </c>
      <c r="D248" t="str">
        <f t="shared" si="14"/>
        <v>hydrogen vehicle</v>
      </c>
      <c r="E248" t="s">
        <v>7</v>
      </c>
      <c r="F248" t="s">
        <v>25</v>
      </c>
      <c r="G248" t="s">
        <v>9</v>
      </c>
      <c r="H248" t="str">
        <f t="shared" si="15"/>
        <v>道路客车</v>
      </c>
      <c r="I248" t="str">
        <f t="shared" si="16"/>
        <v>Passenger HDV</v>
      </c>
      <c r="J248">
        <v>121</v>
      </c>
    </row>
    <row r="249" spans="1:10" x14ac:dyDescent="0.2">
      <c r="A249">
        <v>248</v>
      </c>
      <c r="B249">
        <v>2020</v>
      </c>
      <c r="C249" t="s">
        <v>15</v>
      </c>
      <c r="D249" t="str">
        <f t="shared" si="14"/>
        <v>hydrogen vehicle</v>
      </c>
      <c r="E249" t="s">
        <v>7</v>
      </c>
      <c r="F249" t="s">
        <v>25</v>
      </c>
      <c r="G249" t="s">
        <v>9</v>
      </c>
      <c r="H249" t="str">
        <f t="shared" si="15"/>
        <v>道路客车</v>
      </c>
      <c r="I249" t="str">
        <f t="shared" si="16"/>
        <v>Passenger HDV</v>
      </c>
      <c r="J249">
        <v>2</v>
      </c>
    </row>
    <row r="250" spans="1:10" x14ac:dyDescent="0.2">
      <c r="A250">
        <v>249</v>
      </c>
      <c r="B250">
        <v>2021</v>
      </c>
      <c r="C250" t="s">
        <v>15</v>
      </c>
      <c r="D250" t="str">
        <f t="shared" si="14"/>
        <v>hydrogen vehicle</v>
      </c>
      <c r="E250" t="s">
        <v>7</v>
      </c>
      <c r="F250" t="s">
        <v>25</v>
      </c>
      <c r="G250" t="s">
        <v>9</v>
      </c>
      <c r="H250" t="str">
        <f t="shared" si="15"/>
        <v>道路客车</v>
      </c>
      <c r="I250" t="str">
        <f t="shared" si="16"/>
        <v>Passenger HDV</v>
      </c>
      <c r="J250">
        <v>78</v>
      </c>
    </row>
    <row r="251" spans="1:10" x14ac:dyDescent="0.2">
      <c r="A251">
        <v>250</v>
      </c>
      <c r="B251">
        <v>2015</v>
      </c>
      <c r="C251" t="s">
        <v>16</v>
      </c>
      <c r="D251" t="str">
        <f t="shared" si="14"/>
        <v>natural gas vehicle</v>
      </c>
      <c r="E251" t="s">
        <v>7</v>
      </c>
      <c r="F251" t="s">
        <v>25</v>
      </c>
      <c r="G251" t="s">
        <v>9</v>
      </c>
      <c r="H251" t="str">
        <f t="shared" si="15"/>
        <v>道路客车</v>
      </c>
      <c r="I251" t="str">
        <f t="shared" si="16"/>
        <v>Passenger HDV</v>
      </c>
      <c r="J251">
        <v>420</v>
      </c>
    </row>
    <row r="252" spans="1:10" x14ac:dyDescent="0.2">
      <c r="A252">
        <v>251</v>
      </c>
      <c r="B252">
        <v>2016</v>
      </c>
      <c r="C252" t="s">
        <v>16</v>
      </c>
      <c r="D252" t="str">
        <f t="shared" si="14"/>
        <v>natural gas vehicle</v>
      </c>
      <c r="E252" t="s">
        <v>7</v>
      </c>
      <c r="F252" t="s">
        <v>25</v>
      </c>
      <c r="G252" t="s">
        <v>9</v>
      </c>
      <c r="H252" t="str">
        <f t="shared" si="15"/>
        <v>道路客车</v>
      </c>
      <c r="I252" t="str">
        <f t="shared" si="16"/>
        <v>Passenger HDV</v>
      </c>
      <c r="J252">
        <v>538</v>
      </c>
    </row>
    <row r="253" spans="1:10" x14ac:dyDescent="0.2">
      <c r="A253">
        <v>252</v>
      </c>
      <c r="B253">
        <v>2017</v>
      </c>
      <c r="C253" t="s">
        <v>16</v>
      </c>
      <c r="D253" t="str">
        <f t="shared" si="14"/>
        <v>natural gas vehicle</v>
      </c>
      <c r="E253" t="s">
        <v>7</v>
      </c>
      <c r="F253" t="s">
        <v>25</v>
      </c>
      <c r="G253" t="s">
        <v>9</v>
      </c>
      <c r="H253" t="str">
        <f t="shared" si="15"/>
        <v>道路客车</v>
      </c>
      <c r="I253" t="str">
        <f t="shared" si="16"/>
        <v>Passenger HDV</v>
      </c>
      <c r="J253">
        <v>381</v>
      </c>
    </row>
    <row r="254" spans="1:10" x14ac:dyDescent="0.2">
      <c r="A254">
        <v>253</v>
      </c>
      <c r="B254">
        <v>2018</v>
      </c>
      <c r="C254" t="s">
        <v>16</v>
      </c>
      <c r="D254" t="str">
        <f t="shared" si="14"/>
        <v>natural gas vehicle</v>
      </c>
      <c r="E254" t="s">
        <v>7</v>
      </c>
      <c r="F254" t="s">
        <v>25</v>
      </c>
      <c r="G254" t="s">
        <v>9</v>
      </c>
      <c r="H254" t="str">
        <f t="shared" si="15"/>
        <v>道路客车</v>
      </c>
      <c r="I254" t="str">
        <f t="shared" si="16"/>
        <v>Passenger HDV</v>
      </c>
      <c r="J254">
        <v>254</v>
      </c>
    </row>
    <row r="255" spans="1:10" x14ac:dyDescent="0.2">
      <c r="A255">
        <v>254</v>
      </c>
      <c r="B255">
        <v>2019</v>
      </c>
      <c r="C255" t="s">
        <v>16</v>
      </c>
      <c r="D255" t="str">
        <f t="shared" si="14"/>
        <v>natural gas vehicle</v>
      </c>
      <c r="E255" t="s">
        <v>7</v>
      </c>
      <c r="F255" t="s">
        <v>25</v>
      </c>
      <c r="G255" t="s">
        <v>9</v>
      </c>
      <c r="H255" t="str">
        <f t="shared" si="15"/>
        <v>道路客车</v>
      </c>
      <c r="I255" t="str">
        <f t="shared" si="16"/>
        <v>Passenger HDV</v>
      </c>
      <c r="J255">
        <v>106</v>
      </c>
    </row>
    <row r="256" spans="1:10" x14ac:dyDescent="0.2">
      <c r="A256">
        <v>255</v>
      </c>
      <c r="B256">
        <v>2020</v>
      </c>
      <c r="C256" t="s">
        <v>16</v>
      </c>
      <c r="D256" t="str">
        <f t="shared" si="14"/>
        <v>natural gas vehicle</v>
      </c>
      <c r="E256" t="s">
        <v>7</v>
      </c>
      <c r="F256" t="s">
        <v>25</v>
      </c>
      <c r="G256" t="s">
        <v>9</v>
      </c>
      <c r="H256" t="str">
        <f t="shared" si="15"/>
        <v>道路客车</v>
      </c>
      <c r="I256" t="str">
        <f t="shared" si="16"/>
        <v>Passenger HDV</v>
      </c>
      <c r="J256">
        <v>94</v>
      </c>
    </row>
    <row r="257" spans="1:10" x14ac:dyDescent="0.2">
      <c r="A257">
        <v>256</v>
      </c>
      <c r="B257">
        <v>2021</v>
      </c>
      <c r="C257" t="s">
        <v>16</v>
      </c>
      <c r="D257" t="str">
        <f t="shared" si="14"/>
        <v>natural gas vehicle</v>
      </c>
      <c r="E257" t="s">
        <v>7</v>
      </c>
      <c r="F257" t="s">
        <v>25</v>
      </c>
      <c r="G257" t="s">
        <v>9</v>
      </c>
      <c r="H257" t="str">
        <f t="shared" si="15"/>
        <v>道路客车</v>
      </c>
      <c r="I257" t="str">
        <f t="shared" si="16"/>
        <v>Passenger HDV</v>
      </c>
      <c r="J257">
        <v>139</v>
      </c>
    </row>
    <row r="258" spans="1:10" x14ac:dyDescent="0.2">
      <c r="A258">
        <v>257</v>
      </c>
      <c r="B258">
        <v>2018</v>
      </c>
      <c r="C258" t="s">
        <v>6</v>
      </c>
      <c r="D258" t="str">
        <f t="shared" ref="D258:D321" si="17">VLOOKUP(C258,M$3:N$16,2,FALSE)</f>
        <v>plugin hybrid vehicle</v>
      </c>
      <c r="E258" t="s">
        <v>23</v>
      </c>
      <c r="F258" t="s">
        <v>25</v>
      </c>
      <c r="G258" t="s">
        <v>9</v>
      </c>
      <c r="H258" t="str">
        <f t="shared" si="15"/>
        <v>轻型货车</v>
      </c>
      <c r="I258" t="str">
        <f t="shared" si="16"/>
        <v>Freight LDV</v>
      </c>
      <c r="J258">
        <v>1</v>
      </c>
    </row>
    <row r="259" spans="1:10" x14ac:dyDescent="0.2">
      <c r="A259">
        <v>258</v>
      </c>
      <c r="B259">
        <v>2019</v>
      </c>
      <c r="C259" t="s">
        <v>6</v>
      </c>
      <c r="D259" t="str">
        <f t="shared" si="17"/>
        <v>plugin hybrid vehicle</v>
      </c>
      <c r="E259" t="s">
        <v>23</v>
      </c>
      <c r="F259" t="s">
        <v>25</v>
      </c>
      <c r="G259" t="s">
        <v>9</v>
      </c>
      <c r="H259" t="str">
        <f t="shared" ref="H259:H322" si="18">VLOOKUP(E259&amp;F259&amp;G259,$S$3:$U$68,2,FALSE)</f>
        <v>轻型货车</v>
      </c>
      <c r="I259" t="str">
        <f t="shared" ref="I259:I322" si="19">VLOOKUP(E259&amp;F259&amp;G259,$S$3:$U$68,3,FALSE)</f>
        <v>Freight LDV</v>
      </c>
      <c r="J259">
        <v>33</v>
      </c>
    </row>
    <row r="260" spans="1:10" x14ac:dyDescent="0.2">
      <c r="A260">
        <v>259</v>
      </c>
      <c r="B260">
        <v>2020</v>
      </c>
      <c r="C260" t="s">
        <v>6</v>
      </c>
      <c r="D260" t="str">
        <f t="shared" si="17"/>
        <v>plugin hybrid vehicle</v>
      </c>
      <c r="E260" t="s">
        <v>23</v>
      </c>
      <c r="F260" t="s">
        <v>25</v>
      </c>
      <c r="G260" t="s">
        <v>9</v>
      </c>
      <c r="H260" t="str">
        <f t="shared" si="18"/>
        <v>轻型货车</v>
      </c>
      <c r="I260" t="str">
        <f t="shared" si="19"/>
        <v>Freight LDV</v>
      </c>
      <c r="J260">
        <v>75</v>
      </c>
    </row>
    <row r="261" spans="1:10" x14ac:dyDescent="0.2">
      <c r="A261">
        <v>260</v>
      </c>
      <c r="B261">
        <v>2021</v>
      </c>
      <c r="C261" t="s">
        <v>6</v>
      </c>
      <c r="D261" t="str">
        <f t="shared" si="17"/>
        <v>plugin hybrid vehicle</v>
      </c>
      <c r="E261" t="s">
        <v>23</v>
      </c>
      <c r="F261" t="s">
        <v>25</v>
      </c>
      <c r="G261" t="s">
        <v>9</v>
      </c>
      <c r="H261" t="str">
        <f t="shared" si="18"/>
        <v>轻型货车</v>
      </c>
      <c r="I261" t="str">
        <f t="shared" si="19"/>
        <v>Freight LDV</v>
      </c>
      <c r="J261">
        <v>228</v>
      </c>
    </row>
    <row r="262" spans="1:10" x14ac:dyDescent="0.2">
      <c r="A262">
        <v>261</v>
      </c>
      <c r="B262">
        <v>2015</v>
      </c>
      <c r="C262" t="s">
        <v>10</v>
      </c>
      <c r="D262" t="str">
        <f t="shared" si="17"/>
        <v>diesel vehicle</v>
      </c>
      <c r="E262" t="s">
        <v>23</v>
      </c>
      <c r="F262" t="s">
        <v>25</v>
      </c>
      <c r="G262" t="s">
        <v>9</v>
      </c>
      <c r="H262" t="str">
        <f t="shared" si="18"/>
        <v>轻型货车</v>
      </c>
      <c r="I262" t="str">
        <f t="shared" si="19"/>
        <v>Freight LDV</v>
      </c>
      <c r="J262">
        <v>468624</v>
      </c>
    </row>
    <row r="263" spans="1:10" x14ac:dyDescent="0.2">
      <c r="A263">
        <v>262</v>
      </c>
      <c r="B263">
        <v>2016</v>
      </c>
      <c r="C263" t="s">
        <v>10</v>
      </c>
      <c r="D263" t="str">
        <f t="shared" si="17"/>
        <v>diesel vehicle</v>
      </c>
      <c r="E263" t="s">
        <v>23</v>
      </c>
      <c r="F263" t="s">
        <v>25</v>
      </c>
      <c r="G263" t="s">
        <v>9</v>
      </c>
      <c r="H263" t="str">
        <f t="shared" si="18"/>
        <v>轻型货车</v>
      </c>
      <c r="I263" t="str">
        <f t="shared" si="19"/>
        <v>Freight LDV</v>
      </c>
      <c r="J263">
        <v>530822</v>
      </c>
    </row>
    <row r="264" spans="1:10" x14ac:dyDescent="0.2">
      <c r="A264">
        <v>263</v>
      </c>
      <c r="B264">
        <v>2017</v>
      </c>
      <c r="C264" t="s">
        <v>10</v>
      </c>
      <c r="D264" t="str">
        <f t="shared" si="17"/>
        <v>diesel vehicle</v>
      </c>
      <c r="E264" t="s">
        <v>23</v>
      </c>
      <c r="F264" t="s">
        <v>25</v>
      </c>
      <c r="G264" t="s">
        <v>9</v>
      </c>
      <c r="H264" t="str">
        <f t="shared" si="18"/>
        <v>轻型货车</v>
      </c>
      <c r="I264" t="str">
        <f t="shared" si="19"/>
        <v>Freight LDV</v>
      </c>
      <c r="J264">
        <v>594022</v>
      </c>
    </row>
    <row r="265" spans="1:10" x14ac:dyDescent="0.2">
      <c r="A265">
        <v>264</v>
      </c>
      <c r="B265">
        <v>2018</v>
      </c>
      <c r="C265" t="s">
        <v>10</v>
      </c>
      <c r="D265" t="str">
        <f t="shared" si="17"/>
        <v>diesel vehicle</v>
      </c>
      <c r="E265" t="s">
        <v>23</v>
      </c>
      <c r="F265" t="s">
        <v>25</v>
      </c>
      <c r="G265" t="s">
        <v>9</v>
      </c>
      <c r="H265" t="str">
        <f t="shared" si="18"/>
        <v>轻型货车</v>
      </c>
      <c r="I265" t="str">
        <f t="shared" si="19"/>
        <v>Freight LDV</v>
      </c>
      <c r="J265">
        <v>625602</v>
      </c>
    </row>
    <row r="266" spans="1:10" x14ac:dyDescent="0.2">
      <c r="A266">
        <v>265</v>
      </c>
      <c r="B266">
        <v>2019</v>
      </c>
      <c r="C266" t="s">
        <v>10</v>
      </c>
      <c r="D266" t="str">
        <f t="shared" si="17"/>
        <v>diesel vehicle</v>
      </c>
      <c r="E266" t="s">
        <v>23</v>
      </c>
      <c r="F266" t="s">
        <v>25</v>
      </c>
      <c r="G266" t="s">
        <v>9</v>
      </c>
      <c r="H266" t="str">
        <f t="shared" si="18"/>
        <v>轻型货车</v>
      </c>
      <c r="I266" t="str">
        <f t="shared" si="19"/>
        <v>Freight LDV</v>
      </c>
      <c r="J266">
        <v>753419</v>
      </c>
    </row>
    <row r="267" spans="1:10" x14ac:dyDescent="0.2">
      <c r="A267">
        <v>266</v>
      </c>
      <c r="B267">
        <v>2020</v>
      </c>
      <c r="C267" t="s">
        <v>10</v>
      </c>
      <c r="D267" t="str">
        <f t="shared" si="17"/>
        <v>diesel vehicle</v>
      </c>
      <c r="E267" t="s">
        <v>23</v>
      </c>
      <c r="F267" t="s">
        <v>25</v>
      </c>
      <c r="G267" t="s">
        <v>9</v>
      </c>
      <c r="H267" t="str">
        <f t="shared" si="18"/>
        <v>轻型货车</v>
      </c>
      <c r="I267" t="str">
        <f t="shared" si="19"/>
        <v>Freight LDV</v>
      </c>
      <c r="J267">
        <v>982813</v>
      </c>
    </row>
    <row r="268" spans="1:10" x14ac:dyDescent="0.2">
      <c r="A268">
        <v>267</v>
      </c>
      <c r="B268">
        <v>2021</v>
      </c>
      <c r="C268" t="s">
        <v>10</v>
      </c>
      <c r="D268" t="str">
        <f t="shared" si="17"/>
        <v>diesel vehicle</v>
      </c>
      <c r="E268" t="s">
        <v>23</v>
      </c>
      <c r="F268" t="s">
        <v>25</v>
      </c>
      <c r="G268" t="s">
        <v>9</v>
      </c>
      <c r="H268" t="str">
        <f t="shared" si="18"/>
        <v>轻型货车</v>
      </c>
      <c r="I268" t="str">
        <f t="shared" si="19"/>
        <v>Freight LDV</v>
      </c>
      <c r="J268">
        <v>921203</v>
      </c>
    </row>
    <row r="269" spans="1:10" x14ac:dyDescent="0.2">
      <c r="A269">
        <v>268</v>
      </c>
      <c r="B269">
        <v>2015</v>
      </c>
      <c r="C269" t="s">
        <v>11</v>
      </c>
      <c r="D269" t="str">
        <f t="shared" si="17"/>
        <v>battery electric vehicle</v>
      </c>
      <c r="E269" t="s">
        <v>23</v>
      </c>
      <c r="F269" t="s">
        <v>25</v>
      </c>
      <c r="G269" t="s">
        <v>9</v>
      </c>
      <c r="H269" t="str">
        <f t="shared" si="18"/>
        <v>轻型货车</v>
      </c>
      <c r="I269" t="str">
        <f t="shared" si="19"/>
        <v>Freight LDV</v>
      </c>
      <c r="J269">
        <v>16406</v>
      </c>
    </row>
    <row r="270" spans="1:10" x14ac:dyDescent="0.2">
      <c r="A270">
        <v>269</v>
      </c>
      <c r="B270">
        <v>2016</v>
      </c>
      <c r="C270" t="s">
        <v>11</v>
      </c>
      <c r="D270" t="str">
        <f t="shared" si="17"/>
        <v>battery electric vehicle</v>
      </c>
      <c r="E270" t="s">
        <v>23</v>
      </c>
      <c r="F270" t="s">
        <v>25</v>
      </c>
      <c r="G270" t="s">
        <v>9</v>
      </c>
      <c r="H270" t="str">
        <f t="shared" si="18"/>
        <v>轻型货车</v>
      </c>
      <c r="I270" t="str">
        <f t="shared" si="19"/>
        <v>Freight LDV</v>
      </c>
      <c r="J270">
        <v>4879</v>
      </c>
    </row>
    <row r="271" spans="1:10" x14ac:dyDescent="0.2">
      <c r="A271">
        <v>270</v>
      </c>
      <c r="B271">
        <v>2017</v>
      </c>
      <c r="C271" t="s">
        <v>11</v>
      </c>
      <c r="D271" t="str">
        <f t="shared" si="17"/>
        <v>battery electric vehicle</v>
      </c>
      <c r="E271" t="s">
        <v>23</v>
      </c>
      <c r="F271" t="s">
        <v>25</v>
      </c>
      <c r="G271" t="s">
        <v>9</v>
      </c>
      <c r="H271" t="str">
        <f t="shared" si="18"/>
        <v>轻型货车</v>
      </c>
      <c r="I271" t="str">
        <f t="shared" si="19"/>
        <v>Freight LDV</v>
      </c>
      <c r="J271">
        <v>7500</v>
      </c>
    </row>
    <row r="272" spans="1:10" x14ac:dyDescent="0.2">
      <c r="A272">
        <v>271</v>
      </c>
      <c r="B272">
        <v>2018</v>
      </c>
      <c r="C272" t="s">
        <v>11</v>
      </c>
      <c r="D272" t="str">
        <f t="shared" si="17"/>
        <v>battery electric vehicle</v>
      </c>
      <c r="E272" t="s">
        <v>23</v>
      </c>
      <c r="F272" t="s">
        <v>25</v>
      </c>
      <c r="G272" t="s">
        <v>9</v>
      </c>
      <c r="H272" t="str">
        <f t="shared" si="18"/>
        <v>轻型货车</v>
      </c>
      <c r="I272" t="str">
        <f t="shared" si="19"/>
        <v>Freight LDV</v>
      </c>
      <c r="J272">
        <v>14321</v>
      </c>
    </row>
    <row r="273" spans="1:10" x14ac:dyDescent="0.2">
      <c r="A273">
        <v>272</v>
      </c>
      <c r="B273">
        <v>2019</v>
      </c>
      <c r="C273" t="s">
        <v>11</v>
      </c>
      <c r="D273" t="str">
        <f t="shared" si="17"/>
        <v>battery electric vehicle</v>
      </c>
      <c r="E273" t="s">
        <v>23</v>
      </c>
      <c r="F273" t="s">
        <v>25</v>
      </c>
      <c r="G273" t="s">
        <v>9</v>
      </c>
      <c r="H273" t="str">
        <f t="shared" si="18"/>
        <v>轻型货车</v>
      </c>
      <c r="I273" t="str">
        <f t="shared" si="19"/>
        <v>Freight LDV</v>
      </c>
      <c r="J273">
        <v>6179</v>
      </c>
    </row>
    <row r="274" spans="1:10" x14ac:dyDescent="0.2">
      <c r="A274">
        <v>273</v>
      </c>
      <c r="B274">
        <v>2020</v>
      </c>
      <c r="C274" t="s">
        <v>11</v>
      </c>
      <c r="D274" t="str">
        <f t="shared" si="17"/>
        <v>battery electric vehicle</v>
      </c>
      <c r="E274" t="s">
        <v>23</v>
      </c>
      <c r="F274" t="s">
        <v>25</v>
      </c>
      <c r="G274" t="s">
        <v>9</v>
      </c>
      <c r="H274" t="str">
        <f t="shared" si="18"/>
        <v>轻型货车</v>
      </c>
      <c r="I274" t="str">
        <f t="shared" si="19"/>
        <v>Freight LDV</v>
      </c>
      <c r="J274">
        <v>5402</v>
      </c>
    </row>
    <row r="275" spans="1:10" x14ac:dyDescent="0.2">
      <c r="A275">
        <v>274</v>
      </c>
      <c r="B275">
        <v>2021</v>
      </c>
      <c r="C275" t="s">
        <v>11</v>
      </c>
      <c r="D275" t="str">
        <f t="shared" si="17"/>
        <v>battery electric vehicle</v>
      </c>
      <c r="E275" t="s">
        <v>23</v>
      </c>
      <c r="F275" t="s">
        <v>25</v>
      </c>
      <c r="G275" t="s">
        <v>9</v>
      </c>
      <c r="H275" t="str">
        <f t="shared" si="18"/>
        <v>轻型货车</v>
      </c>
      <c r="I275" t="str">
        <f t="shared" si="19"/>
        <v>Freight LDV</v>
      </c>
      <c r="J275">
        <v>13152</v>
      </c>
    </row>
    <row r="276" spans="1:10" x14ac:dyDescent="0.2">
      <c r="A276">
        <v>275</v>
      </c>
      <c r="B276">
        <v>2015</v>
      </c>
      <c r="C276" t="s">
        <v>12</v>
      </c>
      <c r="D276" t="str">
        <f t="shared" si="17"/>
        <v>hybrid fuel vehicle</v>
      </c>
      <c r="E276" t="s">
        <v>23</v>
      </c>
      <c r="F276" t="s">
        <v>25</v>
      </c>
      <c r="G276" t="s">
        <v>9</v>
      </c>
      <c r="H276" t="str">
        <f t="shared" si="18"/>
        <v>轻型货车</v>
      </c>
      <c r="I276" t="str">
        <f t="shared" si="19"/>
        <v>Freight LDV</v>
      </c>
      <c r="J276">
        <v>1</v>
      </c>
    </row>
    <row r="277" spans="1:10" x14ac:dyDescent="0.2">
      <c r="A277">
        <v>276</v>
      </c>
      <c r="B277">
        <v>2021</v>
      </c>
      <c r="C277" t="s">
        <v>12</v>
      </c>
      <c r="D277" t="str">
        <f t="shared" si="17"/>
        <v>hybrid fuel vehicle</v>
      </c>
      <c r="E277" t="s">
        <v>23</v>
      </c>
      <c r="F277" t="s">
        <v>25</v>
      </c>
      <c r="G277" t="s">
        <v>9</v>
      </c>
      <c r="H277" t="str">
        <f t="shared" si="18"/>
        <v>轻型货车</v>
      </c>
      <c r="I277" t="str">
        <f t="shared" si="19"/>
        <v>Freight LDV</v>
      </c>
      <c r="J277">
        <v>1</v>
      </c>
    </row>
    <row r="278" spans="1:10" x14ac:dyDescent="0.2">
      <c r="A278">
        <v>277</v>
      </c>
      <c r="B278">
        <v>2015</v>
      </c>
      <c r="C278" t="s">
        <v>13</v>
      </c>
      <c r="D278" t="str">
        <f t="shared" si="17"/>
        <v>gasoline vehicle</v>
      </c>
      <c r="E278" t="s">
        <v>23</v>
      </c>
      <c r="F278" t="s">
        <v>25</v>
      </c>
      <c r="G278" t="s">
        <v>9</v>
      </c>
      <c r="H278" t="str">
        <f t="shared" si="18"/>
        <v>轻型货车</v>
      </c>
      <c r="I278" t="str">
        <f t="shared" si="19"/>
        <v>Freight LDV</v>
      </c>
      <c r="J278">
        <v>553018</v>
      </c>
    </row>
    <row r="279" spans="1:10" x14ac:dyDescent="0.2">
      <c r="A279">
        <v>278</v>
      </c>
      <c r="B279">
        <v>2016</v>
      </c>
      <c r="C279" t="s">
        <v>13</v>
      </c>
      <c r="D279" t="str">
        <f t="shared" si="17"/>
        <v>gasoline vehicle</v>
      </c>
      <c r="E279" t="s">
        <v>23</v>
      </c>
      <c r="F279" t="s">
        <v>25</v>
      </c>
      <c r="G279" t="s">
        <v>9</v>
      </c>
      <c r="H279" t="str">
        <f t="shared" si="18"/>
        <v>轻型货车</v>
      </c>
      <c r="I279" t="str">
        <f t="shared" si="19"/>
        <v>Freight LDV</v>
      </c>
      <c r="J279">
        <v>627167</v>
      </c>
    </row>
    <row r="280" spans="1:10" x14ac:dyDescent="0.2">
      <c r="A280">
        <v>279</v>
      </c>
      <c r="B280">
        <v>2017</v>
      </c>
      <c r="C280" t="s">
        <v>13</v>
      </c>
      <c r="D280" t="str">
        <f t="shared" si="17"/>
        <v>gasoline vehicle</v>
      </c>
      <c r="E280" t="s">
        <v>23</v>
      </c>
      <c r="F280" t="s">
        <v>25</v>
      </c>
      <c r="G280" t="s">
        <v>9</v>
      </c>
      <c r="H280" t="str">
        <f t="shared" si="18"/>
        <v>轻型货车</v>
      </c>
      <c r="I280" t="str">
        <f t="shared" si="19"/>
        <v>Freight LDV</v>
      </c>
      <c r="J280">
        <v>674868</v>
      </c>
    </row>
    <row r="281" spans="1:10" x14ac:dyDescent="0.2">
      <c r="A281">
        <v>280</v>
      </c>
      <c r="B281">
        <v>2018</v>
      </c>
      <c r="C281" t="s">
        <v>13</v>
      </c>
      <c r="D281" t="str">
        <f t="shared" si="17"/>
        <v>gasoline vehicle</v>
      </c>
      <c r="E281" t="s">
        <v>23</v>
      </c>
      <c r="F281" t="s">
        <v>25</v>
      </c>
      <c r="G281" t="s">
        <v>9</v>
      </c>
      <c r="H281" t="str">
        <f t="shared" si="18"/>
        <v>轻型货车</v>
      </c>
      <c r="I281" t="str">
        <f t="shared" si="19"/>
        <v>Freight LDV</v>
      </c>
      <c r="J281">
        <v>841242</v>
      </c>
    </row>
    <row r="282" spans="1:10" x14ac:dyDescent="0.2">
      <c r="A282">
        <v>281</v>
      </c>
      <c r="B282">
        <v>2019</v>
      </c>
      <c r="C282" t="s">
        <v>13</v>
      </c>
      <c r="D282" t="str">
        <f t="shared" si="17"/>
        <v>gasoline vehicle</v>
      </c>
      <c r="E282" t="s">
        <v>23</v>
      </c>
      <c r="F282" t="s">
        <v>25</v>
      </c>
      <c r="G282" t="s">
        <v>9</v>
      </c>
      <c r="H282" t="str">
        <f t="shared" si="18"/>
        <v>轻型货车</v>
      </c>
      <c r="I282" t="str">
        <f t="shared" si="19"/>
        <v>Freight LDV</v>
      </c>
      <c r="J282">
        <v>1015382</v>
      </c>
    </row>
    <row r="283" spans="1:10" x14ac:dyDescent="0.2">
      <c r="A283">
        <v>282</v>
      </c>
      <c r="B283">
        <v>2020</v>
      </c>
      <c r="C283" t="s">
        <v>13</v>
      </c>
      <c r="D283" t="str">
        <f t="shared" si="17"/>
        <v>gasoline vehicle</v>
      </c>
      <c r="E283" t="s">
        <v>23</v>
      </c>
      <c r="F283" t="s">
        <v>25</v>
      </c>
      <c r="G283" t="s">
        <v>9</v>
      </c>
      <c r="H283" t="str">
        <f t="shared" si="18"/>
        <v>轻型货车</v>
      </c>
      <c r="I283" t="str">
        <f t="shared" si="19"/>
        <v>Freight LDV</v>
      </c>
      <c r="J283">
        <v>1102949</v>
      </c>
    </row>
    <row r="284" spans="1:10" x14ac:dyDescent="0.2">
      <c r="A284">
        <v>283</v>
      </c>
      <c r="B284">
        <v>2021</v>
      </c>
      <c r="C284" t="s">
        <v>13</v>
      </c>
      <c r="D284" t="str">
        <f t="shared" si="17"/>
        <v>gasoline vehicle</v>
      </c>
      <c r="E284" t="s">
        <v>23</v>
      </c>
      <c r="F284" t="s">
        <v>25</v>
      </c>
      <c r="G284" t="s">
        <v>9</v>
      </c>
      <c r="H284" t="str">
        <f t="shared" si="18"/>
        <v>轻型货车</v>
      </c>
      <c r="I284" t="str">
        <f t="shared" si="19"/>
        <v>Freight LDV</v>
      </c>
      <c r="J284">
        <v>1025054</v>
      </c>
    </row>
    <row r="285" spans="1:10" x14ac:dyDescent="0.2">
      <c r="A285">
        <v>284</v>
      </c>
      <c r="B285">
        <v>2015</v>
      </c>
      <c r="C285" t="s">
        <v>14</v>
      </c>
      <c r="D285" t="str">
        <f t="shared" si="17"/>
        <v>natural gas vehicle</v>
      </c>
      <c r="E285" t="s">
        <v>23</v>
      </c>
      <c r="F285" t="s">
        <v>25</v>
      </c>
      <c r="G285" t="s">
        <v>9</v>
      </c>
      <c r="H285" t="str">
        <f t="shared" si="18"/>
        <v>轻型货车</v>
      </c>
      <c r="I285" t="str">
        <f t="shared" si="19"/>
        <v>Freight LDV</v>
      </c>
      <c r="J285">
        <v>19425</v>
      </c>
    </row>
    <row r="286" spans="1:10" x14ac:dyDescent="0.2">
      <c r="A286">
        <v>285</v>
      </c>
      <c r="B286">
        <v>2016</v>
      </c>
      <c r="C286" t="s">
        <v>14</v>
      </c>
      <c r="D286" t="str">
        <f t="shared" si="17"/>
        <v>natural gas vehicle</v>
      </c>
      <c r="E286" t="s">
        <v>23</v>
      </c>
      <c r="F286" t="s">
        <v>25</v>
      </c>
      <c r="G286" t="s">
        <v>9</v>
      </c>
      <c r="H286" t="str">
        <f t="shared" si="18"/>
        <v>轻型货车</v>
      </c>
      <c r="I286" t="str">
        <f t="shared" si="19"/>
        <v>Freight LDV</v>
      </c>
      <c r="J286">
        <v>8941</v>
      </c>
    </row>
    <row r="287" spans="1:10" x14ac:dyDescent="0.2">
      <c r="A287">
        <v>286</v>
      </c>
      <c r="B287">
        <v>2017</v>
      </c>
      <c r="C287" t="s">
        <v>14</v>
      </c>
      <c r="D287" t="str">
        <f t="shared" si="17"/>
        <v>natural gas vehicle</v>
      </c>
      <c r="E287" t="s">
        <v>23</v>
      </c>
      <c r="F287" t="s">
        <v>25</v>
      </c>
      <c r="G287" t="s">
        <v>9</v>
      </c>
      <c r="H287" t="str">
        <f t="shared" si="18"/>
        <v>轻型货车</v>
      </c>
      <c r="I287" t="str">
        <f t="shared" si="19"/>
        <v>Freight LDV</v>
      </c>
      <c r="J287">
        <v>12380</v>
      </c>
    </row>
    <row r="288" spans="1:10" x14ac:dyDescent="0.2">
      <c r="A288">
        <v>287</v>
      </c>
      <c r="B288">
        <v>2018</v>
      </c>
      <c r="C288" t="s">
        <v>14</v>
      </c>
      <c r="D288" t="str">
        <f t="shared" si="17"/>
        <v>natural gas vehicle</v>
      </c>
      <c r="E288" t="s">
        <v>23</v>
      </c>
      <c r="F288" t="s">
        <v>25</v>
      </c>
      <c r="G288" t="s">
        <v>9</v>
      </c>
      <c r="H288" t="str">
        <f t="shared" si="18"/>
        <v>轻型货车</v>
      </c>
      <c r="I288" t="str">
        <f t="shared" si="19"/>
        <v>Freight LDV</v>
      </c>
      <c r="J288">
        <v>18248</v>
      </c>
    </row>
    <row r="289" spans="1:10" x14ac:dyDescent="0.2">
      <c r="A289">
        <v>288</v>
      </c>
      <c r="B289">
        <v>2019</v>
      </c>
      <c r="C289" t="s">
        <v>14</v>
      </c>
      <c r="D289" t="str">
        <f t="shared" si="17"/>
        <v>natural gas vehicle</v>
      </c>
      <c r="E289" t="s">
        <v>23</v>
      </c>
      <c r="F289" t="s">
        <v>25</v>
      </c>
      <c r="G289" t="s">
        <v>9</v>
      </c>
      <c r="H289" t="str">
        <f t="shared" si="18"/>
        <v>轻型货车</v>
      </c>
      <c r="I289" t="str">
        <f t="shared" si="19"/>
        <v>Freight LDV</v>
      </c>
      <c r="J289">
        <v>25076</v>
      </c>
    </row>
    <row r="290" spans="1:10" x14ac:dyDescent="0.2">
      <c r="A290">
        <v>289</v>
      </c>
      <c r="B290">
        <v>2020</v>
      </c>
      <c r="C290" t="s">
        <v>14</v>
      </c>
      <c r="D290" t="str">
        <f t="shared" si="17"/>
        <v>natural gas vehicle</v>
      </c>
      <c r="E290" t="s">
        <v>23</v>
      </c>
      <c r="F290" t="s">
        <v>25</v>
      </c>
      <c r="G290" t="s">
        <v>9</v>
      </c>
      <c r="H290" t="str">
        <f t="shared" si="18"/>
        <v>轻型货车</v>
      </c>
      <c r="I290" t="str">
        <f t="shared" si="19"/>
        <v>Freight LDV</v>
      </c>
      <c r="J290">
        <v>11747</v>
      </c>
    </row>
    <row r="291" spans="1:10" x14ac:dyDescent="0.2">
      <c r="A291">
        <v>290</v>
      </c>
      <c r="B291">
        <v>2021</v>
      </c>
      <c r="C291" t="s">
        <v>14</v>
      </c>
      <c r="D291" t="str">
        <f t="shared" si="17"/>
        <v>natural gas vehicle</v>
      </c>
      <c r="E291" t="s">
        <v>23</v>
      </c>
      <c r="F291" t="s">
        <v>25</v>
      </c>
      <c r="G291" t="s">
        <v>9</v>
      </c>
      <c r="H291" t="str">
        <f t="shared" si="18"/>
        <v>轻型货车</v>
      </c>
      <c r="I291" t="str">
        <f t="shared" si="19"/>
        <v>Freight LDV</v>
      </c>
      <c r="J291">
        <v>158</v>
      </c>
    </row>
    <row r="292" spans="1:10" x14ac:dyDescent="0.2">
      <c r="A292">
        <v>291</v>
      </c>
      <c r="B292">
        <v>2015</v>
      </c>
      <c r="C292" t="s">
        <v>16</v>
      </c>
      <c r="D292" t="str">
        <f t="shared" si="17"/>
        <v>natural gas vehicle</v>
      </c>
      <c r="E292" t="s">
        <v>23</v>
      </c>
      <c r="F292" t="s">
        <v>25</v>
      </c>
      <c r="G292" t="s">
        <v>9</v>
      </c>
      <c r="H292" t="str">
        <f t="shared" si="18"/>
        <v>轻型货车</v>
      </c>
      <c r="I292" t="str">
        <f t="shared" si="19"/>
        <v>Freight LDV</v>
      </c>
      <c r="J292">
        <v>96</v>
      </c>
    </row>
    <row r="293" spans="1:10" x14ac:dyDescent="0.2">
      <c r="A293">
        <v>292</v>
      </c>
      <c r="B293">
        <v>2016</v>
      </c>
      <c r="C293" t="s">
        <v>16</v>
      </c>
      <c r="D293" t="str">
        <f t="shared" si="17"/>
        <v>natural gas vehicle</v>
      </c>
      <c r="E293" t="s">
        <v>23</v>
      </c>
      <c r="F293" t="s">
        <v>25</v>
      </c>
      <c r="G293" t="s">
        <v>9</v>
      </c>
      <c r="H293" t="str">
        <f t="shared" si="18"/>
        <v>轻型货车</v>
      </c>
      <c r="I293" t="str">
        <f t="shared" si="19"/>
        <v>Freight LDV</v>
      </c>
      <c r="J293">
        <v>760</v>
      </c>
    </row>
    <row r="294" spans="1:10" x14ac:dyDescent="0.2">
      <c r="A294">
        <v>293</v>
      </c>
      <c r="B294">
        <v>2017</v>
      </c>
      <c r="C294" t="s">
        <v>16</v>
      </c>
      <c r="D294" t="str">
        <f t="shared" si="17"/>
        <v>natural gas vehicle</v>
      </c>
      <c r="E294" t="s">
        <v>23</v>
      </c>
      <c r="F294" t="s">
        <v>25</v>
      </c>
      <c r="G294" t="s">
        <v>9</v>
      </c>
      <c r="H294" t="str">
        <f t="shared" si="18"/>
        <v>轻型货车</v>
      </c>
      <c r="I294" t="str">
        <f t="shared" si="19"/>
        <v>Freight LDV</v>
      </c>
      <c r="J294">
        <v>111</v>
      </c>
    </row>
    <row r="295" spans="1:10" x14ac:dyDescent="0.2">
      <c r="A295">
        <v>294</v>
      </c>
      <c r="B295">
        <v>2018</v>
      </c>
      <c r="C295" t="s">
        <v>16</v>
      </c>
      <c r="D295" t="str">
        <f t="shared" si="17"/>
        <v>natural gas vehicle</v>
      </c>
      <c r="E295" t="s">
        <v>23</v>
      </c>
      <c r="F295" t="s">
        <v>25</v>
      </c>
      <c r="G295" t="s">
        <v>9</v>
      </c>
      <c r="H295" t="str">
        <f t="shared" si="18"/>
        <v>轻型货车</v>
      </c>
      <c r="I295" t="str">
        <f t="shared" si="19"/>
        <v>Freight LDV</v>
      </c>
      <c r="J295">
        <v>179</v>
      </c>
    </row>
    <row r="296" spans="1:10" x14ac:dyDescent="0.2">
      <c r="A296">
        <v>295</v>
      </c>
      <c r="B296">
        <v>2019</v>
      </c>
      <c r="C296" t="s">
        <v>16</v>
      </c>
      <c r="D296" t="str">
        <f t="shared" si="17"/>
        <v>natural gas vehicle</v>
      </c>
      <c r="E296" t="s">
        <v>23</v>
      </c>
      <c r="F296" t="s">
        <v>25</v>
      </c>
      <c r="G296" t="s">
        <v>9</v>
      </c>
      <c r="H296" t="str">
        <f t="shared" si="18"/>
        <v>轻型货车</v>
      </c>
      <c r="I296" t="str">
        <f t="shared" si="19"/>
        <v>Freight LDV</v>
      </c>
      <c r="J296">
        <v>651</v>
      </c>
    </row>
    <row r="297" spans="1:10" x14ac:dyDescent="0.2">
      <c r="A297">
        <v>296</v>
      </c>
      <c r="B297">
        <v>2020</v>
      </c>
      <c r="C297" t="s">
        <v>16</v>
      </c>
      <c r="D297" t="str">
        <f t="shared" si="17"/>
        <v>natural gas vehicle</v>
      </c>
      <c r="E297" t="s">
        <v>23</v>
      </c>
      <c r="F297" t="s">
        <v>25</v>
      </c>
      <c r="G297" t="s">
        <v>9</v>
      </c>
      <c r="H297" t="str">
        <f t="shared" si="18"/>
        <v>轻型货车</v>
      </c>
      <c r="I297" t="str">
        <f t="shared" si="19"/>
        <v>Freight LDV</v>
      </c>
      <c r="J297">
        <v>6804</v>
      </c>
    </row>
    <row r="298" spans="1:10" x14ac:dyDescent="0.2">
      <c r="A298">
        <v>297</v>
      </c>
      <c r="B298">
        <v>2021</v>
      </c>
      <c r="C298" t="s">
        <v>16</v>
      </c>
      <c r="D298" t="str">
        <f t="shared" si="17"/>
        <v>natural gas vehicle</v>
      </c>
      <c r="E298" t="s">
        <v>23</v>
      </c>
      <c r="F298" t="s">
        <v>25</v>
      </c>
      <c r="G298" t="s">
        <v>9</v>
      </c>
      <c r="H298" t="str">
        <f t="shared" si="18"/>
        <v>轻型货车</v>
      </c>
      <c r="I298" t="str">
        <f t="shared" si="19"/>
        <v>Freight LDV</v>
      </c>
      <c r="J298">
        <v>18862</v>
      </c>
    </row>
    <row r="299" spans="1:10" x14ac:dyDescent="0.2">
      <c r="A299">
        <v>298</v>
      </c>
      <c r="B299">
        <v>2016</v>
      </c>
      <c r="C299" t="s">
        <v>10</v>
      </c>
      <c r="D299" t="str">
        <f t="shared" si="17"/>
        <v>diesel vehicle</v>
      </c>
      <c r="E299" t="s">
        <v>27</v>
      </c>
      <c r="F299" t="s">
        <v>25</v>
      </c>
      <c r="G299" t="s">
        <v>9</v>
      </c>
      <c r="H299" t="str">
        <f t="shared" si="18"/>
        <v>轻型货车</v>
      </c>
      <c r="I299" t="str">
        <f t="shared" si="19"/>
        <v>Freight LDV</v>
      </c>
      <c r="J299">
        <v>270</v>
      </c>
    </row>
    <row r="300" spans="1:10" x14ac:dyDescent="0.2">
      <c r="A300">
        <v>299</v>
      </c>
      <c r="B300">
        <v>2017</v>
      </c>
      <c r="C300" t="s">
        <v>10</v>
      </c>
      <c r="D300" t="str">
        <f t="shared" si="17"/>
        <v>diesel vehicle</v>
      </c>
      <c r="E300" t="s">
        <v>27</v>
      </c>
      <c r="F300" t="s">
        <v>25</v>
      </c>
      <c r="G300" t="s">
        <v>9</v>
      </c>
      <c r="H300" t="str">
        <f t="shared" si="18"/>
        <v>轻型货车</v>
      </c>
      <c r="I300" t="str">
        <f t="shared" si="19"/>
        <v>Freight LDV</v>
      </c>
      <c r="J300">
        <v>58</v>
      </c>
    </row>
    <row r="301" spans="1:10" x14ac:dyDescent="0.2">
      <c r="A301">
        <v>300</v>
      </c>
      <c r="B301">
        <v>2015</v>
      </c>
      <c r="C301" t="s">
        <v>11</v>
      </c>
      <c r="D301" t="str">
        <f t="shared" si="17"/>
        <v>battery electric vehicle</v>
      </c>
      <c r="E301" t="s">
        <v>27</v>
      </c>
      <c r="F301" t="s">
        <v>25</v>
      </c>
      <c r="G301" t="s">
        <v>9</v>
      </c>
      <c r="H301" t="str">
        <f t="shared" si="18"/>
        <v>轻型货车</v>
      </c>
      <c r="I301" t="str">
        <f t="shared" si="19"/>
        <v>Freight LDV</v>
      </c>
      <c r="J301">
        <v>1370</v>
      </c>
    </row>
    <row r="302" spans="1:10" x14ac:dyDescent="0.2">
      <c r="A302">
        <v>301</v>
      </c>
      <c r="B302">
        <v>2016</v>
      </c>
      <c r="C302" t="s">
        <v>11</v>
      </c>
      <c r="D302" t="str">
        <f t="shared" si="17"/>
        <v>battery electric vehicle</v>
      </c>
      <c r="E302" t="s">
        <v>27</v>
      </c>
      <c r="F302" t="s">
        <v>25</v>
      </c>
      <c r="G302" t="s">
        <v>9</v>
      </c>
      <c r="H302" t="str">
        <f t="shared" si="18"/>
        <v>轻型货车</v>
      </c>
      <c r="I302" t="str">
        <f t="shared" si="19"/>
        <v>Freight LDV</v>
      </c>
      <c r="J302">
        <v>8</v>
      </c>
    </row>
    <row r="303" spans="1:10" x14ac:dyDescent="0.2">
      <c r="A303">
        <v>302</v>
      </c>
      <c r="B303">
        <v>2018</v>
      </c>
      <c r="C303" t="s">
        <v>11</v>
      </c>
      <c r="D303" t="str">
        <f t="shared" si="17"/>
        <v>battery electric vehicle</v>
      </c>
      <c r="E303" t="s">
        <v>27</v>
      </c>
      <c r="F303" t="s">
        <v>25</v>
      </c>
      <c r="G303" t="s">
        <v>9</v>
      </c>
      <c r="H303" t="str">
        <f t="shared" si="18"/>
        <v>轻型货车</v>
      </c>
      <c r="I303" t="str">
        <f t="shared" si="19"/>
        <v>Freight LDV</v>
      </c>
      <c r="J303">
        <v>2</v>
      </c>
    </row>
    <row r="304" spans="1:10" x14ac:dyDescent="0.2">
      <c r="A304">
        <v>303</v>
      </c>
      <c r="B304">
        <v>2019</v>
      </c>
      <c r="C304" t="s">
        <v>11</v>
      </c>
      <c r="D304" t="str">
        <f t="shared" si="17"/>
        <v>battery electric vehicle</v>
      </c>
      <c r="E304" t="s">
        <v>27</v>
      </c>
      <c r="F304" t="s">
        <v>25</v>
      </c>
      <c r="G304" t="s">
        <v>9</v>
      </c>
      <c r="H304" t="str">
        <f t="shared" si="18"/>
        <v>轻型货车</v>
      </c>
      <c r="I304" t="str">
        <f t="shared" si="19"/>
        <v>Freight LDV</v>
      </c>
      <c r="J304">
        <v>1</v>
      </c>
    </row>
    <row r="305" spans="1:10" x14ac:dyDescent="0.2">
      <c r="A305">
        <v>304</v>
      </c>
      <c r="B305">
        <v>2020</v>
      </c>
      <c r="C305" t="s">
        <v>11</v>
      </c>
      <c r="D305" t="str">
        <f t="shared" si="17"/>
        <v>battery electric vehicle</v>
      </c>
      <c r="E305" t="s">
        <v>27</v>
      </c>
      <c r="F305" t="s">
        <v>25</v>
      </c>
      <c r="G305" t="s">
        <v>9</v>
      </c>
      <c r="H305" t="str">
        <f t="shared" si="18"/>
        <v>轻型货车</v>
      </c>
      <c r="I305" t="str">
        <f t="shared" si="19"/>
        <v>Freight LDV</v>
      </c>
      <c r="J305">
        <v>10</v>
      </c>
    </row>
    <row r="306" spans="1:10" x14ac:dyDescent="0.2">
      <c r="A306">
        <v>305</v>
      </c>
      <c r="B306">
        <v>2021</v>
      </c>
      <c r="C306" t="s">
        <v>11</v>
      </c>
      <c r="D306" t="str">
        <f t="shared" si="17"/>
        <v>battery electric vehicle</v>
      </c>
      <c r="E306" t="s">
        <v>27</v>
      </c>
      <c r="F306" t="s">
        <v>25</v>
      </c>
      <c r="G306" t="s">
        <v>9</v>
      </c>
      <c r="H306" t="str">
        <f t="shared" si="18"/>
        <v>轻型货车</v>
      </c>
      <c r="I306" t="str">
        <f t="shared" si="19"/>
        <v>Freight LDV</v>
      </c>
      <c r="J306">
        <v>50</v>
      </c>
    </row>
    <row r="307" spans="1:10" x14ac:dyDescent="0.2">
      <c r="A307">
        <v>306</v>
      </c>
      <c r="B307">
        <v>2016</v>
      </c>
      <c r="C307" t="s">
        <v>13</v>
      </c>
      <c r="D307" t="str">
        <f t="shared" si="17"/>
        <v>gasoline vehicle</v>
      </c>
      <c r="E307" t="s">
        <v>27</v>
      </c>
      <c r="F307" t="s">
        <v>25</v>
      </c>
      <c r="G307" t="s">
        <v>9</v>
      </c>
      <c r="H307" t="str">
        <f t="shared" si="18"/>
        <v>轻型货车</v>
      </c>
      <c r="I307" t="str">
        <f t="shared" si="19"/>
        <v>Freight LDV</v>
      </c>
      <c r="J307">
        <v>1</v>
      </c>
    </row>
    <row r="308" spans="1:10" x14ac:dyDescent="0.2">
      <c r="A308">
        <v>307</v>
      </c>
      <c r="B308">
        <v>2016</v>
      </c>
      <c r="C308" t="s">
        <v>10</v>
      </c>
      <c r="D308" t="str">
        <f t="shared" si="17"/>
        <v>diesel vehicle</v>
      </c>
      <c r="E308" t="s">
        <v>28</v>
      </c>
      <c r="F308" t="s">
        <v>25</v>
      </c>
      <c r="G308" t="s">
        <v>9</v>
      </c>
      <c r="H308" t="str">
        <f t="shared" si="18"/>
        <v>出租车</v>
      </c>
      <c r="I308" t="str">
        <f t="shared" si="19"/>
        <v>Passenger LDV</v>
      </c>
      <c r="J308">
        <v>12</v>
      </c>
    </row>
    <row r="309" spans="1:10" x14ac:dyDescent="0.2">
      <c r="A309">
        <v>308</v>
      </c>
      <c r="B309">
        <v>2017</v>
      </c>
      <c r="C309" t="s">
        <v>10</v>
      </c>
      <c r="D309" t="str">
        <f t="shared" si="17"/>
        <v>diesel vehicle</v>
      </c>
      <c r="E309" t="s">
        <v>28</v>
      </c>
      <c r="F309" t="s">
        <v>25</v>
      </c>
      <c r="G309" t="s">
        <v>9</v>
      </c>
      <c r="H309" t="str">
        <f t="shared" si="18"/>
        <v>出租车</v>
      </c>
      <c r="I309" t="str">
        <f t="shared" si="19"/>
        <v>Passenger LDV</v>
      </c>
      <c r="J309">
        <v>24</v>
      </c>
    </row>
    <row r="310" spans="1:10" x14ac:dyDescent="0.2">
      <c r="A310">
        <v>309</v>
      </c>
      <c r="B310">
        <v>2015</v>
      </c>
      <c r="C310" t="s">
        <v>10</v>
      </c>
      <c r="D310" t="str">
        <f t="shared" si="17"/>
        <v>diesel vehicle</v>
      </c>
      <c r="E310" t="s">
        <v>17</v>
      </c>
      <c r="F310" t="s">
        <v>25</v>
      </c>
      <c r="G310" t="s">
        <v>9</v>
      </c>
      <c r="H310" t="str">
        <f t="shared" si="18"/>
        <v>Unknown</v>
      </c>
      <c r="I310" t="str">
        <f t="shared" si="19"/>
        <v>Unknown</v>
      </c>
      <c r="J310">
        <v>16188</v>
      </c>
    </row>
    <row r="311" spans="1:10" x14ac:dyDescent="0.2">
      <c r="A311">
        <v>310</v>
      </c>
      <c r="B311">
        <v>2015</v>
      </c>
      <c r="C311" t="s">
        <v>11</v>
      </c>
      <c r="D311" t="str">
        <f t="shared" si="17"/>
        <v>battery electric vehicle</v>
      </c>
      <c r="E311" t="s">
        <v>17</v>
      </c>
      <c r="F311" t="s">
        <v>25</v>
      </c>
      <c r="G311" t="s">
        <v>9</v>
      </c>
      <c r="H311" t="str">
        <f t="shared" si="18"/>
        <v>Unknown</v>
      </c>
      <c r="I311" t="str">
        <f t="shared" si="19"/>
        <v>Unknown</v>
      </c>
      <c r="J311">
        <v>261</v>
      </c>
    </row>
    <row r="312" spans="1:10" x14ac:dyDescent="0.2">
      <c r="A312">
        <v>311</v>
      </c>
      <c r="B312">
        <v>2015</v>
      </c>
      <c r="C312" t="s">
        <v>13</v>
      </c>
      <c r="D312" t="str">
        <f t="shared" si="17"/>
        <v>gasoline vehicle</v>
      </c>
      <c r="E312" t="s">
        <v>17</v>
      </c>
      <c r="F312" t="s">
        <v>25</v>
      </c>
      <c r="G312" t="s">
        <v>9</v>
      </c>
      <c r="H312" t="str">
        <f t="shared" si="18"/>
        <v>Unknown</v>
      </c>
      <c r="I312" t="str">
        <f t="shared" si="19"/>
        <v>Unknown</v>
      </c>
      <c r="J312">
        <v>2164290</v>
      </c>
    </row>
    <row r="313" spans="1:10" x14ac:dyDescent="0.2">
      <c r="A313">
        <v>312</v>
      </c>
      <c r="B313">
        <v>2015</v>
      </c>
      <c r="C313" t="s">
        <v>14</v>
      </c>
      <c r="D313" t="str">
        <f t="shared" si="17"/>
        <v>natural gas vehicle</v>
      </c>
      <c r="E313" t="s">
        <v>17</v>
      </c>
      <c r="F313" t="s">
        <v>25</v>
      </c>
      <c r="G313" t="s">
        <v>9</v>
      </c>
      <c r="H313" t="str">
        <f t="shared" si="18"/>
        <v>Unknown</v>
      </c>
      <c r="I313" t="str">
        <f t="shared" si="19"/>
        <v>Unknown</v>
      </c>
      <c r="J313">
        <v>10062</v>
      </c>
    </row>
    <row r="314" spans="1:10" x14ac:dyDescent="0.2">
      <c r="A314">
        <v>313</v>
      </c>
      <c r="B314">
        <v>2015</v>
      </c>
      <c r="C314" t="s">
        <v>24</v>
      </c>
      <c r="D314" t="str">
        <f t="shared" si="17"/>
        <v>unknown</v>
      </c>
      <c r="E314" t="s">
        <v>17</v>
      </c>
      <c r="F314" t="s">
        <v>25</v>
      </c>
      <c r="G314" t="s">
        <v>9</v>
      </c>
      <c r="H314" t="str">
        <f t="shared" si="18"/>
        <v>Unknown</v>
      </c>
      <c r="I314" t="str">
        <f t="shared" si="19"/>
        <v>Unknown</v>
      </c>
      <c r="J314">
        <v>2410</v>
      </c>
    </row>
    <row r="315" spans="1:10" x14ac:dyDescent="0.2">
      <c r="A315">
        <v>314</v>
      </c>
      <c r="B315">
        <v>2015</v>
      </c>
      <c r="C315" t="s">
        <v>10</v>
      </c>
      <c r="D315" t="str">
        <f t="shared" si="17"/>
        <v>diesel vehicle</v>
      </c>
      <c r="E315" t="s">
        <v>18</v>
      </c>
      <c r="F315" t="s">
        <v>25</v>
      </c>
      <c r="G315" t="s">
        <v>9</v>
      </c>
      <c r="H315" t="str">
        <f t="shared" si="18"/>
        <v>乘用车</v>
      </c>
      <c r="I315" t="str">
        <f t="shared" si="19"/>
        <v>Passenger LDV</v>
      </c>
      <c r="J315">
        <v>72743</v>
      </c>
    </row>
    <row r="316" spans="1:10" x14ac:dyDescent="0.2">
      <c r="A316">
        <v>315</v>
      </c>
      <c r="B316">
        <v>2016</v>
      </c>
      <c r="C316" t="s">
        <v>10</v>
      </c>
      <c r="D316" t="str">
        <f t="shared" si="17"/>
        <v>diesel vehicle</v>
      </c>
      <c r="E316" t="s">
        <v>18</v>
      </c>
      <c r="F316" t="s">
        <v>25</v>
      </c>
      <c r="G316" t="s">
        <v>9</v>
      </c>
      <c r="H316" t="str">
        <f t="shared" si="18"/>
        <v>乘用车</v>
      </c>
      <c r="I316" t="str">
        <f t="shared" si="19"/>
        <v>Passenger LDV</v>
      </c>
      <c r="J316">
        <v>91128</v>
      </c>
    </row>
    <row r="317" spans="1:10" x14ac:dyDescent="0.2">
      <c r="A317">
        <v>316</v>
      </c>
      <c r="B317">
        <v>2017</v>
      </c>
      <c r="C317" t="s">
        <v>10</v>
      </c>
      <c r="D317" t="str">
        <f t="shared" si="17"/>
        <v>diesel vehicle</v>
      </c>
      <c r="E317" t="s">
        <v>18</v>
      </c>
      <c r="F317" t="s">
        <v>25</v>
      </c>
      <c r="G317" t="s">
        <v>9</v>
      </c>
      <c r="H317" t="str">
        <f t="shared" si="18"/>
        <v>乘用车</v>
      </c>
      <c r="I317" t="str">
        <f t="shared" si="19"/>
        <v>Passenger LDV</v>
      </c>
      <c r="J317">
        <v>93275</v>
      </c>
    </row>
    <row r="318" spans="1:10" x14ac:dyDescent="0.2">
      <c r="A318">
        <v>317</v>
      </c>
      <c r="B318">
        <v>2018</v>
      </c>
      <c r="C318" t="s">
        <v>10</v>
      </c>
      <c r="D318" t="str">
        <f t="shared" si="17"/>
        <v>diesel vehicle</v>
      </c>
      <c r="E318" t="s">
        <v>18</v>
      </c>
      <c r="F318" t="s">
        <v>25</v>
      </c>
      <c r="G318" t="s">
        <v>9</v>
      </c>
      <c r="H318" t="str">
        <f t="shared" si="18"/>
        <v>乘用车</v>
      </c>
      <c r="I318" t="str">
        <f t="shared" si="19"/>
        <v>Passenger LDV</v>
      </c>
      <c r="J318">
        <v>105538</v>
      </c>
    </row>
    <row r="319" spans="1:10" x14ac:dyDescent="0.2">
      <c r="A319">
        <v>318</v>
      </c>
      <c r="B319">
        <v>2019</v>
      </c>
      <c r="C319" t="s">
        <v>10</v>
      </c>
      <c r="D319" t="str">
        <f t="shared" si="17"/>
        <v>diesel vehicle</v>
      </c>
      <c r="E319" t="s">
        <v>18</v>
      </c>
      <c r="F319" t="s">
        <v>25</v>
      </c>
      <c r="G319" t="s">
        <v>9</v>
      </c>
      <c r="H319" t="str">
        <f t="shared" si="18"/>
        <v>乘用车</v>
      </c>
      <c r="I319" t="str">
        <f t="shared" si="19"/>
        <v>Passenger LDV</v>
      </c>
      <c r="J319">
        <v>107315</v>
      </c>
    </row>
    <row r="320" spans="1:10" x14ac:dyDescent="0.2">
      <c r="A320">
        <v>319</v>
      </c>
      <c r="B320">
        <v>2020</v>
      </c>
      <c r="C320" t="s">
        <v>10</v>
      </c>
      <c r="D320" t="str">
        <f t="shared" si="17"/>
        <v>diesel vehicle</v>
      </c>
      <c r="E320" t="s">
        <v>18</v>
      </c>
      <c r="F320" t="s">
        <v>25</v>
      </c>
      <c r="G320" t="s">
        <v>9</v>
      </c>
      <c r="H320" t="str">
        <f t="shared" si="18"/>
        <v>乘用车</v>
      </c>
      <c r="I320" t="str">
        <f t="shared" si="19"/>
        <v>Passenger LDV</v>
      </c>
      <c r="J320">
        <v>154146</v>
      </c>
    </row>
    <row r="321" spans="1:10" x14ac:dyDescent="0.2">
      <c r="A321">
        <v>320</v>
      </c>
      <c r="B321">
        <v>2021</v>
      </c>
      <c r="C321" t="s">
        <v>10</v>
      </c>
      <c r="D321" t="str">
        <f t="shared" si="17"/>
        <v>diesel vehicle</v>
      </c>
      <c r="E321" t="s">
        <v>18</v>
      </c>
      <c r="F321" t="s">
        <v>25</v>
      </c>
      <c r="G321" t="s">
        <v>9</v>
      </c>
      <c r="H321" t="str">
        <f t="shared" si="18"/>
        <v>乘用车</v>
      </c>
      <c r="I321" t="str">
        <f t="shared" si="19"/>
        <v>Passenger LDV</v>
      </c>
      <c r="J321">
        <v>161750</v>
      </c>
    </row>
    <row r="322" spans="1:10" x14ac:dyDescent="0.2">
      <c r="A322">
        <v>321</v>
      </c>
      <c r="B322">
        <v>2015</v>
      </c>
      <c r="C322" t="s">
        <v>11</v>
      </c>
      <c r="D322" t="str">
        <f t="shared" ref="D322:D385" si="20">VLOOKUP(C322,M$3:N$16,2,FALSE)</f>
        <v>battery electric vehicle</v>
      </c>
      <c r="E322" t="s">
        <v>18</v>
      </c>
      <c r="F322" t="s">
        <v>25</v>
      </c>
      <c r="G322" t="s">
        <v>9</v>
      </c>
      <c r="H322" t="str">
        <f t="shared" si="18"/>
        <v>乘用车</v>
      </c>
      <c r="I322" t="str">
        <f t="shared" si="19"/>
        <v>Passenger LDV</v>
      </c>
      <c r="J322">
        <v>41</v>
      </c>
    </row>
    <row r="323" spans="1:10" x14ac:dyDescent="0.2">
      <c r="A323">
        <v>322</v>
      </c>
      <c r="B323">
        <v>2016</v>
      </c>
      <c r="C323" t="s">
        <v>11</v>
      </c>
      <c r="D323" t="str">
        <f t="shared" si="20"/>
        <v>battery electric vehicle</v>
      </c>
      <c r="E323" t="s">
        <v>18</v>
      </c>
      <c r="F323" t="s">
        <v>25</v>
      </c>
      <c r="G323" t="s">
        <v>9</v>
      </c>
      <c r="H323" t="str">
        <f t="shared" ref="H323:H386" si="21">VLOOKUP(E323&amp;F323&amp;G323,$S$3:$U$68,2,FALSE)</f>
        <v>乘用车</v>
      </c>
      <c r="I323" t="str">
        <f t="shared" ref="I323:I386" si="22">VLOOKUP(E323&amp;F323&amp;G323,$S$3:$U$68,3,FALSE)</f>
        <v>Passenger LDV</v>
      </c>
      <c r="J323">
        <v>2126</v>
      </c>
    </row>
    <row r="324" spans="1:10" x14ac:dyDescent="0.2">
      <c r="A324">
        <v>323</v>
      </c>
      <c r="B324">
        <v>2017</v>
      </c>
      <c r="C324" t="s">
        <v>11</v>
      </c>
      <c r="D324" t="str">
        <f t="shared" si="20"/>
        <v>battery electric vehicle</v>
      </c>
      <c r="E324" t="s">
        <v>18</v>
      </c>
      <c r="F324" t="s">
        <v>25</v>
      </c>
      <c r="G324" t="s">
        <v>9</v>
      </c>
      <c r="H324" t="str">
        <f t="shared" si="21"/>
        <v>乘用车</v>
      </c>
      <c r="I324" t="str">
        <f t="shared" si="22"/>
        <v>Passenger LDV</v>
      </c>
      <c r="J324">
        <v>9568</v>
      </c>
    </row>
    <row r="325" spans="1:10" x14ac:dyDescent="0.2">
      <c r="A325">
        <v>324</v>
      </c>
      <c r="B325">
        <v>2018</v>
      </c>
      <c r="C325" t="s">
        <v>11</v>
      </c>
      <c r="D325" t="str">
        <f t="shared" si="20"/>
        <v>battery electric vehicle</v>
      </c>
      <c r="E325" t="s">
        <v>18</v>
      </c>
      <c r="F325" t="s">
        <v>25</v>
      </c>
      <c r="G325" t="s">
        <v>9</v>
      </c>
      <c r="H325" t="str">
        <f t="shared" si="21"/>
        <v>乘用车</v>
      </c>
      <c r="I325" t="str">
        <f t="shared" si="22"/>
        <v>Passenger LDV</v>
      </c>
      <c r="J325">
        <v>8534</v>
      </c>
    </row>
    <row r="326" spans="1:10" x14ac:dyDescent="0.2">
      <c r="A326">
        <v>325</v>
      </c>
      <c r="B326">
        <v>2019</v>
      </c>
      <c r="C326" t="s">
        <v>11</v>
      </c>
      <c r="D326" t="str">
        <f t="shared" si="20"/>
        <v>battery electric vehicle</v>
      </c>
      <c r="E326" t="s">
        <v>18</v>
      </c>
      <c r="F326" t="s">
        <v>25</v>
      </c>
      <c r="G326" t="s">
        <v>9</v>
      </c>
      <c r="H326" t="str">
        <f t="shared" si="21"/>
        <v>乘用车</v>
      </c>
      <c r="I326" t="str">
        <f t="shared" si="22"/>
        <v>Passenger LDV</v>
      </c>
      <c r="J326">
        <v>2332</v>
      </c>
    </row>
    <row r="327" spans="1:10" x14ac:dyDescent="0.2">
      <c r="A327">
        <v>326</v>
      </c>
      <c r="B327">
        <v>2020</v>
      </c>
      <c r="C327" t="s">
        <v>11</v>
      </c>
      <c r="D327" t="str">
        <f t="shared" si="20"/>
        <v>battery electric vehicle</v>
      </c>
      <c r="E327" t="s">
        <v>18</v>
      </c>
      <c r="F327" t="s">
        <v>25</v>
      </c>
      <c r="G327" t="s">
        <v>9</v>
      </c>
      <c r="H327" t="str">
        <f t="shared" si="21"/>
        <v>乘用车</v>
      </c>
      <c r="I327" t="str">
        <f t="shared" si="22"/>
        <v>Passenger LDV</v>
      </c>
      <c r="J327">
        <v>4882</v>
      </c>
    </row>
    <row r="328" spans="1:10" x14ac:dyDescent="0.2">
      <c r="A328">
        <v>327</v>
      </c>
      <c r="B328">
        <v>2021</v>
      </c>
      <c r="C328" t="s">
        <v>11</v>
      </c>
      <c r="D328" t="str">
        <f t="shared" si="20"/>
        <v>battery electric vehicle</v>
      </c>
      <c r="E328" t="s">
        <v>18</v>
      </c>
      <c r="F328" t="s">
        <v>25</v>
      </c>
      <c r="G328" t="s">
        <v>9</v>
      </c>
      <c r="H328" t="str">
        <f t="shared" si="21"/>
        <v>乘用车</v>
      </c>
      <c r="I328" t="str">
        <f t="shared" si="22"/>
        <v>Passenger LDV</v>
      </c>
      <c r="J328">
        <v>7727</v>
      </c>
    </row>
    <row r="329" spans="1:10" x14ac:dyDescent="0.2">
      <c r="A329">
        <v>328</v>
      </c>
      <c r="B329">
        <v>2015</v>
      </c>
      <c r="C329" t="s">
        <v>13</v>
      </c>
      <c r="D329" t="str">
        <f t="shared" si="20"/>
        <v>gasoline vehicle</v>
      </c>
      <c r="E329" t="s">
        <v>18</v>
      </c>
      <c r="F329" t="s">
        <v>25</v>
      </c>
      <c r="G329" t="s">
        <v>9</v>
      </c>
      <c r="H329" t="str">
        <f t="shared" si="21"/>
        <v>乘用车</v>
      </c>
      <c r="I329" t="str">
        <f t="shared" si="22"/>
        <v>Passenger LDV</v>
      </c>
      <c r="J329">
        <v>14375</v>
      </c>
    </row>
    <row r="330" spans="1:10" x14ac:dyDescent="0.2">
      <c r="A330">
        <v>329</v>
      </c>
      <c r="B330">
        <v>2016</v>
      </c>
      <c r="C330" t="s">
        <v>13</v>
      </c>
      <c r="D330" t="str">
        <f t="shared" si="20"/>
        <v>gasoline vehicle</v>
      </c>
      <c r="E330" t="s">
        <v>18</v>
      </c>
      <c r="F330" t="s">
        <v>25</v>
      </c>
      <c r="G330" t="s">
        <v>9</v>
      </c>
      <c r="H330" t="str">
        <f t="shared" si="21"/>
        <v>乘用车</v>
      </c>
      <c r="I330" t="str">
        <f t="shared" si="22"/>
        <v>Passenger LDV</v>
      </c>
      <c r="J330">
        <v>71782</v>
      </c>
    </row>
    <row r="331" spans="1:10" x14ac:dyDescent="0.2">
      <c r="A331">
        <v>330</v>
      </c>
      <c r="B331">
        <v>2017</v>
      </c>
      <c r="C331" t="s">
        <v>13</v>
      </c>
      <c r="D331" t="str">
        <f t="shared" si="20"/>
        <v>gasoline vehicle</v>
      </c>
      <c r="E331" t="s">
        <v>18</v>
      </c>
      <c r="F331" t="s">
        <v>25</v>
      </c>
      <c r="G331" t="s">
        <v>9</v>
      </c>
      <c r="H331" t="str">
        <f t="shared" si="21"/>
        <v>乘用车</v>
      </c>
      <c r="I331" t="str">
        <f t="shared" si="22"/>
        <v>Passenger LDV</v>
      </c>
      <c r="J331">
        <v>61557</v>
      </c>
    </row>
    <row r="332" spans="1:10" x14ac:dyDescent="0.2">
      <c r="A332">
        <v>331</v>
      </c>
      <c r="B332">
        <v>2018</v>
      </c>
      <c r="C332" t="s">
        <v>13</v>
      </c>
      <c r="D332" t="str">
        <f t="shared" si="20"/>
        <v>gasoline vehicle</v>
      </c>
      <c r="E332" t="s">
        <v>18</v>
      </c>
      <c r="F332" t="s">
        <v>25</v>
      </c>
      <c r="G332" t="s">
        <v>9</v>
      </c>
      <c r="H332" t="str">
        <f t="shared" si="21"/>
        <v>乘用车</v>
      </c>
      <c r="I332" t="str">
        <f t="shared" si="22"/>
        <v>Passenger LDV</v>
      </c>
      <c r="J332">
        <v>54881</v>
      </c>
    </row>
    <row r="333" spans="1:10" x14ac:dyDescent="0.2">
      <c r="A333">
        <v>332</v>
      </c>
      <c r="B333">
        <v>2019</v>
      </c>
      <c r="C333" t="s">
        <v>13</v>
      </c>
      <c r="D333" t="str">
        <f t="shared" si="20"/>
        <v>gasoline vehicle</v>
      </c>
      <c r="E333" t="s">
        <v>18</v>
      </c>
      <c r="F333" t="s">
        <v>25</v>
      </c>
      <c r="G333" t="s">
        <v>9</v>
      </c>
      <c r="H333" t="str">
        <f t="shared" si="21"/>
        <v>乘用车</v>
      </c>
      <c r="I333" t="str">
        <f t="shared" si="22"/>
        <v>Passenger LDV</v>
      </c>
      <c r="J333">
        <v>43710</v>
      </c>
    </row>
    <row r="334" spans="1:10" x14ac:dyDescent="0.2">
      <c r="A334">
        <v>333</v>
      </c>
      <c r="B334">
        <v>2020</v>
      </c>
      <c r="C334" t="s">
        <v>13</v>
      </c>
      <c r="D334" t="str">
        <f t="shared" si="20"/>
        <v>gasoline vehicle</v>
      </c>
      <c r="E334" t="s">
        <v>18</v>
      </c>
      <c r="F334" t="s">
        <v>25</v>
      </c>
      <c r="G334" t="s">
        <v>9</v>
      </c>
      <c r="H334" t="str">
        <f t="shared" si="21"/>
        <v>乘用车</v>
      </c>
      <c r="I334" t="str">
        <f t="shared" si="22"/>
        <v>Passenger LDV</v>
      </c>
      <c r="J334">
        <v>37401</v>
      </c>
    </row>
    <row r="335" spans="1:10" x14ac:dyDescent="0.2">
      <c r="A335">
        <v>334</v>
      </c>
      <c r="B335">
        <v>2021</v>
      </c>
      <c r="C335" t="s">
        <v>13</v>
      </c>
      <c r="D335" t="str">
        <f t="shared" si="20"/>
        <v>gasoline vehicle</v>
      </c>
      <c r="E335" t="s">
        <v>18</v>
      </c>
      <c r="F335" t="s">
        <v>25</v>
      </c>
      <c r="G335" t="s">
        <v>9</v>
      </c>
      <c r="H335" t="str">
        <f t="shared" si="21"/>
        <v>乘用车</v>
      </c>
      <c r="I335" t="str">
        <f t="shared" si="22"/>
        <v>Passenger LDV</v>
      </c>
      <c r="J335">
        <v>40042</v>
      </c>
    </row>
    <row r="336" spans="1:10" x14ac:dyDescent="0.2">
      <c r="A336">
        <v>335</v>
      </c>
      <c r="B336">
        <v>2016</v>
      </c>
      <c r="C336" t="s">
        <v>14</v>
      </c>
      <c r="D336" t="str">
        <f t="shared" si="20"/>
        <v>natural gas vehicle</v>
      </c>
      <c r="E336" t="s">
        <v>18</v>
      </c>
      <c r="F336" t="s">
        <v>25</v>
      </c>
      <c r="G336" t="s">
        <v>9</v>
      </c>
      <c r="H336" t="str">
        <f t="shared" si="21"/>
        <v>乘用车</v>
      </c>
      <c r="I336" t="str">
        <f t="shared" si="22"/>
        <v>Passenger LDV</v>
      </c>
      <c r="J336">
        <v>1594</v>
      </c>
    </row>
    <row r="337" spans="1:10" x14ac:dyDescent="0.2">
      <c r="A337">
        <v>336</v>
      </c>
      <c r="B337">
        <v>2017</v>
      </c>
      <c r="C337" t="s">
        <v>14</v>
      </c>
      <c r="D337" t="str">
        <f t="shared" si="20"/>
        <v>natural gas vehicle</v>
      </c>
      <c r="E337" t="s">
        <v>18</v>
      </c>
      <c r="F337" t="s">
        <v>25</v>
      </c>
      <c r="G337" t="s">
        <v>9</v>
      </c>
      <c r="H337" t="str">
        <f t="shared" si="21"/>
        <v>乘用车</v>
      </c>
      <c r="I337" t="str">
        <f t="shared" si="22"/>
        <v>Passenger LDV</v>
      </c>
      <c r="J337">
        <v>610</v>
      </c>
    </row>
    <row r="338" spans="1:10" x14ac:dyDescent="0.2">
      <c r="A338">
        <v>337</v>
      </c>
      <c r="B338">
        <v>2018</v>
      </c>
      <c r="C338" t="s">
        <v>14</v>
      </c>
      <c r="D338" t="str">
        <f t="shared" si="20"/>
        <v>natural gas vehicle</v>
      </c>
      <c r="E338" t="s">
        <v>18</v>
      </c>
      <c r="F338" t="s">
        <v>25</v>
      </c>
      <c r="G338" t="s">
        <v>9</v>
      </c>
      <c r="H338" t="str">
        <f t="shared" si="21"/>
        <v>乘用车</v>
      </c>
      <c r="I338" t="str">
        <f t="shared" si="22"/>
        <v>Passenger LDV</v>
      </c>
      <c r="J338">
        <v>1571</v>
      </c>
    </row>
    <row r="339" spans="1:10" x14ac:dyDescent="0.2">
      <c r="A339">
        <v>338</v>
      </c>
      <c r="B339">
        <v>2019</v>
      </c>
      <c r="C339" t="s">
        <v>14</v>
      </c>
      <c r="D339" t="str">
        <f t="shared" si="20"/>
        <v>natural gas vehicle</v>
      </c>
      <c r="E339" t="s">
        <v>18</v>
      </c>
      <c r="F339" t="s">
        <v>25</v>
      </c>
      <c r="G339" t="s">
        <v>9</v>
      </c>
      <c r="H339" t="str">
        <f t="shared" si="21"/>
        <v>乘用车</v>
      </c>
      <c r="I339" t="str">
        <f t="shared" si="22"/>
        <v>Passenger LDV</v>
      </c>
      <c r="J339">
        <v>2519</v>
      </c>
    </row>
    <row r="340" spans="1:10" x14ac:dyDescent="0.2">
      <c r="A340">
        <v>339</v>
      </c>
      <c r="B340">
        <v>2020</v>
      </c>
      <c r="C340" t="s">
        <v>14</v>
      </c>
      <c r="D340" t="str">
        <f t="shared" si="20"/>
        <v>natural gas vehicle</v>
      </c>
      <c r="E340" t="s">
        <v>18</v>
      </c>
      <c r="F340" t="s">
        <v>25</v>
      </c>
      <c r="G340" t="s">
        <v>9</v>
      </c>
      <c r="H340" t="str">
        <f t="shared" si="21"/>
        <v>乘用车</v>
      </c>
      <c r="I340" t="str">
        <f t="shared" si="22"/>
        <v>Passenger LDV</v>
      </c>
      <c r="J340">
        <v>516</v>
      </c>
    </row>
    <row r="341" spans="1:10" x14ac:dyDescent="0.2">
      <c r="A341">
        <v>340</v>
      </c>
      <c r="B341">
        <v>2016</v>
      </c>
      <c r="C341" t="s">
        <v>16</v>
      </c>
      <c r="D341" t="str">
        <f t="shared" si="20"/>
        <v>natural gas vehicle</v>
      </c>
      <c r="E341" t="s">
        <v>18</v>
      </c>
      <c r="F341" t="s">
        <v>25</v>
      </c>
      <c r="G341" t="s">
        <v>9</v>
      </c>
      <c r="H341" t="str">
        <f t="shared" si="21"/>
        <v>乘用车</v>
      </c>
      <c r="I341" t="str">
        <f t="shared" si="22"/>
        <v>Passenger LDV</v>
      </c>
      <c r="J341">
        <v>13</v>
      </c>
    </row>
    <row r="342" spans="1:10" x14ac:dyDescent="0.2">
      <c r="A342">
        <v>341</v>
      </c>
      <c r="B342">
        <v>2017</v>
      </c>
      <c r="C342" t="s">
        <v>16</v>
      </c>
      <c r="D342" t="str">
        <f t="shared" si="20"/>
        <v>natural gas vehicle</v>
      </c>
      <c r="E342" t="s">
        <v>18</v>
      </c>
      <c r="F342" t="s">
        <v>25</v>
      </c>
      <c r="G342" t="s">
        <v>9</v>
      </c>
      <c r="H342" t="str">
        <f t="shared" si="21"/>
        <v>乘用车</v>
      </c>
      <c r="I342" t="str">
        <f t="shared" si="22"/>
        <v>Passenger LDV</v>
      </c>
      <c r="J342">
        <v>58</v>
      </c>
    </row>
    <row r="343" spans="1:10" x14ac:dyDescent="0.2">
      <c r="A343">
        <v>342</v>
      </c>
      <c r="B343">
        <v>2018</v>
      </c>
      <c r="C343" t="s">
        <v>16</v>
      </c>
      <c r="D343" t="str">
        <f t="shared" si="20"/>
        <v>natural gas vehicle</v>
      </c>
      <c r="E343" t="s">
        <v>18</v>
      </c>
      <c r="F343" t="s">
        <v>25</v>
      </c>
      <c r="G343" t="s">
        <v>9</v>
      </c>
      <c r="H343" t="str">
        <f t="shared" si="21"/>
        <v>乘用车</v>
      </c>
      <c r="I343" t="str">
        <f t="shared" si="22"/>
        <v>Passenger LDV</v>
      </c>
      <c r="J343">
        <v>14</v>
      </c>
    </row>
    <row r="344" spans="1:10" x14ac:dyDescent="0.2">
      <c r="A344">
        <v>343</v>
      </c>
      <c r="B344">
        <v>2019</v>
      </c>
      <c r="C344" t="s">
        <v>16</v>
      </c>
      <c r="D344" t="str">
        <f t="shared" si="20"/>
        <v>natural gas vehicle</v>
      </c>
      <c r="E344" t="s">
        <v>18</v>
      </c>
      <c r="F344" t="s">
        <v>25</v>
      </c>
      <c r="G344" t="s">
        <v>9</v>
      </c>
      <c r="H344" t="str">
        <f t="shared" si="21"/>
        <v>乘用车</v>
      </c>
      <c r="I344" t="str">
        <f t="shared" si="22"/>
        <v>Passenger LDV</v>
      </c>
      <c r="J344">
        <v>4</v>
      </c>
    </row>
    <row r="345" spans="1:10" x14ac:dyDescent="0.2">
      <c r="A345">
        <v>344</v>
      </c>
      <c r="B345">
        <v>2020</v>
      </c>
      <c r="C345" t="s">
        <v>16</v>
      </c>
      <c r="D345" t="str">
        <f t="shared" si="20"/>
        <v>natural gas vehicle</v>
      </c>
      <c r="E345" t="s">
        <v>18</v>
      </c>
      <c r="F345" t="s">
        <v>25</v>
      </c>
      <c r="G345" t="s">
        <v>9</v>
      </c>
      <c r="H345" t="str">
        <f t="shared" si="21"/>
        <v>乘用车</v>
      </c>
      <c r="I345" t="str">
        <f t="shared" si="22"/>
        <v>Passenger LDV</v>
      </c>
      <c r="J345">
        <v>180</v>
      </c>
    </row>
    <row r="346" spans="1:10" x14ac:dyDescent="0.2">
      <c r="A346">
        <v>345</v>
      </c>
      <c r="B346">
        <v>2021</v>
      </c>
      <c r="C346" t="s">
        <v>16</v>
      </c>
      <c r="D346" t="str">
        <f t="shared" si="20"/>
        <v>natural gas vehicle</v>
      </c>
      <c r="E346" t="s">
        <v>18</v>
      </c>
      <c r="F346" t="s">
        <v>25</v>
      </c>
      <c r="G346" t="s">
        <v>9</v>
      </c>
      <c r="H346" t="str">
        <f t="shared" si="21"/>
        <v>乘用车</v>
      </c>
      <c r="I346" t="str">
        <f t="shared" si="22"/>
        <v>Passenger LDV</v>
      </c>
      <c r="J346">
        <v>847</v>
      </c>
    </row>
    <row r="347" spans="1:10" x14ac:dyDescent="0.2">
      <c r="A347">
        <v>346</v>
      </c>
      <c r="B347">
        <v>2020</v>
      </c>
      <c r="C347" t="s">
        <v>6</v>
      </c>
      <c r="D347" t="str">
        <f t="shared" si="20"/>
        <v>plugin hybrid vehicle</v>
      </c>
      <c r="E347" t="s">
        <v>19</v>
      </c>
      <c r="F347" t="s">
        <v>25</v>
      </c>
      <c r="G347" t="s">
        <v>9</v>
      </c>
      <c r="H347" t="str">
        <f t="shared" si="21"/>
        <v>中重型货车</v>
      </c>
      <c r="I347" t="str">
        <f t="shared" si="22"/>
        <v>Freight HDV</v>
      </c>
      <c r="J347">
        <v>6</v>
      </c>
    </row>
    <row r="348" spans="1:10" x14ac:dyDescent="0.2">
      <c r="A348">
        <v>347</v>
      </c>
      <c r="B348">
        <v>2021</v>
      </c>
      <c r="C348" t="s">
        <v>6</v>
      </c>
      <c r="D348" t="str">
        <f t="shared" si="20"/>
        <v>plugin hybrid vehicle</v>
      </c>
      <c r="E348" t="s">
        <v>19</v>
      </c>
      <c r="F348" t="s">
        <v>25</v>
      </c>
      <c r="G348" t="s">
        <v>9</v>
      </c>
      <c r="H348" t="str">
        <f t="shared" si="21"/>
        <v>中重型货车</v>
      </c>
      <c r="I348" t="str">
        <f t="shared" si="22"/>
        <v>Freight HDV</v>
      </c>
      <c r="J348">
        <v>18</v>
      </c>
    </row>
    <row r="349" spans="1:10" x14ac:dyDescent="0.2">
      <c r="A349">
        <v>348</v>
      </c>
      <c r="B349">
        <v>2015</v>
      </c>
      <c r="C349" t="s">
        <v>10</v>
      </c>
      <c r="D349" t="str">
        <f t="shared" si="20"/>
        <v>diesel vehicle</v>
      </c>
      <c r="E349" t="s">
        <v>19</v>
      </c>
      <c r="F349" t="s">
        <v>25</v>
      </c>
      <c r="G349" t="s">
        <v>9</v>
      </c>
      <c r="H349" t="str">
        <f t="shared" si="21"/>
        <v>中重型货车</v>
      </c>
      <c r="I349" t="str">
        <f t="shared" si="22"/>
        <v>Freight HDV</v>
      </c>
      <c r="J349">
        <v>38845</v>
      </c>
    </row>
    <row r="350" spans="1:10" x14ac:dyDescent="0.2">
      <c r="A350">
        <v>349</v>
      </c>
      <c r="B350">
        <v>2016</v>
      </c>
      <c r="C350" t="s">
        <v>10</v>
      </c>
      <c r="D350" t="str">
        <f t="shared" si="20"/>
        <v>diesel vehicle</v>
      </c>
      <c r="E350" t="s">
        <v>19</v>
      </c>
      <c r="F350" t="s">
        <v>25</v>
      </c>
      <c r="G350" t="s">
        <v>9</v>
      </c>
      <c r="H350" t="str">
        <f t="shared" si="21"/>
        <v>中重型货车</v>
      </c>
      <c r="I350" t="str">
        <f t="shared" si="22"/>
        <v>Freight HDV</v>
      </c>
      <c r="J350">
        <v>19424</v>
      </c>
    </row>
    <row r="351" spans="1:10" x14ac:dyDescent="0.2">
      <c r="A351">
        <v>350</v>
      </c>
      <c r="B351">
        <v>2017</v>
      </c>
      <c r="C351" t="s">
        <v>10</v>
      </c>
      <c r="D351" t="str">
        <f t="shared" si="20"/>
        <v>diesel vehicle</v>
      </c>
      <c r="E351" t="s">
        <v>19</v>
      </c>
      <c r="F351" t="s">
        <v>25</v>
      </c>
      <c r="G351" t="s">
        <v>9</v>
      </c>
      <c r="H351" t="str">
        <f t="shared" si="21"/>
        <v>中重型货车</v>
      </c>
      <c r="I351" t="str">
        <f t="shared" si="22"/>
        <v>Freight HDV</v>
      </c>
      <c r="J351">
        <v>22091</v>
      </c>
    </row>
    <row r="352" spans="1:10" x14ac:dyDescent="0.2">
      <c r="A352">
        <v>351</v>
      </c>
      <c r="B352">
        <v>2018</v>
      </c>
      <c r="C352" t="s">
        <v>10</v>
      </c>
      <c r="D352" t="str">
        <f t="shared" si="20"/>
        <v>diesel vehicle</v>
      </c>
      <c r="E352" t="s">
        <v>19</v>
      </c>
      <c r="F352" t="s">
        <v>25</v>
      </c>
      <c r="G352" t="s">
        <v>9</v>
      </c>
      <c r="H352" t="str">
        <f t="shared" si="21"/>
        <v>中重型货车</v>
      </c>
      <c r="I352" t="str">
        <f t="shared" si="22"/>
        <v>Freight HDV</v>
      </c>
      <c r="J352">
        <v>22098</v>
      </c>
    </row>
    <row r="353" spans="1:10" x14ac:dyDescent="0.2">
      <c r="A353">
        <v>352</v>
      </c>
      <c r="B353">
        <v>2019</v>
      </c>
      <c r="C353" t="s">
        <v>10</v>
      </c>
      <c r="D353" t="str">
        <f t="shared" si="20"/>
        <v>diesel vehicle</v>
      </c>
      <c r="E353" t="s">
        <v>19</v>
      </c>
      <c r="F353" t="s">
        <v>25</v>
      </c>
      <c r="G353" t="s">
        <v>9</v>
      </c>
      <c r="H353" t="str">
        <f t="shared" si="21"/>
        <v>中重型货车</v>
      </c>
      <c r="I353" t="str">
        <f t="shared" si="22"/>
        <v>Freight HDV</v>
      </c>
      <c r="J353">
        <v>23665</v>
      </c>
    </row>
    <row r="354" spans="1:10" x14ac:dyDescent="0.2">
      <c r="A354">
        <v>353</v>
      </c>
      <c r="B354">
        <v>2020</v>
      </c>
      <c r="C354" t="s">
        <v>10</v>
      </c>
      <c r="D354" t="str">
        <f t="shared" si="20"/>
        <v>diesel vehicle</v>
      </c>
      <c r="E354" t="s">
        <v>19</v>
      </c>
      <c r="F354" t="s">
        <v>25</v>
      </c>
      <c r="G354" t="s">
        <v>9</v>
      </c>
      <c r="H354" t="str">
        <f t="shared" si="21"/>
        <v>中重型货车</v>
      </c>
      <c r="I354" t="str">
        <f t="shared" si="22"/>
        <v>Freight HDV</v>
      </c>
      <c r="J354">
        <v>30952</v>
      </c>
    </row>
    <row r="355" spans="1:10" x14ac:dyDescent="0.2">
      <c r="A355">
        <v>354</v>
      </c>
      <c r="B355">
        <v>2021</v>
      </c>
      <c r="C355" t="s">
        <v>10</v>
      </c>
      <c r="D355" t="str">
        <f t="shared" si="20"/>
        <v>diesel vehicle</v>
      </c>
      <c r="E355" t="s">
        <v>19</v>
      </c>
      <c r="F355" t="s">
        <v>25</v>
      </c>
      <c r="G355" t="s">
        <v>9</v>
      </c>
      <c r="H355" t="str">
        <f t="shared" si="21"/>
        <v>中重型货车</v>
      </c>
      <c r="I355" t="str">
        <f t="shared" si="22"/>
        <v>Freight HDV</v>
      </c>
      <c r="J355">
        <v>32738</v>
      </c>
    </row>
    <row r="356" spans="1:10" x14ac:dyDescent="0.2">
      <c r="A356">
        <v>355</v>
      </c>
      <c r="B356">
        <v>2015</v>
      </c>
      <c r="C356" t="s">
        <v>11</v>
      </c>
      <c r="D356" t="str">
        <f t="shared" si="20"/>
        <v>battery electric vehicle</v>
      </c>
      <c r="E356" t="s">
        <v>19</v>
      </c>
      <c r="F356" t="s">
        <v>25</v>
      </c>
      <c r="G356" t="s">
        <v>9</v>
      </c>
      <c r="H356" t="str">
        <f t="shared" si="21"/>
        <v>中重型货车</v>
      </c>
      <c r="I356" t="str">
        <f t="shared" si="22"/>
        <v>Freight HDV</v>
      </c>
      <c r="J356">
        <v>25</v>
      </c>
    </row>
    <row r="357" spans="1:10" x14ac:dyDescent="0.2">
      <c r="A357">
        <v>356</v>
      </c>
      <c r="B357">
        <v>2016</v>
      </c>
      <c r="C357" t="s">
        <v>11</v>
      </c>
      <c r="D357" t="str">
        <f t="shared" si="20"/>
        <v>battery electric vehicle</v>
      </c>
      <c r="E357" t="s">
        <v>19</v>
      </c>
      <c r="F357" t="s">
        <v>25</v>
      </c>
      <c r="G357" t="s">
        <v>9</v>
      </c>
      <c r="H357" t="str">
        <f t="shared" si="21"/>
        <v>中重型货车</v>
      </c>
      <c r="I357" t="str">
        <f t="shared" si="22"/>
        <v>Freight HDV</v>
      </c>
      <c r="J357">
        <v>99</v>
      </c>
    </row>
    <row r="358" spans="1:10" x14ac:dyDescent="0.2">
      <c r="A358">
        <v>357</v>
      </c>
      <c r="B358">
        <v>2017</v>
      </c>
      <c r="C358" t="s">
        <v>11</v>
      </c>
      <c r="D358" t="str">
        <f t="shared" si="20"/>
        <v>battery electric vehicle</v>
      </c>
      <c r="E358" t="s">
        <v>19</v>
      </c>
      <c r="F358" t="s">
        <v>25</v>
      </c>
      <c r="G358" t="s">
        <v>9</v>
      </c>
      <c r="H358" t="str">
        <f t="shared" si="21"/>
        <v>中重型货车</v>
      </c>
      <c r="I358" t="str">
        <f t="shared" si="22"/>
        <v>Freight HDV</v>
      </c>
      <c r="J358">
        <v>350</v>
      </c>
    </row>
    <row r="359" spans="1:10" x14ac:dyDescent="0.2">
      <c r="A359">
        <v>358</v>
      </c>
      <c r="B359">
        <v>2018</v>
      </c>
      <c r="C359" t="s">
        <v>11</v>
      </c>
      <c r="D359" t="str">
        <f t="shared" si="20"/>
        <v>battery electric vehicle</v>
      </c>
      <c r="E359" t="s">
        <v>19</v>
      </c>
      <c r="F359" t="s">
        <v>25</v>
      </c>
      <c r="G359" t="s">
        <v>9</v>
      </c>
      <c r="H359" t="str">
        <f t="shared" si="21"/>
        <v>中重型货车</v>
      </c>
      <c r="I359" t="str">
        <f t="shared" si="22"/>
        <v>Freight HDV</v>
      </c>
      <c r="J359">
        <v>153</v>
      </c>
    </row>
    <row r="360" spans="1:10" x14ac:dyDescent="0.2">
      <c r="A360">
        <v>359</v>
      </c>
      <c r="B360">
        <v>2019</v>
      </c>
      <c r="C360" t="s">
        <v>11</v>
      </c>
      <c r="D360" t="str">
        <f t="shared" si="20"/>
        <v>battery electric vehicle</v>
      </c>
      <c r="E360" t="s">
        <v>19</v>
      </c>
      <c r="F360" t="s">
        <v>25</v>
      </c>
      <c r="G360" t="s">
        <v>9</v>
      </c>
      <c r="H360" t="str">
        <f t="shared" si="21"/>
        <v>中重型货车</v>
      </c>
      <c r="I360" t="str">
        <f t="shared" si="22"/>
        <v>Freight HDV</v>
      </c>
      <c r="J360">
        <v>239</v>
      </c>
    </row>
    <row r="361" spans="1:10" x14ac:dyDescent="0.2">
      <c r="A361">
        <v>360</v>
      </c>
      <c r="B361">
        <v>2020</v>
      </c>
      <c r="C361" t="s">
        <v>11</v>
      </c>
      <c r="D361" t="str">
        <f t="shared" si="20"/>
        <v>battery electric vehicle</v>
      </c>
      <c r="E361" t="s">
        <v>19</v>
      </c>
      <c r="F361" t="s">
        <v>25</v>
      </c>
      <c r="G361" t="s">
        <v>9</v>
      </c>
      <c r="H361" t="str">
        <f t="shared" si="21"/>
        <v>中重型货车</v>
      </c>
      <c r="I361" t="str">
        <f t="shared" si="22"/>
        <v>Freight HDV</v>
      </c>
      <c r="J361">
        <v>546</v>
      </c>
    </row>
    <row r="362" spans="1:10" x14ac:dyDescent="0.2">
      <c r="A362">
        <v>361</v>
      </c>
      <c r="B362">
        <v>2021</v>
      </c>
      <c r="C362" t="s">
        <v>11</v>
      </c>
      <c r="D362" t="str">
        <f t="shared" si="20"/>
        <v>battery electric vehicle</v>
      </c>
      <c r="E362" t="s">
        <v>19</v>
      </c>
      <c r="F362" t="s">
        <v>25</v>
      </c>
      <c r="G362" t="s">
        <v>9</v>
      </c>
      <c r="H362" t="str">
        <f t="shared" si="21"/>
        <v>中重型货车</v>
      </c>
      <c r="I362" t="str">
        <f t="shared" si="22"/>
        <v>Freight HDV</v>
      </c>
      <c r="J362">
        <v>826</v>
      </c>
    </row>
    <row r="363" spans="1:10" x14ac:dyDescent="0.2">
      <c r="A363">
        <v>362</v>
      </c>
      <c r="B363">
        <v>2015</v>
      </c>
      <c r="C363" t="s">
        <v>13</v>
      </c>
      <c r="D363" t="str">
        <f t="shared" si="20"/>
        <v>gasoline vehicle</v>
      </c>
      <c r="E363" t="s">
        <v>19</v>
      </c>
      <c r="F363" t="s">
        <v>25</v>
      </c>
      <c r="G363" t="s">
        <v>9</v>
      </c>
      <c r="H363" t="str">
        <f t="shared" si="21"/>
        <v>中重型货车</v>
      </c>
      <c r="I363" t="str">
        <f t="shared" si="22"/>
        <v>Freight HDV</v>
      </c>
      <c r="J363">
        <v>177</v>
      </c>
    </row>
    <row r="364" spans="1:10" x14ac:dyDescent="0.2">
      <c r="A364">
        <v>363</v>
      </c>
      <c r="B364">
        <v>2016</v>
      </c>
      <c r="C364" t="s">
        <v>13</v>
      </c>
      <c r="D364" t="str">
        <f t="shared" si="20"/>
        <v>gasoline vehicle</v>
      </c>
      <c r="E364" t="s">
        <v>19</v>
      </c>
      <c r="F364" t="s">
        <v>25</v>
      </c>
      <c r="G364" t="s">
        <v>9</v>
      </c>
      <c r="H364" t="str">
        <f t="shared" si="21"/>
        <v>中重型货车</v>
      </c>
      <c r="I364" t="str">
        <f t="shared" si="22"/>
        <v>Freight HDV</v>
      </c>
      <c r="J364">
        <v>2</v>
      </c>
    </row>
    <row r="365" spans="1:10" x14ac:dyDescent="0.2">
      <c r="A365">
        <v>364</v>
      </c>
      <c r="B365">
        <v>2017</v>
      </c>
      <c r="C365" t="s">
        <v>13</v>
      </c>
      <c r="D365" t="str">
        <f t="shared" si="20"/>
        <v>gasoline vehicle</v>
      </c>
      <c r="E365" t="s">
        <v>19</v>
      </c>
      <c r="F365" t="s">
        <v>25</v>
      </c>
      <c r="G365" t="s">
        <v>9</v>
      </c>
      <c r="H365" t="str">
        <f t="shared" si="21"/>
        <v>中重型货车</v>
      </c>
      <c r="I365" t="str">
        <f t="shared" si="22"/>
        <v>Freight HDV</v>
      </c>
      <c r="J365">
        <v>22</v>
      </c>
    </row>
    <row r="366" spans="1:10" x14ac:dyDescent="0.2">
      <c r="A366">
        <v>365</v>
      </c>
      <c r="B366">
        <v>2018</v>
      </c>
      <c r="C366" t="s">
        <v>13</v>
      </c>
      <c r="D366" t="str">
        <f t="shared" si="20"/>
        <v>gasoline vehicle</v>
      </c>
      <c r="E366" t="s">
        <v>19</v>
      </c>
      <c r="F366" t="s">
        <v>25</v>
      </c>
      <c r="G366" t="s">
        <v>9</v>
      </c>
      <c r="H366" t="str">
        <f t="shared" si="21"/>
        <v>中重型货车</v>
      </c>
      <c r="I366" t="str">
        <f t="shared" si="22"/>
        <v>Freight HDV</v>
      </c>
      <c r="J366">
        <v>18</v>
      </c>
    </row>
    <row r="367" spans="1:10" x14ac:dyDescent="0.2">
      <c r="A367">
        <v>366</v>
      </c>
      <c r="B367">
        <v>2019</v>
      </c>
      <c r="C367" t="s">
        <v>13</v>
      </c>
      <c r="D367" t="str">
        <f t="shared" si="20"/>
        <v>gasoline vehicle</v>
      </c>
      <c r="E367" t="s">
        <v>19</v>
      </c>
      <c r="F367" t="s">
        <v>25</v>
      </c>
      <c r="G367" t="s">
        <v>9</v>
      </c>
      <c r="H367" t="str">
        <f t="shared" si="21"/>
        <v>中重型货车</v>
      </c>
      <c r="I367" t="str">
        <f t="shared" si="22"/>
        <v>Freight HDV</v>
      </c>
      <c r="J367">
        <v>18</v>
      </c>
    </row>
    <row r="368" spans="1:10" x14ac:dyDescent="0.2">
      <c r="A368">
        <v>367</v>
      </c>
      <c r="B368">
        <v>2020</v>
      </c>
      <c r="C368" t="s">
        <v>13</v>
      </c>
      <c r="D368" t="str">
        <f t="shared" si="20"/>
        <v>gasoline vehicle</v>
      </c>
      <c r="E368" t="s">
        <v>19</v>
      </c>
      <c r="F368" t="s">
        <v>25</v>
      </c>
      <c r="G368" t="s">
        <v>9</v>
      </c>
      <c r="H368" t="str">
        <f t="shared" si="21"/>
        <v>中重型货车</v>
      </c>
      <c r="I368" t="str">
        <f t="shared" si="22"/>
        <v>Freight HDV</v>
      </c>
      <c r="J368">
        <v>39</v>
      </c>
    </row>
    <row r="369" spans="1:10" x14ac:dyDescent="0.2">
      <c r="A369">
        <v>368</v>
      </c>
      <c r="B369">
        <v>2021</v>
      </c>
      <c r="C369" t="s">
        <v>13</v>
      </c>
      <c r="D369" t="str">
        <f t="shared" si="20"/>
        <v>gasoline vehicle</v>
      </c>
      <c r="E369" t="s">
        <v>19</v>
      </c>
      <c r="F369" t="s">
        <v>25</v>
      </c>
      <c r="G369" t="s">
        <v>9</v>
      </c>
      <c r="H369" t="str">
        <f t="shared" si="21"/>
        <v>中重型货车</v>
      </c>
      <c r="I369" t="str">
        <f t="shared" si="22"/>
        <v>Freight HDV</v>
      </c>
      <c r="J369">
        <v>3</v>
      </c>
    </row>
    <row r="370" spans="1:10" x14ac:dyDescent="0.2">
      <c r="A370">
        <v>369</v>
      </c>
      <c r="B370">
        <v>2015</v>
      </c>
      <c r="C370" t="s">
        <v>14</v>
      </c>
      <c r="D370" t="str">
        <f t="shared" si="20"/>
        <v>natural gas vehicle</v>
      </c>
      <c r="E370" t="s">
        <v>19</v>
      </c>
      <c r="F370" t="s">
        <v>25</v>
      </c>
      <c r="G370" t="s">
        <v>9</v>
      </c>
      <c r="H370" t="str">
        <f t="shared" si="21"/>
        <v>中重型货车</v>
      </c>
      <c r="I370" t="str">
        <f t="shared" si="22"/>
        <v>Freight HDV</v>
      </c>
      <c r="J370">
        <v>1</v>
      </c>
    </row>
    <row r="371" spans="1:10" x14ac:dyDescent="0.2">
      <c r="A371">
        <v>370</v>
      </c>
      <c r="B371">
        <v>2016</v>
      </c>
      <c r="C371" t="s">
        <v>14</v>
      </c>
      <c r="D371" t="str">
        <f t="shared" si="20"/>
        <v>natural gas vehicle</v>
      </c>
      <c r="E371" t="s">
        <v>19</v>
      </c>
      <c r="F371" t="s">
        <v>25</v>
      </c>
      <c r="G371" t="s">
        <v>9</v>
      </c>
      <c r="H371" t="str">
        <f t="shared" si="21"/>
        <v>中重型货车</v>
      </c>
      <c r="I371" t="str">
        <f t="shared" si="22"/>
        <v>Freight HDV</v>
      </c>
      <c r="J371">
        <v>9</v>
      </c>
    </row>
    <row r="372" spans="1:10" x14ac:dyDescent="0.2">
      <c r="A372">
        <v>371</v>
      </c>
      <c r="B372">
        <v>2017</v>
      </c>
      <c r="C372" t="s">
        <v>14</v>
      </c>
      <c r="D372" t="str">
        <f t="shared" si="20"/>
        <v>natural gas vehicle</v>
      </c>
      <c r="E372" t="s">
        <v>19</v>
      </c>
      <c r="F372" t="s">
        <v>25</v>
      </c>
      <c r="G372" t="s">
        <v>9</v>
      </c>
      <c r="H372" t="str">
        <f t="shared" si="21"/>
        <v>中重型货车</v>
      </c>
      <c r="I372" t="str">
        <f t="shared" si="22"/>
        <v>Freight HDV</v>
      </c>
      <c r="J372">
        <v>5</v>
      </c>
    </row>
    <row r="373" spans="1:10" x14ac:dyDescent="0.2">
      <c r="A373">
        <v>372</v>
      </c>
      <c r="B373">
        <v>2018</v>
      </c>
      <c r="C373" t="s">
        <v>15</v>
      </c>
      <c r="D373" t="str">
        <f t="shared" si="20"/>
        <v>hydrogen vehicle</v>
      </c>
      <c r="E373" t="s">
        <v>19</v>
      </c>
      <c r="F373" t="s">
        <v>25</v>
      </c>
      <c r="G373" t="s">
        <v>9</v>
      </c>
      <c r="H373" t="str">
        <f t="shared" si="21"/>
        <v>中重型货车</v>
      </c>
      <c r="I373" t="str">
        <f t="shared" si="22"/>
        <v>Freight HDV</v>
      </c>
      <c r="J373">
        <v>1</v>
      </c>
    </row>
    <row r="374" spans="1:10" x14ac:dyDescent="0.2">
      <c r="A374">
        <v>373</v>
      </c>
      <c r="B374">
        <v>2019</v>
      </c>
      <c r="C374" t="s">
        <v>15</v>
      </c>
      <c r="D374" t="str">
        <f t="shared" si="20"/>
        <v>hydrogen vehicle</v>
      </c>
      <c r="E374" t="s">
        <v>19</v>
      </c>
      <c r="F374" t="s">
        <v>25</v>
      </c>
      <c r="G374" t="s">
        <v>9</v>
      </c>
      <c r="H374" t="str">
        <f t="shared" si="21"/>
        <v>中重型货车</v>
      </c>
      <c r="I374" t="str">
        <f t="shared" si="22"/>
        <v>Freight HDV</v>
      </c>
      <c r="J374">
        <v>85</v>
      </c>
    </row>
    <row r="375" spans="1:10" x14ac:dyDescent="0.2">
      <c r="A375">
        <v>374</v>
      </c>
      <c r="B375">
        <v>2020</v>
      </c>
      <c r="C375" t="s">
        <v>15</v>
      </c>
      <c r="D375" t="str">
        <f t="shared" si="20"/>
        <v>hydrogen vehicle</v>
      </c>
      <c r="E375" t="s">
        <v>19</v>
      </c>
      <c r="F375" t="s">
        <v>25</v>
      </c>
      <c r="G375" t="s">
        <v>9</v>
      </c>
      <c r="H375" t="str">
        <f t="shared" si="21"/>
        <v>中重型货车</v>
      </c>
      <c r="I375" t="str">
        <f t="shared" si="22"/>
        <v>Freight HDV</v>
      </c>
      <c r="J375">
        <v>1</v>
      </c>
    </row>
    <row r="376" spans="1:10" x14ac:dyDescent="0.2">
      <c r="A376">
        <v>375</v>
      </c>
      <c r="B376">
        <v>2021</v>
      </c>
      <c r="C376" t="s">
        <v>15</v>
      </c>
      <c r="D376" t="str">
        <f t="shared" si="20"/>
        <v>hydrogen vehicle</v>
      </c>
      <c r="E376" t="s">
        <v>19</v>
      </c>
      <c r="F376" t="s">
        <v>25</v>
      </c>
      <c r="G376" t="s">
        <v>9</v>
      </c>
      <c r="H376" t="str">
        <f t="shared" si="21"/>
        <v>中重型货车</v>
      </c>
      <c r="I376" t="str">
        <f t="shared" si="22"/>
        <v>Freight HDV</v>
      </c>
      <c r="J376">
        <v>8</v>
      </c>
    </row>
    <row r="377" spans="1:10" x14ac:dyDescent="0.2">
      <c r="A377">
        <v>376</v>
      </c>
      <c r="B377">
        <v>2015</v>
      </c>
      <c r="C377" t="s">
        <v>16</v>
      </c>
      <c r="D377" t="str">
        <f t="shared" si="20"/>
        <v>natural gas vehicle</v>
      </c>
      <c r="E377" t="s">
        <v>19</v>
      </c>
      <c r="F377" t="s">
        <v>25</v>
      </c>
      <c r="G377" t="s">
        <v>9</v>
      </c>
      <c r="H377" t="str">
        <f t="shared" si="21"/>
        <v>中重型货车</v>
      </c>
      <c r="I377" t="str">
        <f t="shared" si="22"/>
        <v>Freight HDV</v>
      </c>
      <c r="J377">
        <v>33</v>
      </c>
    </row>
    <row r="378" spans="1:10" x14ac:dyDescent="0.2">
      <c r="A378">
        <v>377</v>
      </c>
      <c r="B378">
        <v>2016</v>
      </c>
      <c r="C378" t="s">
        <v>16</v>
      </c>
      <c r="D378" t="str">
        <f t="shared" si="20"/>
        <v>natural gas vehicle</v>
      </c>
      <c r="E378" t="s">
        <v>19</v>
      </c>
      <c r="F378" t="s">
        <v>25</v>
      </c>
      <c r="G378" t="s">
        <v>9</v>
      </c>
      <c r="H378" t="str">
        <f t="shared" si="21"/>
        <v>中重型货车</v>
      </c>
      <c r="I378" t="str">
        <f t="shared" si="22"/>
        <v>Freight HDV</v>
      </c>
      <c r="J378">
        <v>16</v>
      </c>
    </row>
    <row r="379" spans="1:10" x14ac:dyDescent="0.2">
      <c r="A379">
        <v>378</v>
      </c>
      <c r="B379">
        <v>2017</v>
      </c>
      <c r="C379" t="s">
        <v>16</v>
      </c>
      <c r="D379" t="str">
        <f t="shared" si="20"/>
        <v>natural gas vehicle</v>
      </c>
      <c r="E379" t="s">
        <v>19</v>
      </c>
      <c r="F379" t="s">
        <v>25</v>
      </c>
      <c r="G379" t="s">
        <v>9</v>
      </c>
      <c r="H379" t="str">
        <f t="shared" si="21"/>
        <v>中重型货车</v>
      </c>
      <c r="I379" t="str">
        <f t="shared" si="22"/>
        <v>Freight HDV</v>
      </c>
      <c r="J379">
        <v>49</v>
      </c>
    </row>
    <row r="380" spans="1:10" x14ac:dyDescent="0.2">
      <c r="A380">
        <v>379</v>
      </c>
      <c r="B380">
        <v>2018</v>
      </c>
      <c r="C380" t="s">
        <v>16</v>
      </c>
      <c r="D380" t="str">
        <f t="shared" si="20"/>
        <v>natural gas vehicle</v>
      </c>
      <c r="E380" t="s">
        <v>19</v>
      </c>
      <c r="F380" t="s">
        <v>25</v>
      </c>
      <c r="G380" t="s">
        <v>9</v>
      </c>
      <c r="H380" t="str">
        <f t="shared" si="21"/>
        <v>中重型货车</v>
      </c>
      <c r="I380" t="str">
        <f t="shared" si="22"/>
        <v>Freight HDV</v>
      </c>
      <c r="J380">
        <v>99</v>
      </c>
    </row>
    <row r="381" spans="1:10" x14ac:dyDescent="0.2">
      <c r="A381">
        <v>380</v>
      </c>
      <c r="B381">
        <v>2019</v>
      </c>
      <c r="C381" t="s">
        <v>16</v>
      </c>
      <c r="D381" t="str">
        <f t="shared" si="20"/>
        <v>natural gas vehicle</v>
      </c>
      <c r="E381" t="s">
        <v>19</v>
      </c>
      <c r="F381" t="s">
        <v>25</v>
      </c>
      <c r="G381" t="s">
        <v>9</v>
      </c>
      <c r="H381" t="str">
        <f t="shared" si="21"/>
        <v>中重型货车</v>
      </c>
      <c r="I381" t="str">
        <f t="shared" si="22"/>
        <v>Freight HDV</v>
      </c>
      <c r="J381">
        <v>85</v>
      </c>
    </row>
    <row r="382" spans="1:10" x14ac:dyDescent="0.2">
      <c r="A382">
        <v>381</v>
      </c>
      <c r="B382">
        <v>2020</v>
      </c>
      <c r="C382" t="s">
        <v>16</v>
      </c>
      <c r="D382" t="str">
        <f t="shared" si="20"/>
        <v>natural gas vehicle</v>
      </c>
      <c r="E382" t="s">
        <v>19</v>
      </c>
      <c r="F382" t="s">
        <v>25</v>
      </c>
      <c r="G382" t="s">
        <v>9</v>
      </c>
      <c r="H382" t="str">
        <f t="shared" si="21"/>
        <v>中重型货车</v>
      </c>
      <c r="I382" t="str">
        <f t="shared" si="22"/>
        <v>Freight HDV</v>
      </c>
      <c r="J382">
        <v>210</v>
      </c>
    </row>
    <row r="383" spans="1:10" x14ac:dyDescent="0.2">
      <c r="A383">
        <v>382</v>
      </c>
      <c r="B383">
        <v>2021</v>
      </c>
      <c r="C383" t="s">
        <v>16</v>
      </c>
      <c r="D383" t="str">
        <f t="shared" si="20"/>
        <v>natural gas vehicle</v>
      </c>
      <c r="E383" t="s">
        <v>19</v>
      </c>
      <c r="F383" t="s">
        <v>25</v>
      </c>
      <c r="G383" t="s">
        <v>9</v>
      </c>
      <c r="H383" t="str">
        <f t="shared" si="21"/>
        <v>中重型货车</v>
      </c>
      <c r="I383" t="str">
        <f t="shared" si="22"/>
        <v>Freight HDV</v>
      </c>
      <c r="J383">
        <v>238</v>
      </c>
    </row>
    <row r="384" spans="1:10" x14ac:dyDescent="0.2">
      <c r="A384">
        <v>383</v>
      </c>
      <c r="B384">
        <v>2016</v>
      </c>
      <c r="C384" t="s">
        <v>24</v>
      </c>
      <c r="D384" t="str">
        <f t="shared" si="20"/>
        <v>unknown</v>
      </c>
      <c r="E384" t="s">
        <v>19</v>
      </c>
      <c r="F384" t="s">
        <v>25</v>
      </c>
      <c r="G384" t="s">
        <v>9</v>
      </c>
      <c r="H384" t="str">
        <f t="shared" si="21"/>
        <v>中重型货车</v>
      </c>
      <c r="I384" t="str">
        <f t="shared" si="22"/>
        <v>Freight HDV</v>
      </c>
      <c r="J384">
        <v>3</v>
      </c>
    </row>
    <row r="385" spans="1:10" x14ac:dyDescent="0.2">
      <c r="A385">
        <v>384</v>
      </c>
      <c r="B385">
        <v>2015</v>
      </c>
      <c r="C385" t="s">
        <v>10</v>
      </c>
      <c r="D385" t="str">
        <f t="shared" si="20"/>
        <v>diesel vehicle</v>
      </c>
      <c r="E385" t="s">
        <v>20</v>
      </c>
      <c r="F385" t="s">
        <v>25</v>
      </c>
      <c r="G385" t="s">
        <v>9</v>
      </c>
      <c r="H385" t="str">
        <f t="shared" si="21"/>
        <v>道路客车</v>
      </c>
      <c r="I385" t="str">
        <f t="shared" si="22"/>
        <v>Passenger HDV</v>
      </c>
      <c r="J385">
        <v>18522</v>
      </c>
    </row>
    <row r="386" spans="1:10" x14ac:dyDescent="0.2">
      <c r="A386">
        <v>385</v>
      </c>
      <c r="B386">
        <v>2016</v>
      </c>
      <c r="C386" t="s">
        <v>10</v>
      </c>
      <c r="D386" t="str">
        <f t="shared" ref="D386:D449" si="23">VLOOKUP(C386,M$3:N$16,2,FALSE)</f>
        <v>diesel vehicle</v>
      </c>
      <c r="E386" t="s">
        <v>20</v>
      </c>
      <c r="F386" t="s">
        <v>25</v>
      </c>
      <c r="G386" t="s">
        <v>9</v>
      </c>
      <c r="H386" t="str">
        <f t="shared" si="21"/>
        <v>道路客车</v>
      </c>
      <c r="I386" t="str">
        <f t="shared" si="22"/>
        <v>Passenger HDV</v>
      </c>
      <c r="J386">
        <v>24535</v>
      </c>
    </row>
    <row r="387" spans="1:10" x14ac:dyDescent="0.2">
      <c r="A387">
        <v>386</v>
      </c>
      <c r="B387">
        <v>2017</v>
      </c>
      <c r="C387" t="s">
        <v>10</v>
      </c>
      <c r="D387" t="str">
        <f t="shared" si="23"/>
        <v>diesel vehicle</v>
      </c>
      <c r="E387" t="s">
        <v>20</v>
      </c>
      <c r="F387" t="s">
        <v>25</v>
      </c>
      <c r="G387" t="s">
        <v>9</v>
      </c>
      <c r="H387" t="str">
        <f t="shared" ref="H387:H450" si="24">VLOOKUP(E387&amp;F387&amp;G387,$S$3:$U$68,2,FALSE)</f>
        <v>道路客车</v>
      </c>
      <c r="I387" t="str">
        <f t="shared" ref="I387:I450" si="25">VLOOKUP(E387&amp;F387&amp;G387,$S$3:$U$68,3,FALSE)</f>
        <v>Passenger HDV</v>
      </c>
      <c r="J387">
        <v>18547</v>
      </c>
    </row>
    <row r="388" spans="1:10" x14ac:dyDescent="0.2">
      <c r="A388">
        <v>387</v>
      </c>
      <c r="B388">
        <v>2018</v>
      </c>
      <c r="C388" t="s">
        <v>10</v>
      </c>
      <c r="D388" t="str">
        <f t="shared" si="23"/>
        <v>diesel vehicle</v>
      </c>
      <c r="E388" t="s">
        <v>20</v>
      </c>
      <c r="F388" t="s">
        <v>25</v>
      </c>
      <c r="G388" t="s">
        <v>9</v>
      </c>
      <c r="H388" t="str">
        <f t="shared" si="24"/>
        <v>道路客车</v>
      </c>
      <c r="I388" t="str">
        <f t="shared" si="25"/>
        <v>Passenger HDV</v>
      </c>
      <c r="J388">
        <v>11601</v>
      </c>
    </row>
    <row r="389" spans="1:10" x14ac:dyDescent="0.2">
      <c r="A389">
        <v>388</v>
      </c>
      <c r="B389">
        <v>2019</v>
      </c>
      <c r="C389" t="s">
        <v>10</v>
      </c>
      <c r="D389" t="str">
        <f t="shared" si="23"/>
        <v>diesel vehicle</v>
      </c>
      <c r="E389" t="s">
        <v>20</v>
      </c>
      <c r="F389" t="s">
        <v>25</v>
      </c>
      <c r="G389" t="s">
        <v>9</v>
      </c>
      <c r="H389" t="str">
        <f t="shared" si="24"/>
        <v>道路客车</v>
      </c>
      <c r="I389" t="str">
        <f t="shared" si="25"/>
        <v>Passenger HDV</v>
      </c>
      <c r="J389">
        <v>16189</v>
      </c>
    </row>
    <row r="390" spans="1:10" x14ac:dyDescent="0.2">
      <c r="A390">
        <v>389</v>
      </c>
      <c r="B390">
        <v>2020</v>
      </c>
      <c r="C390" t="s">
        <v>10</v>
      </c>
      <c r="D390" t="str">
        <f t="shared" si="23"/>
        <v>diesel vehicle</v>
      </c>
      <c r="E390" t="s">
        <v>20</v>
      </c>
      <c r="F390" t="s">
        <v>25</v>
      </c>
      <c r="G390" t="s">
        <v>9</v>
      </c>
      <c r="H390" t="str">
        <f t="shared" si="24"/>
        <v>道路客车</v>
      </c>
      <c r="I390" t="str">
        <f t="shared" si="25"/>
        <v>Passenger HDV</v>
      </c>
      <c r="J390">
        <v>5557</v>
      </c>
    </row>
    <row r="391" spans="1:10" x14ac:dyDescent="0.2">
      <c r="A391">
        <v>390</v>
      </c>
      <c r="B391">
        <v>2021</v>
      </c>
      <c r="C391" t="s">
        <v>10</v>
      </c>
      <c r="D391" t="str">
        <f t="shared" si="23"/>
        <v>diesel vehicle</v>
      </c>
      <c r="E391" t="s">
        <v>20</v>
      </c>
      <c r="F391" t="s">
        <v>25</v>
      </c>
      <c r="G391" t="s">
        <v>9</v>
      </c>
      <c r="H391" t="str">
        <f t="shared" si="24"/>
        <v>道路客车</v>
      </c>
      <c r="I391" t="str">
        <f t="shared" si="25"/>
        <v>Passenger HDV</v>
      </c>
      <c r="J391">
        <v>10167</v>
      </c>
    </row>
    <row r="392" spans="1:10" x14ac:dyDescent="0.2">
      <c r="A392">
        <v>391</v>
      </c>
      <c r="B392">
        <v>2015</v>
      </c>
      <c r="C392" t="s">
        <v>11</v>
      </c>
      <c r="D392" t="str">
        <f t="shared" si="23"/>
        <v>battery electric vehicle</v>
      </c>
      <c r="E392" t="s">
        <v>20</v>
      </c>
      <c r="F392" t="s">
        <v>25</v>
      </c>
      <c r="G392" t="s">
        <v>9</v>
      </c>
      <c r="H392" t="str">
        <f t="shared" si="24"/>
        <v>道路客车</v>
      </c>
      <c r="I392" t="str">
        <f t="shared" si="25"/>
        <v>Passenger HDV</v>
      </c>
      <c r="J392">
        <v>2</v>
      </c>
    </row>
    <row r="393" spans="1:10" x14ac:dyDescent="0.2">
      <c r="A393">
        <v>392</v>
      </c>
      <c r="B393">
        <v>2019</v>
      </c>
      <c r="C393" t="s">
        <v>11</v>
      </c>
      <c r="D393" t="str">
        <f t="shared" si="23"/>
        <v>battery electric vehicle</v>
      </c>
      <c r="E393" t="s">
        <v>20</v>
      </c>
      <c r="F393" t="s">
        <v>25</v>
      </c>
      <c r="G393" t="s">
        <v>9</v>
      </c>
      <c r="H393" t="str">
        <f t="shared" si="24"/>
        <v>道路客车</v>
      </c>
      <c r="I393" t="str">
        <f t="shared" si="25"/>
        <v>Passenger HDV</v>
      </c>
      <c r="J393">
        <v>45</v>
      </c>
    </row>
    <row r="394" spans="1:10" x14ac:dyDescent="0.2">
      <c r="A394">
        <v>393</v>
      </c>
      <c r="B394">
        <v>2020</v>
      </c>
      <c r="C394" t="s">
        <v>11</v>
      </c>
      <c r="D394" t="str">
        <f t="shared" si="23"/>
        <v>battery electric vehicle</v>
      </c>
      <c r="E394" t="s">
        <v>20</v>
      </c>
      <c r="F394" t="s">
        <v>25</v>
      </c>
      <c r="G394" t="s">
        <v>9</v>
      </c>
      <c r="H394" t="str">
        <f t="shared" si="24"/>
        <v>道路客车</v>
      </c>
      <c r="I394" t="str">
        <f t="shared" si="25"/>
        <v>Passenger HDV</v>
      </c>
      <c r="J394">
        <v>205</v>
      </c>
    </row>
    <row r="395" spans="1:10" x14ac:dyDescent="0.2">
      <c r="A395">
        <v>394</v>
      </c>
      <c r="B395">
        <v>2021</v>
      </c>
      <c r="C395" t="s">
        <v>11</v>
      </c>
      <c r="D395" t="str">
        <f t="shared" si="23"/>
        <v>battery electric vehicle</v>
      </c>
      <c r="E395" t="s">
        <v>20</v>
      </c>
      <c r="F395" t="s">
        <v>25</v>
      </c>
      <c r="G395" t="s">
        <v>9</v>
      </c>
      <c r="H395" t="str">
        <f t="shared" si="24"/>
        <v>道路客车</v>
      </c>
      <c r="I395" t="str">
        <f t="shared" si="25"/>
        <v>Passenger HDV</v>
      </c>
      <c r="J395">
        <v>516</v>
      </c>
    </row>
    <row r="396" spans="1:10" x14ac:dyDescent="0.2">
      <c r="A396">
        <v>395</v>
      </c>
      <c r="B396">
        <v>2015</v>
      </c>
      <c r="C396" t="s">
        <v>13</v>
      </c>
      <c r="D396" t="str">
        <f t="shared" si="23"/>
        <v>gasoline vehicle</v>
      </c>
      <c r="E396" t="s">
        <v>20</v>
      </c>
      <c r="F396" t="s">
        <v>25</v>
      </c>
      <c r="G396" t="s">
        <v>9</v>
      </c>
      <c r="H396" t="str">
        <f t="shared" si="24"/>
        <v>道路客车</v>
      </c>
      <c r="I396" t="str">
        <f t="shared" si="25"/>
        <v>Passenger HDV</v>
      </c>
      <c r="J396">
        <v>9403</v>
      </c>
    </row>
    <row r="397" spans="1:10" x14ac:dyDescent="0.2">
      <c r="A397">
        <v>396</v>
      </c>
      <c r="B397">
        <v>2016</v>
      </c>
      <c r="C397" t="s">
        <v>13</v>
      </c>
      <c r="D397" t="str">
        <f t="shared" si="23"/>
        <v>gasoline vehicle</v>
      </c>
      <c r="E397" t="s">
        <v>20</v>
      </c>
      <c r="F397" t="s">
        <v>25</v>
      </c>
      <c r="G397" t="s">
        <v>9</v>
      </c>
      <c r="H397" t="str">
        <f t="shared" si="24"/>
        <v>道路客车</v>
      </c>
      <c r="I397" t="str">
        <f t="shared" si="25"/>
        <v>Passenger HDV</v>
      </c>
      <c r="J397">
        <v>12812</v>
      </c>
    </row>
    <row r="398" spans="1:10" x14ac:dyDescent="0.2">
      <c r="A398">
        <v>397</v>
      </c>
      <c r="B398">
        <v>2017</v>
      </c>
      <c r="C398" t="s">
        <v>13</v>
      </c>
      <c r="D398" t="str">
        <f t="shared" si="23"/>
        <v>gasoline vehicle</v>
      </c>
      <c r="E398" t="s">
        <v>20</v>
      </c>
      <c r="F398" t="s">
        <v>25</v>
      </c>
      <c r="G398" t="s">
        <v>9</v>
      </c>
      <c r="H398" t="str">
        <f t="shared" si="24"/>
        <v>道路客车</v>
      </c>
      <c r="I398" t="str">
        <f t="shared" si="25"/>
        <v>Passenger HDV</v>
      </c>
      <c r="J398">
        <v>9768</v>
      </c>
    </row>
    <row r="399" spans="1:10" x14ac:dyDescent="0.2">
      <c r="A399">
        <v>398</v>
      </c>
      <c r="B399">
        <v>2018</v>
      </c>
      <c r="C399" t="s">
        <v>13</v>
      </c>
      <c r="D399" t="str">
        <f t="shared" si="23"/>
        <v>gasoline vehicle</v>
      </c>
      <c r="E399" t="s">
        <v>20</v>
      </c>
      <c r="F399" t="s">
        <v>25</v>
      </c>
      <c r="G399" t="s">
        <v>9</v>
      </c>
      <c r="H399" t="str">
        <f t="shared" si="24"/>
        <v>道路客车</v>
      </c>
      <c r="I399" t="str">
        <f t="shared" si="25"/>
        <v>Passenger HDV</v>
      </c>
      <c r="J399">
        <v>6389</v>
      </c>
    </row>
    <row r="400" spans="1:10" x14ac:dyDescent="0.2">
      <c r="A400">
        <v>399</v>
      </c>
      <c r="B400">
        <v>2019</v>
      </c>
      <c r="C400" t="s">
        <v>13</v>
      </c>
      <c r="D400" t="str">
        <f t="shared" si="23"/>
        <v>gasoline vehicle</v>
      </c>
      <c r="E400" t="s">
        <v>20</v>
      </c>
      <c r="F400" t="s">
        <v>25</v>
      </c>
      <c r="G400" t="s">
        <v>9</v>
      </c>
      <c r="H400" t="str">
        <f t="shared" si="24"/>
        <v>道路客车</v>
      </c>
      <c r="I400" t="str">
        <f t="shared" si="25"/>
        <v>Passenger HDV</v>
      </c>
      <c r="J400">
        <v>8586</v>
      </c>
    </row>
    <row r="401" spans="1:10" x14ac:dyDescent="0.2">
      <c r="A401">
        <v>400</v>
      </c>
      <c r="B401">
        <v>2020</v>
      </c>
      <c r="C401" t="s">
        <v>13</v>
      </c>
      <c r="D401" t="str">
        <f t="shared" si="23"/>
        <v>gasoline vehicle</v>
      </c>
      <c r="E401" t="s">
        <v>20</v>
      </c>
      <c r="F401" t="s">
        <v>25</v>
      </c>
      <c r="G401" t="s">
        <v>9</v>
      </c>
      <c r="H401" t="str">
        <f t="shared" si="24"/>
        <v>道路客车</v>
      </c>
      <c r="I401" t="str">
        <f t="shared" si="25"/>
        <v>Passenger HDV</v>
      </c>
      <c r="J401">
        <v>2266</v>
      </c>
    </row>
    <row r="402" spans="1:10" x14ac:dyDescent="0.2">
      <c r="A402">
        <v>401</v>
      </c>
      <c r="B402">
        <v>2021</v>
      </c>
      <c r="C402" t="s">
        <v>13</v>
      </c>
      <c r="D402" t="str">
        <f t="shared" si="23"/>
        <v>gasoline vehicle</v>
      </c>
      <c r="E402" t="s">
        <v>20</v>
      </c>
      <c r="F402" t="s">
        <v>25</v>
      </c>
      <c r="G402" t="s">
        <v>9</v>
      </c>
      <c r="H402" t="str">
        <f t="shared" si="24"/>
        <v>道路客车</v>
      </c>
      <c r="I402" t="str">
        <f t="shared" si="25"/>
        <v>Passenger HDV</v>
      </c>
      <c r="J402">
        <v>6175</v>
      </c>
    </row>
    <row r="403" spans="1:10" x14ac:dyDescent="0.2">
      <c r="A403">
        <v>402</v>
      </c>
      <c r="B403">
        <v>2015</v>
      </c>
      <c r="C403" t="s">
        <v>14</v>
      </c>
      <c r="D403" t="str">
        <f t="shared" si="23"/>
        <v>natural gas vehicle</v>
      </c>
      <c r="E403" t="s">
        <v>20</v>
      </c>
      <c r="F403" t="s">
        <v>25</v>
      </c>
      <c r="G403" t="s">
        <v>9</v>
      </c>
      <c r="H403" t="str">
        <f t="shared" si="24"/>
        <v>道路客车</v>
      </c>
      <c r="I403" t="str">
        <f t="shared" si="25"/>
        <v>Passenger HDV</v>
      </c>
      <c r="J403">
        <v>165</v>
      </c>
    </row>
    <row r="404" spans="1:10" x14ac:dyDescent="0.2">
      <c r="A404">
        <v>403</v>
      </c>
      <c r="B404">
        <v>2016</v>
      </c>
      <c r="C404" t="s">
        <v>14</v>
      </c>
      <c r="D404" t="str">
        <f t="shared" si="23"/>
        <v>natural gas vehicle</v>
      </c>
      <c r="E404" t="s">
        <v>20</v>
      </c>
      <c r="F404" t="s">
        <v>25</v>
      </c>
      <c r="G404" t="s">
        <v>9</v>
      </c>
      <c r="H404" t="str">
        <f t="shared" si="24"/>
        <v>道路客车</v>
      </c>
      <c r="I404" t="str">
        <f t="shared" si="25"/>
        <v>Passenger HDV</v>
      </c>
      <c r="J404">
        <v>53</v>
      </c>
    </row>
    <row r="405" spans="1:10" x14ac:dyDescent="0.2">
      <c r="A405">
        <v>404</v>
      </c>
      <c r="B405">
        <v>2015</v>
      </c>
      <c r="C405" t="s">
        <v>16</v>
      </c>
      <c r="D405" t="str">
        <f t="shared" si="23"/>
        <v>natural gas vehicle</v>
      </c>
      <c r="E405" t="s">
        <v>20</v>
      </c>
      <c r="F405" t="s">
        <v>25</v>
      </c>
      <c r="G405" t="s">
        <v>9</v>
      </c>
      <c r="H405" t="str">
        <f t="shared" si="24"/>
        <v>道路客车</v>
      </c>
      <c r="I405" t="str">
        <f t="shared" si="25"/>
        <v>Passenger HDV</v>
      </c>
      <c r="J405">
        <v>37</v>
      </c>
    </row>
    <row r="406" spans="1:10" x14ac:dyDescent="0.2">
      <c r="A406">
        <v>405</v>
      </c>
      <c r="B406">
        <v>2016</v>
      </c>
      <c r="C406" t="s">
        <v>16</v>
      </c>
      <c r="D406" t="str">
        <f t="shared" si="23"/>
        <v>natural gas vehicle</v>
      </c>
      <c r="E406" t="s">
        <v>20</v>
      </c>
      <c r="F406" t="s">
        <v>25</v>
      </c>
      <c r="G406" t="s">
        <v>9</v>
      </c>
      <c r="H406" t="str">
        <f t="shared" si="24"/>
        <v>道路客车</v>
      </c>
      <c r="I406" t="str">
        <f t="shared" si="25"/>
        <v>Passenger HDV</v>
      </c>
      <c r="J406">
        <v>257</v>
      </c>
    </row>
    <row r="407" spans="1:10" x14ac:dyDescent="0.2">
      <c r="A407">
        <v>406</v>
      </c>
      <c r="B407">
        <v>2017</v>
      </c>
      <c r="C407" t="s">
        <v>16</v>
      </c>
      <c r="D407" t="str">
        <f t="shared" si="23"/>
        <v>natural gas vehicle</v>
      </c>
      <c r="E407" t="s">
        <v>20</v>
      </c>
      <c r="F407" t="s">
        <v>25</v>
      </c>
      <c r="G407" t="s">
        <v>9</v>
      </c>
      <c r="H407" t="str">
        <f t="shared" si="24"/>
        <v>道路客车</v>
      </c>
      <c r="I407" t="str">
        <f t="shared" si="25"/>
        <v>Passenger HDV</v>
      </c>
      <c r="J407">
        <v>17</v>
      </c>
    </row>
    <row r="408" spans="1:10" x14ac:dyDescent="0.2">
      <c r="A408">
        <v>407</v>
      </c>
      <c r="B408">
        <v>2018</v>
      </c>
      <c r="C408" t="s">
        <v>16</v>
      </c>
      <c r="D408" t="str">
        <f t="shared" si="23"/>
        <v>natural gas vehicle</v>
      </c>
      <c r="E408" t="s">
        <v>20</v>
      </c>
      <c r="F408" t="s">
        <v>25</v>
      </c>
      <c r="G408" t="s">
        <v>9</v>
      </c>
      <c r="H408" t="str">
        <f t="shared" si="24"/>
        <v>道路客车</v>
      </c>
      <c r="I408" t="str">
        <f t="shared" si="25"/>
        <v>Passenger HDV</v>
      </c>
      <c r="J408">
        <v>2</v>
      </c>
    </row>
    <row r="409" spans="1:10" x14ac:dyDescent="0.2">
      <c r="A409">
        <v>408</v>
      </c>
      <c r="B409">
        <v>2019</v>
      </c>
      <c r="C409" t="s">
        <v>16</v>
      </c>
      <c r="D409" t="str">
        <f t="shared" si="23"/>
        <v>natural gas vehicle</v>
      </c>
      <c r="E409" t="s">
        <v>20</v>
      </c>
      <c r="F409" t="s">
        <v>25</v>
      </c>
      <c r="G409" t="s">
        <v>9</v>
      </c>
      <c r="H409" t="str">
        <f t="shared" si="24"/>
        <v>道路客车</v>
      </c>
      <c r="I409" t="str">
        <f t="shared" si="25"/>
        <v>Passenger HDV</v>
      </c>
      <c r="J409">
        <v>3</v>
      </c>
    </row>
    <row r="410" spans="1:10" x14ac:dyDescent="0.2">
      <c r="A410">
        <v>409</v>
      </c>
      <c r="B410">
        <v>2020</v>
      </c>
      <c r="C410" t="s">
        <v>16</v>
      </c>
      <c r="D410" t="str">
        <f t="shared" si="23"/>
        <v>natural gas vehicle</v>
      </c>
      <c r="E410" t="s">
        <v>20</v>
      </c>
      <c r="F410" t="s">
        <v>25</v>
      </c>
      <c r="G410" t="s">
        <v>9</v>
      </c>
      <c r="H410" t="str">
        <f t="shared" si="24"/>
        <v>道路客车</v>
      </c>
      <c r="I410" t="str">
        <f t="shared" si="25"/>
        <v>Passenger HDV</v>
      </c>
      <c r="J410">
        <v>1</v>
      </c>
    </row>
    <row r="411" spans="1:10" x14ac:dyDescent="0.2">
      <c r="A411">
        <v>410</v>
      </c>
      <c r="B411">
        <v>2021</v>
      </c>
      <c r="C411" t="s">
        <v>16</v>
      </c>
      <c r="D411" t="str">
        <f t="shared" si="23"/>
        <v>natural gas vehicle</v>
      </c>
      <c r="E411" t="s">
        <v>20</v>
      </c>
      <c r="F411" t="s">
        <v>25</v>
      </c>
      <c r="G411" t="s">
        <v>9</v>
      </c>
      <c r="H411" t="str">
        <f t="shared" si="24"/>
        <v>道路客车</v>
      </c>
      <c r="I411" t="str">
        <f t="shared" si="25"/>
        <v>Passenger HDV</v>
      </c>
      <c r="J411">
        <v>2</v>
      </c>
    </row>
    <row r="412" spans="1:10" x14ac:dyDescent="0.2">
      <c r="A412">
        <v>411</v>
      </c>
      <c r="B412">
        <v>2015</v>
      </c>
      <c r="C412" t="s">
        <v>10</v>
      </c>
      <c r="D412" t="str">
        <f t="shared" si="23"/>
        <v>diesel vehicle</v>
      </c>
      <c r="E412" t="s">
        <v>21</v>
      </c>
      <c r="F412" t="s">
        <v>25</v>
      </c>
      <c r="G412" t="s">
        <v>9</v>
      </c>
      <c r="H412" t="str">
        <f t="shared" si="24"/>
        <v>中重型货车</v>
      </c>
      <c r="I412" t="str">
        <f t="shared" si="25"/>
        <v>Freight HDV</v>
      </c>
      <c r="J412">
        <v>61970</v>
      </c>
    </row>
    <row r="413" spans="1:10" x14ac:dyDescent="0.2">
      <c r="A413">
        <v>412</v>
      </c>
      <c r="B413">
        <v>2016</v>
      </c>
      <c r="C413" t="s">
        <v>10</v>
      </c>
      <c r="D413" t="str">
        <f t="shared" si="23"/>
        <v>diesel vehicle</v>
      </c>
      <c r="E413" t="s">
        <v>21</v>
      </c>
      <c r="F413" t="s">
        <v>25</v>
      </c>
      <c r="G413" t="s">
        <v>9</v>
      </c>
      <c r="H413" t="str">
        <f t="shared" si="24"/>
        <v>中重型货车</v>
      </c>
      <c r="I413" t="str">
        <f t="shared" si="25"/>
        <v>Freight HDV</v>
      </c>
      <c r="J413">
        <v>37269</v>
      </c>
    </row>
    <row r="414" spans="1:10" x14ac:dyDescent="0.2">
      <c r="A414">
        <v>413</v>
      </c>
      <c r="B414">
        <v>2017</v>
      </c>
      <c r="C414" t="s">
        <v>10</v>
      </c>
      <c r="D414" t="str">
        <f t="shared" si="23"/>
        <v>diesel vehicle</v>
      </c>
      <c r="E414" t="s">
        <v>21</v>
      </c>
      <c r="F414" t="s">
        <v>25</v>
      </c>
      <c r="G414" t="s">
        <v>9</v>
      </c>
      <c r="H414" t="str">
        <f t="shared" si="24"/>
        <v>中重型货车</v>
      </c>
      <c r="I414" t="str">
        <f t="shared" si="25"/>
        <v>Freight HDV</v>
      </c>
      <c r="J414">
        <v>66387</v>
      </c>
    </row>
    <row r="415" spans="1:10" x14ac:dyDescent="0.2">
      <c r="A415">
        <v>414</v>
      </c>
      <c r="B415">
        <v>2018</v>
      </c>
      <c r="C415" t="s">
        <v>10</v>
      </c>
      <c r="D415" t="str">
        <f t="shared" si="23"/>
        <v>diesel vehicle</v>
      </c>
      <c r="E415" t="s">
        <v>21</v>
      </c>
      <c r="F415" t="s">
        <v>25</v>
      </c>
      <c r="G415" t="s">
        <v>9</v>
      </c>
      <c r="H415" t="str">
        <f t="shared" si="24"/>
        <v>中重型货车</v>
      </c>
      <c r="I415" t="str">
        <f t="shared" si="25"/>
        <v>Freight HDV</v>
      </c>
      <c r="J415">
        <v>65358</v>
      </c>
    </row>
    <row r="416" spans="1:10" x14ac:dyDescent="0.2">
      <c r="A416">
        <v>415</v>
      </c>
      <c r="B416">
        <v>2019</v>
      </c>
      <c r="C416" t="s">
        <v>10</v>
      </c>
      <c r="D416" t="str">
        <f t="shared" si="23"/>
        <v>diesel vehicle</v>
      </c>
      <c r="E416" t="s">
        <v>21</v>
      </c>
      <c r="F416" t="s">
        <v>25</v>
      </c>
      <c r="G416" t="s">
        <v>9</v>
      </c>
      <c r="H416" t="str">
        <f t="shared" si="24"/>
        <v>中重型货车</v>
      </c>
      <c r="I416" t="str">
        <f t="shared" si="25"/>
        <v>Freight HDV</v>
      </c>
      <c r="J416">
        <v>68521</v>
      </c>
    </row>
    <row r="417" spans="1:10" x14ac:dyDescent="0.2">
      <c r="A417">
        <v>416</v>
      </c>
      <c r="B417">
        <v>2020</v>
      </c>
      <c r="C417" t="s">
        <v>10</v>
      </c>
      <c r="D417" t="str">
        <f t="shared" si="23"/>
        <v>diesel vehicle</v>
      </c>
      <c r="E417" t="s">
        <v>21</v>
      </c>
      <c r="F417" t="s">
        <v>25</v>
      </c>
      <c r="G417" t="s">
        <v>9</v>
      </c>
      <c r="H417" t="str">
        <f t="shared" si="24"/>
        <v>中重型货车</v>
      </c>
      <c r="I417" t="str">
        <f t="shared" si="25"/>
        <v>Freight HDV</v>
      </c>
      <c r="J417">
        <v>98234</v>
      </c>
    </row>
    <row r="418" spans="1:10" x14ac:dyDescent="0.2">
      <c r="A418">
        <v>417</v>
      </c>
      <c r="B418">
        <v>2021</v>
      </c>
      <c r="C418" t="s">
        <v>10</v>
      </c>
      <c r="D418" t="str">
        <f t="shared" si="23"/>
        <v>diesel vehicle</v>
      </c>
      <c r="E418" t="s">
        <v>21</v>
      </c>
      <c r="F418" t="s">
        <v>25</v>
      </c>
      <c r="G418" t="s">
        <v>9</v>
      </c>
      <c r="H418" t="str">
        <f t="shared" si="24"/>
        <v>中重型货车</v>
      </c>
      <c r="I418" t="str">
        <f t="shared" si="25"/>
        <v>Freight HDV</v>
      </c>
      <c r="J418">
        <v>92698</v>
      </c>
    </row>
    <row r="419" spans="1:10" x14ac:dyDescent="0.2">
      <c r="A419">
        <v>418</v>
      </c>
      <c r="B419">
        <v>2015</v>
      </c>
      <c r="C419" t="s">
        <v>29</v>
      </c>
      <c r="D419" t="str">
        <f t="shared" si="23"/>
        <v>natural gas vehicle</v>
      </c>
      <c r="E419" t="s">
        <v>21</v>
      </c>
      <c r="F419" t="s">
        <v>25</v>
      </c>
      <c r="G419" t="s">
        <v>9</v>
      </c>
      <c r="H419" t="str">
        <f t="shared" si="24"/>
        <v>中重型货车</v>
      </c>
      <c r="I419" t="str">
        <f t="shared" si="25"/>
        <v>Freight HDV</v>
      </c>
      <c r="J419">
        <v>1</v>
      </c>
    </row>
    <row r="420" spans="1:10" x14ac:dyDescent="0.2">
      <c r="A420">
        <v>419</v>
      </c>
      <c r="B420">
        <v>2015</v>
      </c>
      <c r="C420" t="s">
        <v>11</v>
      </c>
      <c r="D420" t="str">
        <f t="shared" si="23"/>
        <v>battery electric vehicle</v>
      </c>
      <c r="E420" t="s">
        <v>21</v>
      </c>
      <c r="F420" t="s">
        <v>25</v>
      </c>
      <c r="G420" t="s">
        <v>9</v>
      </c>
      <c r="H420" t="str">
        <f t="shared" si="24"/>
        <v>中重型货车</v>
      </c>
      <c r="I420" t="str">
        <f t="shared" si="25"/>
        <v>Freight HDV</v>
      </c>
      <c r="J420">
        <v>37</v>
      </c>
    </row>
    <row r="421" spans="1:10" x14ac:dyDescent="0.2">
      <c r="A421">
        <v>420</v>
      </c>
      <c r="B421">
        <v>2016</v>
      </c>
      <c r="C421" t="s">
        <v>11</v>
      </c>
      <c r="D421" t="str">
        <f t="shared" si="23"/>
        <v>battery electric vehicle</v>
      </c>
      <c r="E421" t="s">
        <v>21</v>
      </c>
      <c r="F421" t="s">
        <v>25</v>
      </c>
      <c r="G421" t="s">
        <v>9</v>
      </c>
      <c r="H421" t="str">
        <f t="shared" si="24"/>
        <v>中重型货车</v>
      </c>
      <c r="I421" t="str">
        <f t="shared" si="25"/>
        <v>Freight HDV</v>
      </c>
      <c r="J421">
        <v>5</v>
      </c>
    </row>
    <row r="422" spans="1:10" x14ac:dyDescent="0.2">
      <c r="A422">
        <v>421</v>
      </c>
      <c r="B422">
        <v>2017</v>
      </c>
      <c r="C422" t="s">
        <v>11</v>
      </c>
      <c r="D422" t="str">
        <f t="shared" si="23"/>
        <v>battery electric vehicle</v>
      </c>
      <c r="E422" t="s">
        <v>21</v>
      </c>
      <c r="F422" t="s">
        <v>25</v>
      </c>
      <c r="G422" t="s">
        <v>9</v>
      </c>
      <c r="H422" t="str">
        <f t="shared" si="24"/>
        <v>中重型货车</v>
      </c>
      <c r="I422" t="str">
        <f t="shared" si="25"/>
        <v>Freight HDV</v>
      </c>
      <c r="J422">
        <v>91</v>
      </c>
    </row>
    <row r="423" spans="1:10" x14ac:dyDescent="0.2">
      <c r="A423">
        <v>422</v>
      </c>
      <c r="B423">
        <v>2018</v>
      </c>
      <c r="C423" t="s">
        <v>11</v>
      </c>
      <c r="D423" t="str">
        <f t="shared" si="23"/>
        <v>battery electric vehicle</v>
      </c>
      <c r="E423" t="s">
        <v>21</v>
      </c>
      <c r="F423" t="s">
        <v>25</v>
      </c>
      <c r="G423" t="s">
        <v>9</v>
      </c>
      <c r="H423" t="str">
        <f t="shared" si="24"/>
        <v>中重型货车</v>
      </c>
      <c r="I423" t="str">
        <f t="shared" si="25"/>
        <v>Freight HDV</v>
      </c>
      <c r="J423">
        <v>60</v>
      </c>
    </row>
    <row r="424" spans="1:10" x14ac:dyDescent="0.2">
      <c r="A424">
        <v>423</v>
      </c>
      <c r="B424">
        <v>2019</v>
      </c>
      <c r="C424" t="s">
        <v>11</v>
      </c>
      <c r="D424" t="str">
        <f t="shared" si="23"/>
        <v>battery electric vehicle</v>
      </c>
      <c r="E424" t="s">
        <v>21</v>
      </c>
      <c r="F424" t="s">
        <v>25</v>
      </c>
      <c r="G424" t="s">
        <v>9</v>
      </c>
      <c r="H424" t="str">
        <f t="shared" si="24"/>
        <v>中重型货车</v>
      </c>
      <c r="I424" t="str">
        <f t="shared" si="25"/>
        <v>Freight HDV</v>
      </c>
      <c r="J424">
        <v>385</v>
      </c>
    </row>
    <row r="425" spans="1:10" x14ac:dyDescent="0.2">
      <c r="A425">
        <v>424</v>
      </c>
      <c r="B425">
        <v>2020</v>
      </c>
      <c r="C425" t="s">
        <v>11</v>
      </c>
      <c r="D425" t="str">
        <f t="shared" si="23"/>
        <v>battery electric vehicle</v>
      </c>
      <c r="E425" t="s">
        <v>21</v>
      </c>
      <c r="F425" t="s">
        <v>25</v>
      </c>
      <c r="G425" t="s">
        <v>9</v>
      </c>
      <c r="H425" t="str">
        <f t="shared" si="24"/>
        <v>中重型货车</v>
      </c>
      <c r="I425" t="str">
        <f t="shared" si="25"/>
        <v>Freight HDV</v>
      </c>
      <c r="J425">
        <v>932</v>
      </c>
    </row>
    <row r="426" spans="1:10" x14ac:dyDescent="0.2">
      <c r="A426">
        <v>425</v>
      </c>
      <c r="B426">
        <v>2021</v>
      </c>
      <c r="C426" t="s">
        <v>11</v>
      </c>
      <c r="D426" t="str">
        <f t="shared" si="23"/>
        <v>battery electric vehicle</v>
      </c>
      <c r="E426" t="s">
        <v>21</v>
      </c>
      <c r="F426" t="s">
        <v>25</v>
      </c>
      <c r="G426" t="s">
        <v>9</v>
      </c>
      <c r="H426" t="str">
        <f t="shared" si="24"/>
        <v>中重型货车</v>
      </c>
      <c r="I426" t="str">
        <f t="shared" si="25"/>
        <v>Freight HDV</v>
      </c>
      <c r="J426">
        <v>1461</v>
      </c>
    </row>
    <row r="427" spans="1:10" x14ac:dyDescent="0.2">
      <c r="A427">
        <v>426</v>
      </c>
      <c r="B427">
        <v>2016</v>
      </c>
      <c r="C427" t="s">
        <v>12</v>
      </c>
      <c r="D427" t="str">
        <f t="shared" si="23"/>
        <v>hybrid fuel vehicle</v>
      </c>
      <c r="E427" t="s">
        <v>21</v>
      </c>
      <c r="F427" t="s">
        <v>25</v>
      </c>
      <c r="G427" t="s">
        <v>9</v>
      </c>
      <c r="H427" t="str">
        <f t="shared" si="24"/>
        <v>中重型货车</v>
      </c>
      <c r="I427" t="str">
        <f t="shared" si="25"/>
        <v>Freight HDV</v>
      </c>
      <c r="J427">
        <v>5</v>
      </c>
    </row>
    <row r="428" spans="1:10" x14ac:dyDescent="0.2">
      <c r="A428">
        <v>427</v>
      </c>
      <c r="B428">
        <v>2020</v>
      </c>
      <c r="C428" t="s">
        <v>12</v>
      </c>
      <c r="D428" t="str">
        <f t="shared" si="23"/>
        <v>hybrid fuel vehicle</v>
      </c>
      <c r="E428" t="s">
        <v>21</v>
      </c>
      <c r="F428" t="s">
        <v>25</v>
      </c>
      <c r="G428" t="s">
        <v>9</v>
      </c>
      <c r="H428" t="str">
        <f t="shared" si="24"/>
        <v>中重型货车</v>
      </c>
      <c r="I428" t="str">
        <f t="shared" si="25"/>
        <v>Freight HDV</v>
      </c>
      <c r="J428">
        <v>7</v>
      </c>
    </row>
    <row r="429" spans="1:10" x14ac:dyDescent="0.2">
      <c r="A429">
        <v>428</v>
      </c>
      <c r="B429">
        <v>2015</v>
      </c>
      <c r="C429" t="s">
        <v>13</v>
      </c>
      <c r="D429" t="str">
        <f t="shared" si="23"/>
        <v>gasoline vehicle</v>
      </c>
      <c r="E429" t="s">
        <v>21</v>
      </c>
      <c r="F429" t="s">
        <v>25</v>
      </c>
      <c r="G429" t="s">
        <v>9</v>
      </c>
      <c r="H429" t="str">
        <f t="shared" si="24"/>
        <v>中重型货车</v>
      </c>
      <c r="I429" t="str">
        <f t="shared" si="25"/>
        <v>Freight HDV</v>
      </c>
      <c r="J429">
        <v>4</v>
      </c>
    </row>
    <row r="430" spans="1:10" x14ac:dyDescent="0.2">
      <c r="A430">
        <v>429</v>
      </c>
      <c r="B430">
        <v>2016</v>
      </c>
      <c r="C430" t="s">
        <v>13</v>
      </c>
      <c r="D430" t="str">
        <f t="shared" si="23"/>
        <v>gasoline vehicle</v>
      </c>
      <c r="E430" t="s">
        <v>21</v>
      </c>
      <c r="F430" t="s">
        <v>25</v>
      </c>
      <c r="G430" t="s">
        <v>9</v>
      </c>
      <c r="H430" t="str">
        <f t="shared" si="24"/>
        <v>中重型货车</v>
      </c>
      <c r="I430" t="str">
        <f t="shared" si="25"/>
        <v>Freight HDV</v>
      </c>
      <c r="J430">
        <v>3</v>
      </c>
    </row>
    <row r="431" spans="1:10" x14ac:dyDescent="0.2">
      <c r="A431">
        <v>430</v>
      </c>
      <c r="B431">
        <v>2021</v>
      </c>
      <c r="C431" t="s">
        <v>15</v>
      </c>
      <c r="D431" t="str">
        <f t="shared" si="23"/>
        <v>hydrogen vehicle</v>
      </c>
      <c r="E431" t="s">
        <v>21</v>
      </c>
      <c r="F431" t="s">
        <v>25</v>
      </c>
      <c r="G431" t="s">
        <v>9</v>
      </c>
      <c r="H431" t="str">
        <f t="shared" si="24"/>
        <v>中重型货车</v>
      </c>
      <c r="I431" t="str">
        <f t="shared" si="25"/>
        <v>Freight HDV</v>
      </c>
      <c r="J431">
        <v>9</v>
      </c>
    </row>
    <row r="432" spans="1:10" x14ac:dyDescent="0.2">
      <c r="A432">
        <v>431</v>
      </c>
      <c r="B432">
        <v>2015</v>
      </c>
      <c r="C432" t="s">
        <v>16</v>
      </c>
      <c r="D432" t="str">
        <f t="shared" si="23"/>
        <v>natural gas vehicle</v>
      </c>
      <c r="E432" t="s">
        <v>21</v>
      </c>
      <c r="F432" t="s">
        <v>25</v>
      </c>
      <c r="G432" t="s">
        <v>9</v>
      </c>
      <c r="H432" t="str">
        <f t="shared" si="24"/>
        <v>中重型货车</v>
      </c>
      <c r="I432" t="str">
        <f t="shared" si="25"/>
        <v>Freight HDV</v>
      </c>
      <c r="J432">
        <v>713</v>
      </c>
    </row>
    <row r="433" spans="1:10" x14ac:dyDescent="0.2">
      <c r="A433">
        <v>432</v>
      </c>
      <c r="B433">
        <v>2016</v>
      </c>
      <c r="C433" t="s">
        <v>16</v>
      </c>
      <c r="D433" t="str">
        <f t="shared" si="23"/>
        <v>natural gas vehicle</v>
      </c>
      <c r="E433" t="s">
        <v>21</v>
      </c>
      <c r="F433" t="s">
        <v>25</v>
      </c>
      <c r="G433" t="s">
        <v>9</v>
      </c>
      <c r="H433" t="str">
        <f t="shared" si="24"/>
        <v>中重型货车</v>
      </c>
      <c r="I433" t="str">
        <f t="shared" si="25"/>
        <v>Freight HDV</v>
      </c>
      <c r="J433">
        <v>417</v>
      </c>
    </row>
    <row r="434" spans="1:10" x14ac:dyDescent="0.2">
      <c r="A434">
        <v>433</v>
      </c>
      <c r="B434">
        <v>2017</v>
      </c>
      <c r="C434" t="s">
        <v>16</v>
      </c>
      <c r="D434" t="str">
        <f t="shared" si="23"/>
        <v>natural gas vehicle</v>
      </c>
      <c r="E434" t="s">
        <v>21</v>
      </c>
      <c r="F434" t="s">
        <v>25</v>
      </c>
      <c r="G434" t="s">
        <v>9</v>
      </c>
      <c r="H434" t="str">
        <f t="shared" si="24"/>
        <v>中重型货车</v>
      </c>
      <c r="I434" t="str">
        <f t="shared" si="25"/>
        <v>Freight HDV</v>
      </c>
      <c r="J434">
        <v>826</v>
      </c>
    </row>
    <row r="435" spans="1:10" x14ac:dyDescent="0.2">
      <c r="A435">
        <v>434</v>
      </c>
      <c r="B435">
        <v>2018</v>
      </c>
      <c r="C435" t="s">
        <v>16</v>
      </c>
      <c r="D435" t="str">
        <f t="shared" si="23"/>
        <v>natural gas vehicle</v>
      </c>
      <c r="E435" t="s">
        <v>21</v>
      </c>
      <c r="F435" t="s">
        <v>25</v>
      </c>
      <c r="G435" t="s">
        <v>9</v>
      </c>
      <c r="H435" t="str">
        <f t="shared" si="24"/>
        <v>中重型货车</v>
      </c>
      <c r="I435" t="str">
        <f t="shared" si="25"/>
        <v>Freight HDV</v>
      </c>
      <c r="J435">
        <v>1255</v>
      </c>
    </row>
    <row r="436" spans="1:10" x14ac:dyDescent="0.2">
      <c r="A436">
        <v>435</v>
      </c>
      <c r="B436">
        <v>2019</v>
      </c>
      <c r="C436" t="s">
        <v>16</v>
      </c>
      <c r="D436" t="str">
        <f t="shared" si="23"/>
        <v>natural gas vehicle</v>
      </c>
      <c r="E436" t="s">
        <v>21</v>
      </c>
      <c r="F436" t="s">
        <v>25</v>
      </c>
      <c r="G436" t="s">
        <v>9</v>
      </c>
      <c r="H436" t="str">
        <f t="shared" si="24"/>
        <v>中重型货车</v>
      </c>
      <c r="I436" t="str">
        <f t="shared" si="25"/>
        <v>Freight HDV</v>
      </c>
      <c r="J436">
        <v>1015</v>
      </c>
    </row>
    <row r="437" spans="1:10" x14ac:dyDescent="0.2">
      <c r="A437">
        <v>436</v>
      </c>
      <c r="B437">
        <v>2020</v>
      </c>
      <c r="C437" t="s">
        <v>16</v>
      </c>
      <c r="D437" t="str">
        <f t="shared" si="23"/>
        <v>natural gas vehicle</v>
      </c>
      <c r="E437" t="s">
        <v>21</v>
      </c>
      <c r="F437" t="s">
        <v>25</v>
      </c>
      <c r="G437" t="s">
        <v>9</v>
      </c>
      <c r="H437" t="str">
        <f t="shared" si="24"/>
        <v>中重型货车</v>
      </c>
      <c r="I437" t="str">
        <f t="shared" si="25"/>
        <v>Freight HDV</v>
      </c>
      <c r="J437">
        <v>1452</v>
      </c>
    </row>
    <row r="438" spans="1:10" x14ac:dyDescent="0.2">
      <c r="A438">
        <v>437</v>
      </c>
      <c r="B438">
        <v>2021</v>
      </c>
      <c r="C438" t="s">
        <v>16</v>
      </c>
      <c r="D438" t="str">
        <f t="shared" si="23"/>
        <v>natural gas vehicle</v>
      </c>
      <c r="E438" t="s">
        <v>21</v>
      </c>
      <c r="F438" t="s">
        <v>25</v>
      </c>
      <c r="G438" t="s">
        <v>9</v>
      </c>
      <c r="H438" t="str">
        <f t="shared" si="24"/>
        <v>中重型货车</v>
      </c>
      <c r="I438" t="str">
        <f t="shared" si="25"/>
        <v>Freight HDV</v>
      </c>
      <c r="J438">
        <v>1086</v>
      </c>
    </row>
    <row r="439" spans="1:10" x14ac:dyDescent="0.2">
      <c r="A439">
        <v>438</v>
      </c>
      <c r="B439">
        <v>2016</v>
      </c>
      <c r="C439" t="s">
        <v>24</v>
      </c>
      <c r="D439" t="str">
        <f t="shared" si="23"/>
        <v>unknown</v>
      </c>
      <c r="E439" t="s">
        <v>21</v>
      </c>
      <c r="F439" t="s">
        <v>25</v>
      </c>
      <c r="G439" t="s">
        <v>9</v>
      </c>
      <c r="H439" t="str">
        <f t="shared" si="24"/>
        <v>中重型货车</v>
      </c>
      <c r="I439" t="str">
        <f t="shared" si="25"/>
        <v>Freight HDV</v>
      </c>
      <c r="J439">
        <v>1</v>
      </c>
    </row>
    <row r="440" spans="1:10" x14ac:dyDescent="0.2">
      <c r="A440">
        <v>439</v>
      </c>
      <c r="B440">
        <v>2015</v>
      </c>
      <c r="C440" t="s">
        <v>6</v>
      </c>
      <c r="D440" t="str">
        <f t="shared" si="23"/>
        <v>plugin hybrid vehicle</v>
      </c>
      <c r="E440" t="s">
        <v>7</v>
      </c>
      <c r="F440" t="s">
        <v>30</v>
      </c>
      <c r="G440" t="s">
        <v>9</v>
      </c>
      <c r="H440" t="str">
        <f t="shared" si="24"/>
        <v>道路客车</v>
      </c>
      <c r="I440" t="str">
        <f t="shared" si="25"/>
        <v>Passenger HDV</v>
      </c>
      <c r="J440">
        <v>200</v>
      </c>
    </row>
    <row r="441" spans="1:10" x14ac:dyDescent="0.2">
      <c r="A441">
        <v>440</v>
      </c>
      <c r="B441">
        <v>2016</v>
      </c>
      <c r="C441" t="s">
        <v>6</v>
      </c>
      <c r="D441" t="str">
        <f t="shared" si="23"/>
        <v>plugin hybrid vehicle</v>
      </c>
      <c r="E441" t="s">
        <v>7</v>
      </c>
      <c r="F441" t="s">
        <v>30</v>
      </c>
      <c r="G441" t="s">
        <v>9</v>
      </c>
      <c r="H441" t="str">
        <f t="shared" si="24"/>
        <v>道路客车</v>
      </c>
      <c r="I441" t="str">
        <f t="shared" si="25"/>
        <v>Passenger HDV</v>
      </c>
      <c r="J441">
        <v>323</v>
      </c>
    </row>
    <row r="442" spans="1:10" x14ac:dyDescent="0.2">
      <c r="A442">
        <v>441</v>
      </c>
      <c r="B442">
        <v>2017</v>
      </c>
      <c r="C442" t="s">
        <v>6</v>
      </c>
      <c r="D442" t="str">
        <f t="shared" si="23"/>
        <v>plugin hybrid vehicle</v>
      </c>
      <c r="E442" t="s">
        <v>7</v>
      </c>
      <c r="F442" t="s">
        <v>30</v>
      </c>
      <c r="G442" t="s">
        <v>9</v>
      </c>
      <c r="H442" t="str">
        <f t="shared" si="24"/>
        <v>道路客车</v>
      </c>
      <c r="I442" t="str">
        <f t="shared" si="25"/>
        <v>Passenger HDV</v>
      </c>
      <c r="J442">
        <v>32</v>
      </c>
    </row>
    <row r="443" spans="1:10" x14ac:dyDescent="0.2">
      <c r="A443">
        <v>442</v>
      </c>
      <c r="B443">
        <v>2018</v>
      </c>
      <c r="C443" t="s">
        <v>6</v>
      </c>
      <c r="D443" t="str">
        <f t="shared" si="23"/>
        <v>plugin hybrid vehicle</v>
      </c>
      <c r="E443" t="s">
        <v>7</v>
      </c>
      <c r="F443" t="s">
        <v>30</v>
      </c>
      <c r="G443" t="s">
        <v>9</v>
      </c>
      <c r="H443" t="str">
        <f t="shared" si="24"/>
        <v>道路客车</v>
      </c>
      <c r="I443" t="str">
        <f t="shared" si="25"/>
        <v>Passenger HDV</v>
      </c>
      <c r="J443">
        <v>11</v>
      </c>
    </row>
    <row r="444" spans="1:10" x14ac:dyDescent="0.2">
      <c r="A444">
        <v>443</v>
      </c>
      <c r="B444">
        <v>2020</v>
      </c>
      <c r="C444" t="s">
        <v>6</v>
      </c>
      <c r="D444" t="str">
        <f t="shared" si="23"/>
        <v>plugin hybrid vehicle</v>
      </c>
      <c r="E444" t="s">
        <v>7</v>
      </c>
      <c r="F444" t="s">
        <v>30</v>
      </c>
      <c r="G444" t="s">
        <v>9</v>
      </c>
      <c r="H444" t="str">
        <f t="shared" si="24"/>
        <v>道路客车</v>
      </c>
      <c r="I444" t="str">
        <f t="shared" si="25"/>
        <v>Passenger HDV</v>
      </c>
      <c r="J444">
        <v>4</v>
      </c>
    </row>
    <row r="445" spans="1:10" x14ac:dyDescent="0.2">
      <c r="A445">
        <v>444</v>
      </c>
      <c r="B445">
        <v>2015</v>
      </c>
      <c r="C445" t="s">
        <v>10</v>
      </c>
      <c r="D445" t="str">
        <f t="shared" si="23"/>
        <v>diesel vehicle</v>
      </c>
      <c r="E445" t="s">
        <v>7</v>
      </c>
      <c r="F445" t="s">
        <v>30</v>
      </c>
      <c r="G445" t="s">
        <v>9</v>
      </c>
      <c r="H445" t="str">
        <f t="shared" si="24"/>
        <v>道路客车</v>
      </c>
      <c r="I445" t="str">
        <f t="shared" si="25"/>
        <v>Passenger HDV</v>
      </c>
      <c r="J445">
        <v>35945</v>
      </c>
    </row>
    <row r="446" spans="1:10" x14ac:dyDescent="0.2">
      <c r="A446">
        <v>445</v>
      </c>
      <c r="B446">
        <v>2016</v>
      </c>
      <c r="C446" t="s">
        <v>10</v>
      </c>
      <c r="D446" t="str">
        <f t="shared" si="23"/>
        <v>diesel vehicle</v>
      </c>
      <c r="E446" t="s">
        <v>7</v>
      </c>
      <c r="F446" t="s">
        <v>30</v>
      </c>
      <c r="G446" t="s">
        <v>9</v>
      </c>
      <c r="H446" t="str">
        <f t="shared" si="24"/>
        <v>道路客车</v>
      </c>
      <c r="I446" t="str">
        <f t="shared" si="25"/>
        <v>Passenger HDV</v>
      </c>
      <c r="J446">
        <v>33685</v>
      </c>
    </row>
    <row r="447" spans="1:10" x14ac:dyDescent="0.2">
      <c r="A447">
        <v>446</v>
      </c>
      <c r="B447">
        <v>2017</v>
      </c>
      <c r="C447" t="s">
        <v>10</v>
      </c>
      <c r="D447" t="str">
        <f t="shared" si="23"/>
        <v>diesel vehicle</v>
      </c>
      <c r="E447" t="s">
        <v>7</v>
      </c>
      <c r="F447" t="s">
        <v>30</v>
      </c>
      <c r="G447" t="s">
        <v>9</v>
      </c>
      <c r="H447" t="str">
        <f t="shared" si="24"/>
        <v>道路客车</v>
      </c>
      <c r="I447" t="str">
        <f t="shared" si="25"/>
        <v>Passenger HDV</v>
      </c>
      <c r="J447">
        <v>24788</v>
      </c>
    </row>
    <row r="448" spans="1:10" x14ac:dyDescent="0.2">
      <c r="A448">
        <v>447</v>
      </c>
      <c r="B448">
        <v>2018</v>
      </c>
      <c r="C448" t="s">
        <v>10</v>
      </c>
      <c r="D448" t="str">
        <f t="shared" si="23"/>
        <v>diesel vehicle</v>
      </c>
      <c r="E448" t="s">
        <v>7</v>
      </c>
      <c r="F448" t="s">
        <v>30</v>
      </c>
      <c r="G448" t="s">
        <v>9</v>
      </c>
      <c r="H448" t="str">
        <f t="shared" si="24"/>
        <v>道路客车</v>
      </c>
      <c r="I448" t="str">
        <f t="shared" si="25"/>
        <v>Passenger HDV</v>
      </c>
      <c r="J448">
        <v>20043</v>
      </c>
    </row>
    <row r="449" spans="1:10" x14ac:dyDescent="0.2">
      <c r="A449">
        <v>448</v>
      </c>
      <c r="B449">
        <v>2019</v>
      </c>
      <c r="C449" t="s">
        <v>10</v>
      </c>
      <c r="D449" t="str">
        <f t="shared" si="23"/>
        <v>diesel vehicle</v>
      </c>
      <c r="E449" t="s">
        <v>7</v>
      </c>
      <c r="F449" t="s">
        <v>30</v>
      </c>
      <c r="G449" t="s">
        <v>9</v>
      </c>
      <c r="H449" t="str">
        <f t="shared" si="24"/>
        <v>道路客车</v>
      </c>
      <c r="I449" t="str">
        <f t="shared" si="25"/>
        <v>Passenger HDV</v>
      </c>
      <c r="J449">
        <v>22695</v>
      </c>
    </row>
    <row r="450" spans="1:10" x14ac:dyDescent="0.2">
      <c r="A450">
        <v>449</v>
      </c>
      <c r="B450">
        <v>2020</v>
      </c>
      <c r="C450" t="s">
        <v>10</v>
      </c>
      <c r="D450" t="str">
        <f t="shared" ref="D450:D513" si="26">VLOOKUP(C450,M$3:N$16,2,FALSE)</f>
        <v>diesel vehicle</v>
      </c>
      <c r="E450" t="s">
        <v>7</v>
      </c>
      <c r="F450" t="s">
        <v>30</v>
      </c>
      <c r="G450" t="s">
        <v>9</v>
      </c>
      <c r="H450" t="str">
        <f t="shared" si="24"/>
        <v>道路客车</v>
      </c>
      <c r="I450" t="str">
        <f t="shared" si="25"/>
        <v>Passenger HDV</v>
      </c>
      <c r="J450">
        <v>11684</v>
      </c>
    </row>
    <row r="451" spans="1:10" x14ac:dyDescent="0.2">
      <c r="A451">
        <v>450</v>
      </c>
      <c r="B451">
        <v>2021</v>
      </c>
      <c r="C451" t="s">
        <v>10</v>
      </c>
      <c r="D451" t="str">
        <f t="shared" si="26"/>
        <v>diesel vehicle</v>
      </c>
      <c r="E451" t="s">
        <v>7</v>
      </c>
      <c r="F451" t="s">
        <v>30</v>
      </c>
      <c r="G451" t="s">
        <v>9</v>
      </c>
      <c r="H451" t="str">
        <f t="shared" ref="H451:H514" si="27">VLOOKUP(E451&amp;F451&amp;G451,$S$3:$U$68,2,FALSE)</f>
        <v>道路客车</v>
      </c>
      <c r="I451" t="str">
        <f t="shared" ref="I451:I514" si="28">VLOOKUP(E451&amp;F451&amp;G451,$S$3:$U$68,3,FALSE)</f>
        <v>Passenger HDV</v>
      </c>
      <c r="J451">
        <v>15332</v>
      </c>
    </row>
    <row r="452" spans="1:10" x14ac:dyDescent="0.2">
      <c r="A452">
        <v>451</v>
      </c>
      <c r="B452">
        <v>2015</v>
      </c>
      <c r="C452" t="s">
        <v>11</v>
      </c>
      <c r="D452" t="str">
        <f t="shared" si="26"/>
        <v>battery electric vehicle</v>
      </c>
      <c r="E452" t="s">
        <v>7</v>
      </c>
      <c r="F452" t="s">
        <v>30</v>
      </c>
      <c r="G452" t="s">
        <v>9</v>
      </c>
      <c r="H452" t="str">
        <f t="shared" si="27"/>
        <v>道路客车</v>
      </c>
      <c r="I452" t="str">
        <f t="shared" si="28"/>
        <v>Passenger HDV</v>
      </c>
      <c r="J452">
        <v>5300</v>
      </c>
    </row>
    <row r="453" spans="1:10" x14ac:dyDescent="0.2">
      <c r="A453">
        <v>452</v>
      </c>
      <c r="B453">
        <v>2016</v>
      </c>
      <c r="C453" t="s">
        <v>11</v>
      </c>
      <c r="D453" t="str">
        <f t="shared" si="26"/>
        <v>battery electric vehicle</v>
      </c>
      <c r="E453" t="s">
        <v>7</v>
      </c>
      <c r="F453" t="s">
        <v>30</v>
      </c>
      <c r="G453" t="s">
        <v>9</v>
      </c>
      <c r="H453" t="str">
        <f t="shared" si="27"/>
        <v>道路客车</v>
      </c>
      <c r="I453" t="str">
        <f t="shared" si="28"/>
        <v>Passenger HDV</v>
      </c>
      <c r="J453">
        <v>3874</v>
      </c>
    </row>
    <row r="454" spans="1:10" x14ac:dyDescent="0.2">
      <c r="A454">
        <v>453</v>
      </c>
      <c r="B454">
        <v>2017</v>
      </c>
      <c r="C454" t="s">
        <v>11</v>
      </c>
      <c r="D454" t="str">
        <f t="shared" si="26"/>
        <v>battery electric vehicle</v>
      </c>
      <c r="E454" t="s">
        <v>7</v>
      </c>
      <c r="F454" t="s">
        <v>30</v>
      </c>
      <c r="G454" t="s">
        <v>9</v>
      </c>
      <c r="H454" t="str">
        <f t="shared" si="27"/>
        <v>道路客车</v>
      </c>
      <c r="I454" t="str">
        <f t="shared" si="28"/>
        <v>Passenger HDV</v>
      </c>
      <c r="J454">
        <v>6588</v>
      </c>
    </row>
    <row r="455" spans="1:10" x14ac:dyDescent="0.2">
      <c r="A455">
        <v>454</v>
      </c>
      <c r="B455">
        <v>2018</v>
      </c>
      <c r="C455" t="s">
        <v>11</v>
      </c>
      <c r="D455" t="str">
        <f t="shared" si="26"/>
        <v>battery electric vehicle</v>
      </c>
      <c r="E455" t="s">
        <v>7</v>
      </c>
      <c r="F455" t="s">
        <v>30</v>
      </c>
      <c r="G455" t="s">
        <v>9</v>
      </c>
      <c r="H455" t="str">
        <f t="shared" si="27"/>
        <v>道路客车</v>
      </c>
      <c r="I455" t="str">
        <f t="shared" si="28"/>
        <v>Passenger HDV</v>
      </c>
      <c r="J455">
        <v>3008</v>
      </c>
    </row>
    <row r="456" spans="1:10" x14ac:dyDescent="0.2">
      <c r="A456">
        <v>455</v>
      </c>
      <c r="B456">
        <v>2019</v>
      </c>
      <c r="C456" t="s">
        <v>11</v>
      </c>
      <c r="D456" t="str">
        <f t="shared" si="26"/>
        <v>battery electric vehicle</v>
      </c>
      <c r="E456" t="s">
        <v>7</v>
      </c>
      <c r="F456" t="s">
        <v>30</v>
      </c>
      <c r="G456" t="s">
        <v>9</v>
      </c>
      <c r="H456" t="str">
        <f t="shared" si="27"/>
        <v>道路客车</v>
      </c>
      <c r="I456" t="str">
        <f t="shared" si="28"/>
        <v>Passenger HDV</v>
      </c>
      <c r="J456">
        <v>2268</v>
      </c>
    </row>
    <row r="457" spans="1:10" x14ac:dyDescent="0.2">
      <c r="A457">
        <v>456</v>
      </c>
      <c r="B457">
        <v>2020</v>
      </c>
      <c r="C457" t="s">
        <v>11</v>
      </c>
      <c r="D457" t="str">
        <f t="shared" si="26"/>
        <v>battery electric vehicle</v>
      </c>
      <c r="E457" t="s">
        <v>7</v>
      </c>
      <c r="F457" t="s">
        <v>30</v>
      </c>
      <c r="G457" t="s">
        <v>9</v>
      </c>
      <c r="H457" t="str">
        <f t="shared" si="27"/>
        <v>道路客车</v>
      </c>
      <c r="I457" t="str">
        <f t="shared" si="28"/>
        <v>Passenger HDV</v>
      </c>
      <c r="J457">
        <v>1479</v>
      </c>
    </row>
    <row r="458" spans="1:10" x14ac:dyDescent="0.2">
      <c r="A458">
        <v>457</v>
      </c>
      <c r="B458">
        <v>2021</v>
      </c>
      <c r="C458" t="s">
        <v>11</v>
      </c>
      <c r="D458" t="str">
        <f t="shared" si="26"/>
        <v>battery electric vehicle</v>
      </c>
      <c r="E458" t="s">
        <v>7</v>
      </c>
      <c r="F458" t="s">
        <v>30</v>
      </c>
      <c r="G458" t="s">
        <v>9</v>
      </c>
      <c r="H458" t="str">
        <f t="shared" si="27"/>
        <v>道路客车</v>
      </c>
      <c r="I458" t="str">
        <f t="shared" si="28"/>
        <v>Passenger HDV</v>
      </c>
      <c r="J458">
        <v>2845</v>
      </c>
    </row>
    <row r="459" spans="1:10" x14ac:dyDescent="0.2">
      <c r="A459">
        <v>458</v>
      </c>
      <c r="B459">
        <v>2015</v>
      </c>
      <c r="C459" t="s">
        <v>12</v>
      </c>
      <c r="D459" t="str">
        <f t="shared" si="26"/>
        <v>hybrid fuel vehicle</v>
      </c>
      <c r="E459" t="s">
        <v>7</v>
      </c>
      <c r="F459" t="s">
        <v>30</v>
      </c>
      <c r="G459" t="s">
        <v>9</v>
      </c>
      <c r="H459" t="str">
        <f t="shared" si="27"/>
        <v>道路客车</v>
      </c>
      <c r="I459" t="str">
        <f t="shared" si="28"/>
        <v>Passenger HDV</v>
      </c>
      <c r="J459">
        <v>87</v>
      </c>
    </row>
    <row r="460" spans="1:10" x14ac:dyDescent="0.2">
      <c r="A460">
        <v>459</v>
      </c>
      <c r="B460">
        <v>2016</v>
      </c>
      <c r="C460" t="s">
        <v>12</v>
      </c>
      <c r="D460" t="str">
        <f t="shared" si="26"/>
        <v>hybrid fuel vehicle</v>
      </c>
      <c r="E460" t="s">
        <v>7</v>
      </c>
      <c r="F460" t="s">
        <v>30</v>
      </c>
      <c r="G460" t="s">
        <v>9</v>
      </c>
      <c r="H460" t="str">
        <f t="shared" si="27"/>
        <v>道路客车</v>
      </c>
      <c r="I460" t="str">
        <f t="shared" si="28"/>
        <v>Passenger HDV</v>
      </c>
      <c r="J460">
        <v>55</v>
      </c>
    </row>
    <row r="461" spans="1:10" x14ac:dyDescent="0.2">
      <c r="A461">
        <v>460</v>
      </c>
      <c r="B461">
        <v>2015</v>
      </c>
      <c r="C461" t="s">
        <v>13</v>
      </c>
      <c r="D461" t="str">
        <f t="shared" si="26"/>
        <v>gasoline vehicle</v>
      </c>
      <c r="E461" t="s">
        <v>7</v>
      </c>
      <c r="F461" t="s">
        <v>30</v>
      </c>
      <c r="G461" t="s">
        <v>9</v>
      </c>
      <c r="H461" t="str">
        <f t="shared" si="27"/>
        <v>道路客车</v>
      </c>
      <c r="I461" t="str">
        <f t="shared" si="28"/>
        <v>Passenger HDV</v>
      </c>
      <c r="J461">
        <v>77</v>
      </c>
    </row>
    <row r="462" spans="1:10" x14ac:dyDescent="0.2">
      <c r="A462">
        <v>461</v>
      </c>
      <c r="B462">
        <v>2016</v>
      </c>
      <c r="C462" t="s">
        <v>13</v>
      </c>
      <c r="D462" t="str">
        <f t="shared" si="26"/>
        <v>gasoline vehicle</v>
      </c>
      <c r="E462" t="s">
        <v>7</v>
      </c>
      <c r="F462" t="s">
        <v>30</v>
      </c>
      <c r="G462" t="s">
        <v>9</v>
      </c>
      <c r="H462" t="str">
        <f t="shared" si="27"/>
        <v>道路客车</v>
      </c>
      <c r="I462" t="str">
        <f t="shared" si="28"/>
        <v>Passenger HDV</v>
      </c>
      <c r="J462">
        <v>260</v>
      </c>
    </row>
    <row r="463" spans="1:10" x14ac:dyDescent="0.2">
      <c r="A463">
        <v>462</v>
      </c>
      <c r="B463">
        <v>2017</v>
      </c>
      <c r="C463" t="s">
        <v>13</v>
      </c>
      <c r="D463" t="str">
        <f t="shared" si="26"/>
        <v>gasoline vehicle</v>
      </c>
      <c r="E463" t="s">
        <v>7</v>
      </c>
      <c r="F463" t="s">
        <v>30</v>
      </c>
      <c r="G463" t="s">
        <v>9</v>
      </c>
      <c r="H463" t="str">
        <f t="shared" si="27"/>
        <v>道路客车</v>
      </c>
      <c r="I463" t="str">
        <f t="shared" si="28"/>
        <v>Passenger HDV</v>
      </c>
      <c r="J463">
        <v>620</v>
      </c>
    </row>
    <row r="464" spans="1:10" x14ac:dyDescent="0.2">
      <c r="A464">
        <v>463</v>
      </c>
      <c r="B464">
        <v>2018</v>
      </c>
      <c r="C464" t="s">
        <v>13</v>
      </c>
      <c r="D464" t="str">
        <f t="shared" si="26"/>
        <v>gasoline vehicle</v>
      </c>
      <c r="E464" t="s">
        <v>7</v>
      </c>
      <c r="F464" t="s">
        <v>30</v>
      </c>
      <c r="G464" t="s">
        <v>9</v>
      </c>
      <c r="H464" t="str">
        <f t="shared" si="27"/>
        <v>道路客车</v>
      </c>
      <c r="I464" t="str">
        <f t="shared" si="28"/>
        <v>Passenger HDV</v>
      </c>
      <c r="J464">
        <v>174</v>
      </c>
    </row>
    <row r="465" spans="1:10" x14ac:dyDescent="0.2">
      <c r="A465">
        <v>464</v>
      </c>
      <c r="B465">
        <v>2019</v>
      </c>
      <c r="C465" t="s">
        <v>13</v>
      </c>
      <c r="D465" t="str">
        <f t="shared" si="26"/>
        <v>gasoline vehicle</v>
      </c>
      <c r="E465" t="s">
        <v>7</v>
      </c>
      <c r="F465" t="s">
        <v>30</v>
      </c>
      <c r="G465" t="s">
        <v>9</v>
      </c>
      <c r="H465" t="str">
        <f t="shared" si="27"/>
        <v>道路客车</v>
      </c>
      <c r="I465" t="str">
        <f t="shared" si="28"/>
        <v>Passenger HDV</v>
      </c>
      <c r="J465">
        <v>193</v>
      </c>
    </row>
    <row r="466" spans="1:10" x14ac:dyDescent="0.2">
      <c r="A466">
        <v>465</v>
      </c>
      <c r="B466">
        <v>2020</v>
      </c>
      <c r="C466" t="s">
        <v>13</v>
      </c>
      <c r="D466" t="str">
        <f t="shared" si="26"/>
        <v>gasoline vehicle</v>
      </c>
      <c r="E466" t="s">
        <v>7</v>
      </c>
      <c r="F466" t="s">
        <v>30</v>
      </c>
      <c r="G466" t="s">
        <v>9</v>
      </c>
      <c r="H466" t="str">
        <f t="shared" si="27"/>
        <v>道路客车</v>
      </c>
      <c r="I466" t="str">
        <f t="shared" si="28"/>
        <v>Passenger HDV</v>
      </c>
      <c r="J466">
        <v>152</v>
      </c>
    </row>
    <row r="467" spans="1:10" x14ac:dyDescent="0.2">
      <c r="A467">
        <v>466</v>
      </c>
      <c r="B467">
        <v>2021</v>
      </c>
      <c r="C467" t="s">
        <v>13</v>
      </c>
      <c r="D467" t="str">
        <f t="shared" si="26"/>
        <v>gasoline vehicle</v>
      </c>
      <c r="E467" t="s">
        <v>7</v>
      </c>
      <c r="F467" t="s">
        <v>30</v>
      </c>
      <c r="G467" t="s">
        <v>9</v>
      </c>
      <c r="H467" t="str">
        <f t="shared" si="27"/>
        <v>道路客车</v>
      </c>
      <c r="I467" t="str">
        <f t="shared" si="28"/>
        <v>Passenger HDV</v>
      </c>
      <c r="J467">
        <v>431</v>
      </c>
    </row>
    <row r="468" spans="1:10" x14ac:dyDescent="0.2">
      <c r="A468">
        <v>467</v>
      </c>
      <c r="B468">
        <v>2016</v>
      </c>
      <c r="C468" t="s">
        <v>14</v>
      </c>
      <c r="D468" t="str">
        <f t="shared" si="26"/>
        <v>natural gas vehicle</v>
      </c>
      <c r="E468" t="s">
        <v>7</v>
      </c>
      <c r="F468" t="s">
        <v>30</v>
      </c>
      <c r="G468" t="s">
        <v>9</v>
      </c>
      <c r="H468" t="str">
        <f t="shared" si="27"/>
        <v>道路客车</v>
      </c>
      <c r="I468" t="str">
        <f t="shared" si="28"/>
        <v>Passenger HDV</v>
      </c>
      <c r="J468">
        <v>1</v>
      </c>
    </row>
    <row r="469" spans="1:10" x14ac:dyDescent="0.2">
      <c r="A469">
        <v>468</v>
      </c>
      <c r="B469">
        <v>2019</v>
      </c>
      <c r="C469" t="s">
        <v>15</v>
      </c>
      <c r="D469" t="str">
        <f t="shared" si="26"/>
        <v>hydrogen vehicle</v>
      </c>
      <c r="E469" t="s">
        <v>7</v>
      </c>
      <c r="F469" t="s">
        <v>30</v>
      </c>
      <c r="G469" t="s">
        <v>9</v>
      </c>
      <c r="H469" t="str">
        <f t="shared" si="27"/>
        <v>道路客车</v>
      </c>
      <c r="I469" t="str">
        <f t="shared" si="28"/>
        <v>Passenger HDV</v>
      </c>
      <c r="J469">
        <v>315</v>
      </c>
    </row>
    <row r="470" spans="1:10" x14ac:dyDescent="0.2">
      <c r="A470">
        <v>469</v>
      </c>
      <c r="B470">
        <v>2021</v>
      </c>
      <c r="C470" t="s">
        <v>15</v>
      </c>
      <c r="D470" t="str">
        <f t="shared" si="26"/>
        <v>hydrogen vehicle</v>
      </c>
      <c r="E470" t="s">
        <v>7</v>
      </c>
      <c r="F470" t="s">
        <v>30</v>
      </c>
      <c r="G470" t="s">
        <v>9</v>
      </c>
      <c r="H470" t="str">
        <f t="shared" si="27"/>
        <v>道路客车</v>
      </c>
      <c r="I470" t="str">
        <f t="shared" si="28"/>
        <v>Passenger HDV</v>
      </c>
      <c r="J470">
        <v>141</v>
      </c>
    </row>
    <row r="471" spans="1:10" x14ac:dyDescent="0.2">
      <c r="A471">
        <v>470</v>
      </c>
      <c r="B471">
        <v>2015</v>
      </c>
      <c r="C471" t="s">
        <v>16</v>
      </c>
      <c r="D471" t="str">
        <f t="shared" si="26"/>
        <v>natural gas vehicle</v>
      </c>
      <c r="E471" t="s">
        <v>7</v>
      </c>
      <c r="F471" t="s">
        <v>30</v>
      </c>
      <c r="G471" t="s">
        <v>9</v>
      </c>
      <c r="H471" t="str">
        <f t="shared" si="27"/>
        <v>道路客车</v>
      </c>
      <c r="I471" t="str">
        <f t="shared" si="28"/>
        <v>Passenger HDV</v>
      </c>
      <c r="J471">
        <v>3668</v>
      </c>
    </row>
    <row r="472" spans="1:10" x14ac:dyDescent="0.2">
      <c r="A472">
        <v>471</v>
      </c>
      <c r="B472">
        <v>2016</v>
      </c>
      <c r="C472" t="s">
        <v>16</v>
      </c>
      <c r="D472" t="str">
        <f t="shared" si="26"/>
        <v>natural gas vehicle</v>
      </c>
      <c r="E472" t="s">
        <v>7</v>
      </c>
      <c r="F472" t="s">
        <v>30</v>
      </c>
      <c r="G472" t="s">
        <v>9</v>
      </c>
      <c r="H472" t="str">
        <f t="shared" si="27"/>
        <v>道路客车</v>
      </c>
      <c r="I472" t="str">
        <f t="shared" si="28"/>
        <v>Passenger HDV</v>
      </c>
      <c r="J472">
        <v>1617</v>
      </c>
    </row>
    <row r="473" spans="1:10" x14ac:dyDescent="0.2">
      <c r="A473">
        <v>472</v>
      </c>
      <c r="B473">
        <v>2017</v>
      </c>
      <c r="C473" t="s">
        <v>16</v>
      </c>
      <c r="D473" t="str">
        <f t="shared" si="26"/>
        <v>natural gas vehicle</v>
      </c>
      <c r="E473" t="s">
        <v>7</v>
      </c>
      <c r="F473" t="s">
        <v>30</v>
      </c>
      <c r="G473" t="s">
        <v>9</v>
      </c>
      <c r="H473" t="str">
        <f t="shared" si="27"/>
        <v>道路客车</v>
      </c>
      <c r="I473" t="str">
        <f t="shared" si="28"/>
        <v>Passenger HDV</v>
      </c>
      <c r="J473">
        <v>1304</v>
      </c>
    </row>
    <row r="474" spans="1:10" x14ac:dyDescent="0.2">
      <c r="A474">
        <v>473</v>
      </c>
      <c r="B474">
        <v>2018</v>
      </c>
      <c r="C474" t="s">
        <v>16</v>
      </c>
      <c r="D474" t="str">
        <f t="shared" si="26"/>
        <v>natural gas vehicle</v>
      </c>
      <c r="E474" t="s">
        <v>7</v>
      </c>
      <c r="F474" t="s">
        <v>30</v>
      </c>
      <c r="G474" t="s">
        <v>9</v>
      </c>
      <c r="H474" t="str">
        <f t="shared" si="27"/>
        <v>道路客车</v>
      </c>
      <c r="I474" t="str">
        <f t="shared" si="28"/>
        <v>Passenger HDV</v>
      </c>
      <c r="J474">
        <v>973</v>
      </c>
    </row>
    <row r="475" spans="1:10" x14ac:dyDescent="0.2">
      <c r="A475">
        <v>474</v>
      </c>
      <c r="B475">
        <v>2019</v>
      </c>
      <c r="C475" t="s">
        <v>16</v>
      </c>
      <c r="D475" t="str">
        <f t="shared" si="26"/>
        <v>natural gas vehicle</v>
      </c>
      <c r="E475" t="s">
        <v>7</v>
      </c>
      <c r="F475" t="s">
        <v>30</v>
      </c>
      <c r="G475" t="s">
        <v>9</v>
      </c>
      <c r="H475" t="str">
        <f t="shared" si="27"/>
        <v>道路客车</v>
      </c>
      <c r="I475" t="str">
        <f t="shared" si="28"/>
        <v>Passenger HDV</v>
      </c>
      <c r="J475">
        <v>746</v>
      </c>
    </row>
    <row r="476" spans="1:10" x14ac:dyDescent="0.2">
      <c r="A476">
        <v>475</v>
      </c>
      <c r="B476">
        <v>2020</v>
      </c>
      <c r="C476" t="s">
        <v>16</v>
      </c>
      <c r="D476" t="str">
        <f t="shared" si="26"/>
        <v>natural gas vehicle</v>
      </c>
      <c r="E476" t="s">
        <v>7</v>
      </c>
      <c r="F476" t="s">
        <v>30</v>
      </c>
      <c r="G476" t="s">
        <v>9</v>
      </c>
      <c r="H476" t="str">
        <f t="shared" si="27"/>
        <v>道路客车</v>
      </c>
      <c r="I476" t="str">
        <f t="shared" si="28"/>
        <v>Passenger HDV</v>
      </c>
      <c r="J476">
        <v>385</v>
      </c>
    </row>
    <row r="477" spans="1:10" x14ac:dyDescent="0.2">
      <c r="A477">
        <v>476</v>
      </c>
      <c r="B477">
        <v>2021</v>
      </c>
      <c r="C477" t="s">
        <v>16</v>
      </c>
      <c r="D477" t="str">
        <f t="shared" si="26"/>
        <v>natural gas vehicle</v>
      </c>
      <c r="E477" t="s">
        <v>7</v>
      </c>
      <c r="F477" t="s">
        <v>30</v>
      </c>
      <c r="G477" t="s">
        <v>9</v>
      </c>
      <c r="H477" t="str">
        <f t="shared" si="27"/>
        <v>道路客车</v>
      </c>
      <c r="I477" t="str">
        <f t="shared" si="28"/>
        <v>Passenger HDV</v>
      </c>
      <c r="J477">
        <v>261</v>
      </c>
    </row>
    <row r="478" spans="1:10" x14ac:dyDescent="0.2">
      <c r="A478">
        <v>477</v>
      </c>
      <c r="B478">
        <v>2016</v>
      </c>
      <c r="C478" t="s">
        <v>10</v>
      </c>
      <c r="D478" t="str">
        <f t="shared" si="26"/>
        <v>diesel vehicle</v>
      </c>
      <c r="E478" t="s">
        <v>23</v>
      </c>
      <c r="F478" t="s">
        <v>30</v>
      </c>
      <c r="G478" t="s">
        <v>9</v>
      </c>
      <c r="H478" t="str">
        <f t="shared" si="27"/>
        <v>道路客车</v>
      </c>
      <c r="I478" t="str">
        <f t="shared" si="28"/>
        <v>Passenger LDV</v>
      </c>
      <c r="J478">
        <v>2</v>
      </c>
    </row>
    <row r="479" spans="1:10" x14ac:dyDescent="0.2">
      <c r="A479">
        <v>478</v>
      </c>
      <c r="B479">
        <v>2017</v>
      </c>
      <c r="C479" t="s">
        <v>10</v>
      </c>
      <c r="D479" t="str">
        <f t="shared" si="26"/>
        <v>diesel vehicle</v>
      </c>
      <c r="E479" t="s">
        <v>23</v>
      </c>
      <c r="F479" t="s">
        <v>30</v>
      </c>
      <c r="G479" t="s">
        <v>9</v>
      </c>
      <c r="H479" t="str">
        <f t="shared" si="27"/>
        <v>道路客车</v>
      </c>
      <c r="I479" t="str">
        <f t="shared" si="28"/>
        <v>Passenger LDV</v>
      </c>
      <c r="J479">
        <v>2</v>
      </c>
    </row>
    <row r="480" spans="1:10" x14ac:dyDescent="0.2">
      <c r="A480">
        <v>479</v>
      </c>
      <c r="B480">
        <v>2021</v>
      </c>
      <c r="C480" t="s">
        <v>10</v>
      </c>
      <c r="D480" t="str">
        <f t="shared" si="26"/>
        <v>diesel vehicle</v>
      </c>
      <c r="E480" t="s">
        <v>23</v>
      </c>
      <c r="F480" t="s">
        <v>30</v>
      </c>
      <c r="G480" t="s">
        <v>9</v>
      </c>
      <c r="H480" t="str">
        <f t="shared" si="27"/>
        <v>道路客车</v>
      </c>
      <c r="I480" t="str">
        <f t="shared" si="28"/>
        <v>Passenger LDV</v>
      </c>
      <c r="J480">
        <v>1</v>
      </c>
    </row>
    <row r="481" spans="1:10" x14ac:dyDescent="0.2">
      <c r="A481">
        <v>480</v>
      </c>
      <c r="B481">
        <v>2015</v>
      </c>
      <c r="C481" t="s">
        <v>13</v>
      </c>
      <c r="D481" t="str">
        <f t="shared" si="26"/>
        <v>gasoline vehicle</v>
      </c>
      <c r="E481" t="s">
        <v>23</v>
      </c>
      <c r="F481" t="s">
        <v>30</v>
      </c>
      <c r="G481" t="s">
        <v>9</v>
      </c>
      <c r="H481" t="str">
        <f t="shared" si="27"/>
        <v>道路客车</v>
      </c>
      <c r="I481" t="str">
        <f t="shared" si="28"/>
        <v>Passenger LDV</v>
      </c>
      <c r="J481">
        <v>2</v>
      </c>
    </row>
    <row r="482" spans="1:10" x14ac:dyDescent="0.2">
      <c r="A482">
        <v>481</v>
      </c>
      <c r="B482">
        <v>2015</v>
      </c>
      <c r="C482" t="s">
        <v>10</v>
      </c>
      <c r="D482" t="str">
        <f t="shared" si="26"/>
        <v>diesel vehicle</v>
      </c>
      <c r="E482" t="s">
        <v>17</v>
      </c>
      <c r="F482" t="s">
        <v>30</v>
      </c>
      <c r="G482" t="s">
        <v>9</v>
      </c>
      <c r="H482" t="str">
        <f t="shared" si="27"/>
        <v>道路客车</v>
      </c>
      <c r="I482" t="str">
        <f t="shared" si="28"/>
        <v>Unknown</v>
      </c>
      <c r="J482">
        <v>232</v>
      </c>
    </row>
    <row r="483" spans="1:10" x14ac:dyDescent="0.2">
      <c r="A483">
        <v>482</v>
      </c>
      <c r="B483">
        <v>2015</v>
      </c>
      <c r="C483" t="s">
        <v>13</v>
      </c>
      <c r="D483" t="str">
        <f t="shared" si="26"/>
        <v>gasoline vehicle</v>
      </c>
      <c r="E483" t="s">
        <v>17</v>
      </c>
      <c r="F483" t="s">
        <v>30</v>
      </c>
      <c r="G483" t="s">
        <v>9</v>
      </c>
      <c r="H483" t="str">
        <f t="shared" si="27"/>
        <v>道路客车</v>
      </c>
      <c r="I483" t="str">
        <f t="shared" si="28"/>
        <v>Unknown</v>
      </c>
      <c r="J483">
        <v>7424</v>
      </c>
    </row>
    <row r="484" spans="1:10" x14ac:dyDescent="0.2">
      <c r="A484">
        <v>483</v>
      </c>
      <c r="B484">
        <v>2015</v>
      </c>
      <c r="C484" t="s">
        <v>14</v>
      </c>
      <c r="D484" t="str">
        <f t="shared" si="26"/>
        <v>natural gas vehicle</v>
      </c>
      <c r="E484" t="s">
        <v>17</v>
      </c>
      <c r="F484" t="s">
        <v>30</v>
      </c>
      <c r="G484" t="s">
        <v>9</v>
      </c>
      <c r="H484" t="str">
        <f t="shared" si="27"/>
        <v>道路客车</v>
      </c>
      <c r="I484" t="str">
        <f t="shared" si="28"/>
        <v>Unknown</v>
      </c>
      <c r="J484">
        <v>138</v>
      </c>
    </row>
    <row r="485" spans="1:10" x14ac:dyDescent="0.2">
      <c r="A485">
        <v>484</v>
      </c>
      <c r="B485">
        <v>2015</v>
      </c>
      <c r="C485" t="s">
        <v>10</v>
      </c>
      <c r="D485" t="str">
        <f t="shared" si="26"/>
        <v>diesel vehicle</v>
      </c>
      <c r="E485" t="s">
        <v>18</v>
      </c>
      <c r="F485" t="s">
        <v>30</v>
      </c>
      <c r="G485" t="s">
        <v>9</v>
      </c>
      <c r="H485" t="str">
        <f t="shared" si="27"/>
        <v>道路客车</v>
      </c>
      <c r="I485" t="str">
        <f t="shared" si="28"/>
        <v>Passenger LDV</v>
      </c>
      <c r="J485">
        <v>32</v>
      </c>
    </row>
    <row r="486" spans="1:10" x14ac:dyDescent="0.2">
      <c r="A486">
        <v>485</v>
      </c>
      <c r="B486">
        <v>2016</v>
      </c>
      <c r="C486" t="s">
        <v>10</v>
      </c>
      <c r="D486" t="str">
        <f t="shared" si="26"/>
        <v>diesel vehicle</v>
      </c>
      <c r="E486" t="s">
        <v>18</v>
      </c>
      <c r="F486" t="s">
        <v>30</v>
      </c>
      <c r="G486" t="s">
        <v>9</v>
      </c>
      <c r="H486" t="str">
        <f t="shared" si="27"/>
        <v>道路客车</v>
      </c>
      <c r="I486" t="str">
        <f t="shared" si="28"/>
        <v>Passenger LDV</v>
      </c>
      <c r="J486">
        <v>303</v>
      </c>
    </row>
    <row r="487" spans="1:10" x14ac:dyDescent="0.2">
      <c r="A487">
        <v>486</v>
      </c>
      <c r="B487">
        <v>2017</v>
      </c>
      <c r="C487" t="s">
        <v>10</v>
      </c>
      <c r="D487" t="str">
        <f t="shared" si="26"/>
        <v>diesel vehicle</v>
      </c>
      <c r="E487" t="s">
        <v>18</v>
      </c>
      <c r="F487" t="s">
        <v>30</v>
      </c>
      <c r="G487" t="s">
        <v>9</v>
      </c>
      <c r="H487" t="str">
        <f t="shared" si="27"/>
        <v>道路客车</v>
      </c>
      <c r="I487" t="str">
        <f t="shared" si="28"/>
        <v>Passenger LDV</v>
      </c>
      <c r="J487">
        <v>1114</v>
      </c>
    </row>
    <row r="488" spans="1:10" x14ac:dyDescent="0.2">
      <c r="A488">
        <v>487</v>
      </c>
      <c r="B488">
        <v>2018</v>
      </c>
      <c r="C488" t="s">
        <v>10</v>
      </c>
      <c r="D488" t="str">
        <f t="shared" si="26"/>
        <v>diesel vehicle</v>
      </c>
      <c r="E488" t="s">
        <v>18</v>
      </c>
      <c r="F488" t="s">
        <v>30</v>
      </c>
      <c r="G488" t="s">
        <v>9</v>
      </c>
      <c r="H488" t="str">
        <f t="shared" si="27"/>
        <v>道路客车</v>
      </c>
      <c r="I488" t="str">
        <f t="shared" si="28"/>
        <v>Passenger LDV</v>
      </c>
      <c r="J488">
        <v>2906</v>
      </c>
    </row>
    <row r="489" spans="1:10" x14ac:dyDescent="0.2">
      <c r="A489">
        <v>488</v>
      </c>
      <c r="B489">
        <v>2019</v>
      </c>
      <c r="C489" t="s">
        <v>10</v>
      </c>
      <c r="D489" t="str">
        <f t="shared" si="26"/>
        <v>diesel vehicle</v>
      </c>
      <c r="E489" t="s">
        <v>18</v>
      </c>
      <c r="F489" t="s">
        <v>30</v>
      </c>
      <c r="G489" t="s">
        <v>9</v>
      </c>
      <c r="H489" t="str">
        <f t="shared" si="27"/>
        <v>道路客车</v>
      </c>
      <c r="I489" t="str">
        <f t="shared" si="28"/>
        <v>Passenger LDV</v>
      </c>
      <c r="J489">
        <v>595</v>
      </c>
    </row>
    <row r="490" spans="1:10" x14ac:dyDescent="0.2">
      <c r="A490">
        <v>489</v>
      </c>
      <c r="B490">
        <v>2020</v>
      </c>
      <c r="C490" t="s">
        <v>10</v>
      </c>
      <c r="D490" t="str">
        <f t="shared" si="26"/>
        <v>diesel vehicle</v>
      </c>
      <c r="E490" t="s">
        <v>18</v>
      </c>
      <c r="F490" t="s">
        <v>30</v>
      </c>
      <c r="G490" t="s">
        <v>9</v>
      </c>
      <c r="H490" t="str">
        <f t="shared" si="27"/>
        <v>道路客车</v>
      </c>
      <c r="I490" t="str">
        <f t="shared" si="28"/>
        <v>Passenger LDV</v>
      </c>
      <c r="J490">
        <v>5700</v>
      </c>
    </row>
    <row r="491" spans="1:10" x14ac:dyDescent="0.2">
      <c r="A491">
        <v>490</v>
      </c>
      <c r="B491">
        <v>2021</v>
      </c>
      <c r="C491" t="s">
        <v>10</v>
      </c>
      <c r="D491" t="str">
        <f t="shared" si="26"/>
        <v>diesel vehicle</v>
      </c>
      <c r="E491" t="s">
        <v>18</v>
      </c>
      <c r="F491" t="s">
        <v>30</v>
      </c>
      <c r="G491" t="s">
        <v>9</v>
      </c>
      <c r="H491" t="str">
        <f t="shared" si="27"/>
        <v>道路客车</v>
      </c>
      <c r="I491" t="str">
        <f t="shared" si="28"/>
        <v>Passenger LDV</v>
      </c>
      <c r="J491">
        <v>5033</v>
      </c>
    </row>
    <row r="492" spans="1:10" x14ac:dyDescent="0.2">
      <c r="A492">
        <v>491</v>
      </c>
      <c r="B492">
        <v>2019</v>
      </c>
      <c r="C492" t="s">
        <v>11</v>
      </c>
      <c r="D492" t="str">
        <f t="shared" si="26"/>
        <v>battery electric vehicle</v>
      </c>
      <c r="E492" t="s">
        <v>18</v>
      </c>
      <c r="F492" t="s">
        <v>30</v>
      </c>
      <c r="G492" t="s">
        <v>9</v>
      </c>
      <c r="H492" t="str">
        <f t="shared" si="27"/>
        <v>道路客车</v>
      </c>
      <c r="I492" t="str">
        <f t="shared" si="28"/>
        <v>Passenger LDV</v>
      </c>
      <c r="J492">
        <v>14</v>
      </c>
    </row>
    <row r="493" spans="1:10" x14ac:dyDescent="0.2">
      <c r="A493">
        <v>492</v>
      </c>
      <c r="B493">
        <v>2020</v>
      </c>
      <c r="C493" t="s">
        <v>11</v>
      </c>
      <c r="D493" t="str">
        <f t="shared" si="26"/>
        <v>battery electric vehicle</v>
      </c>
      <c r="E493" t="s">
        <v>18</v>
      </c>
      <c r="F493" t="s">
        <v>30</v>
      </c>
      <c r="G493" t="s">
        <v>9</v>
      </c>
      <c r="H493" t="str">
        <f t="shared" si="27"/>
        <v>道路客车</v>
      </c>
      <c r="I493" t="str">
        <f t="shared" si="28"/>
        <v>Passenger LDV</v>
      </c>
      <c r="J493">
        <v>42</v>
      </c>
    </row>
    <row r="494" spans="1:10" x14ac:dyDescent="0.2">
      <c r="A494">
        <v>493</v>
      </c>
      <c r="B494">
        <v>2021</v>
      </c>
      <c r="C494" t="s">
        <v>11</v>
      </c>
      <c r="D494" t="str">
        <f t="shared" si="26"/>
        <v>battery electric vehicle</v>
      </c>
      <c r="E494" t="s">
        <v>18</v>
      </c>
      <c r="F494" t="s">
        <v>30</v>
      </c>
      <c r="G494" t="s">
        <v>9</v>
      </c>
      <c r="H494" t="str">
        <f t="shared" si="27"/>
        <v>道路客车</v>
      </c>
      <c r="I494" t="str">
        <f t="shared" si="28"/>
        <v>Passenger LDV</v>
      </c>
      <c r="J494">
        <v>40</v>
      </c>
    </row>
    <row r="495" spans="1:10" x14ac:dyDescent="0.2">
      <c r="A495">
        <v>494</v>
      </c>
      <c r="B495">
        <v>2015</v>
      </c>
      <c r="C495" t="s">
        <v>13</v>
      </c>
      <c r="D495" t="str">
        <f t="shared" si="26"/>
        <v>gasoline vehicle</v>
      </c>
      <c r="E495" t="s">
        <v>18</v>
      </c>
      <c r="F495" t="s">
        <v>30</v>
      </c>
      <c r="G495" t="s">
        <v>9</v>
      </c>
      <c r="H495" t="str">
        <f t="shared" si="27"/>
        <v>道路客车</v>
      </c>
      <c r="I495" t="str">
        <f t="shared" si="28"/>
        <v>Passenger LDV</v>
      </c>
      <c r="J495">
        <v>15</v>
      </c>
    </row>
    <row r="496" spans="1:10" x14ac:dyDescent="0.2">
      <c r="A496">
        <v>495</v>
      </c>
      <c r="B496">
        <v>2016</v>
      </c>
      <c r="C496" t="s">
        <v>13</v>
      </c>
      <c r="D496" t="str">
        <f t="shared" si="26"/>
        <v>gasoline vehicle</v>
      </c>
      <c r="E496" t="s">
        <v>18</v>
      </c>
      <c r="F496" t="s">
        <v>30</v>
      </c>
      <c r="G496" t="s">
        <v>9</v>
      </c>
      <c r="H496" t="str">
        <f t="shared" si="27"/>
        <v>道路客车</v>
      </c>
      <c r="I496" t="str">
        <f t="shared" si="28"/>
        <v>Passenger LDV</v>
      </c>
      <c r="J496">
        <v>687</v>
      </c>
    </row>
    <row r="497" spans="1:10" x14ac:dyDescent="0.2">
      <c r="A497">
        <v>496</v>
      </c>
      <c r="B497">
        <v>2017</v>
      </c>
      <c r="C497" t="s">
        <v>13</v>
      </c>
      <c r="D497" t="str">
        <f t="shared" si="26"/>
        <v>gasoline vehicle</v>
      </c>
      <c r="E497" t="s">
        <v>18</v>
      </c>
      <c r="F497" t="s">
        <v>30</v>
      </c>
      <c r="G497" t="s">
        <v>9</v>
      </c>
      <c r="H497" t="str">
        <f t="shared" si="27"/>
        <v>道路客车</v>
      </c>
      <c r="I497" t="str">
        <f t="shared" si="28"/>
        <v>Passenger LDV</v>
      </c>
      <c r="J497">
        <v>1461</v>
      </c>
    </row>
    <row r="498" spans="1:10" x14ac:dyDescent="0.2">
      <c r="A498">
        <v>497</v>
      </c>
      <c r="B498">
        <v>2018</v>
      </c>
      <c r="C498" t="s">
        <v>13</v>
      </c>
      <c r="D498" t="str">
        <f t="shared" si="26"/>
        <v>gasoline vehicle</v>
      </c>
      <c r="E498" t="s">
        <v>18</v>
      </c>
      <c r="F498" t="s">
        <v>30</v>
      </c>
      <c r="G498" t="s">
        <v>9</v>
      </c>
      <c r="H498" t="str">
        <f t="shared" si="27"/>
        <v>道路客车</v>
      </c>
      <c r="I498" t="str">
        <f t="shared" si="28"/>
        <v>Passenger LDV</v>
      </c>
      <c r="J498">
        <v>1261</v>
      </c>
    </row>
    <row r="499" spans="1:10" x14ac:dyDescent="0.2">
      <c r="A499">
        <v>498</v>
      </c>
      <c r="B499">
        <v>2019</v>
      </c>
      <c r="C499" t="s">
        <v>13</v>
      </c>
      <c r="D499" t="str">
        <f t="shared" si="26"/>
        <v>gasoline vehicle</v>
      </c>
      <c r="E499" t="s">
        <v>18</v>
      </c>
      <c r="F499" t="s">
        <v>30</v>
      </c>
      <c r="G499" t="s">
        <v>9</v>
      </c>
      <c r="H499" t="str">
        <f t="shared" si="27"/>
        <v>道路客车</v>
      </c>
      <c r="I499" t="str">
        <f t="shared" si="28"/>
        <v>Passenger LDV</v>
      </c>
      <c r="J499">
        <v>1100</v>
      </c>
    </row>
    <row r="500" spans="1:10" x14ac:dyDescent="0.2">
      <c r="A500">
        <v>499</v>
      </c>
      <c r="B500">
        <v>2020</v>
      </c>
      <c r="C500" t="s">
        <v>13</v>
      </c>
      <c r="D500" t="str">
        <f t="shared" si="26"/>
        <v>gasoline vehicle</v>
      </c>
      <c r="E500" t="s">
        <v>18</v>
      </c>
      <c r="F500" t="s">
        <v>30</v>
      </c>
      <c r="G500" t="s">
        <v>9</v>
      </c>
      <c r="H500" t="str">
        <f t="shared" si="27"/>
        <v>道路客车</v>
      </c>
      <c r="I500" t="str">
        <f t="shared" si="28"/>
        <v>Passenger LDV</v>
      </c>
      <c r="J500">
        <v>1131</v>
      </c>
    </row>
    <row r="501" spans="1:10" x14ac:dyDescent="0.2">
      <c r="A501">
        <v>500</v>
      </c>
      <c r="B501">
        <v>2021</v>
      </c>
      <c r="C501" t="s">
        <v>13</v>
      </c>
      <c r="D501" t="str">
        <f t="shared" si="26"/>
        <v>gasoline vehicle</v>
      </c>
      <c r="E501" t="s">
        <v>18</v>
      </c>
      <c r="F501" t="s">
        <v>30</v>
      </c>
      <c r="G501" t="s">
        <v>9</v>
      </c>
      <c r="H501" t="str">
        <f t="shared" si="27"/>
        <v>道路客车</v>
      </c>
      <c r="I501" t="str">
        <f t="shared" si="28"/>
        <v>Passenger LDV</v>
      </c>
      <c r="J501">
        <v>569</v>
      </c>
    </row>
    <row r="502" spans="1:10" x14ac:dyDescent="0.2">
      <c r="A502">
        <v>501</v>
      </c>
      <c r="B502">
        <v>2016</v>
      </c>
      <c r="C502" t="s">
        <v>14</v>
      </c>
      <c r="D502" t="str">
        <f t="shared" si="26"/>
        <v>natural gas vehicle</v>
      </c>
      <c r="E502" t="s">
        <v>18</v>
      </c>
      <c r="F502" t="s">
        <v>30</v>
      </c>
      <c r="G502" t="s">
        <v>9</v>
      </c>
      <c r="H502" t="str">
        <f t="shared" si="27"/>
        <v>道路客车</v>
      </c>
      <c r="I502" t="str">
        <f t="shared" si="28"/>
        <v>Passenger LDV</v>
      </c>
      <c r="J502">
        <v>24</v>
      </c>
    </row>
    <row r="503" spans="1:10" x14ac:dyDescent="0.2">
      <c r="A503">
        <v>502</v>
      </c>
      <c r="B503">
        <v>2017</v>
      </c>
      <c r="C503" t="s">
        <v>14</v>
      </c>
      <c r="D503" t="str">
        <f t="shared" si="26"/>
        <v>natural gas vehicle</v>
      </c>
      <c r="E503" t="s">
        <v>18</v>
      </c>
      <c r="F503" t="s">
        <v>30</v>
      </c>
      <c r="G503" t="s">
        <v>9</v>
      </c>
      <c r="H503" t="str">
        <f t="shared" si="27"/>
        <v>道路客车</v>
      </c>
      <c r="I503" t="str">
        <f t="shared" si="28"/>
        <v>Passenger LDV</v>
      </c>
      <c r="J503">
        <v>72</v>
      </c>
    </row>
    <row r="504" spans="1:10" x14ac:dyDescent="0.2">
      <c r="A504">
        <v>503</v>
      </c>
      <c r="B504">
        <v>2018</v>
      </c>
      <c r="C504" t="s">
        <v>14</v>
      </c>
      <c r="D504" t="str">
        <f t="shared" si="26"/>
        <v>natural gas vehicle</v>
      </c>
      <c r="E504" t="s">
        <v>18</v>
      </c>
      <c r="F504" t="s">
        <v>30</v>
      </c>
      <c r="G504" t="s">
        <v>9</v>
      </c>
      <c r="H504" t="str">
        <f t="shared" si="27"/>
        <v>道路客车</v>
      </c>
      <c r="I504" t="str">
        <f t="shared" si="28"/>
        <v>Passenger LDV</v>
      </c>
      <c r="J504">
        <v>67</v>
      </c>
    </row>
    <row r="505" spans="1:10" x14ac:dyDescent="0.2">
      <c r="A505">
        <v>504</v>
      </c>
      <c r="B505">
        <v>2019</v>
      </c>
      <c r="C505" t="s">
        <v>14</v>
      </c>
      <c r="D505" t="str">
        <f t="shared" si="26"/>
        <v>natural gas vehicle</v>
      </c>
      <c r="E505" t="s">
        <v>18</v>
      </c>
      <c r="F505" t="s">
        <v>30</v>
      </c>
      <c r="G505" t="s">
        <v>9</v>
      </c>
      <c r="H505" t="str">
        <f t="shared" si="27"/>
        <v>道路客车</v>
      </c>
      <c r="I505" t="str">
        <f t="shared" si="28"/>
        <v>Passenger LDV</v>
      </c>
      <c r="J505">
        <v>38</v>
      </c>
    </row>
    <row r="506" spans="1:10" x14ac:dyDescent="0.2">
      <c r="A506">
        <v>505</v>
      </c>
      <c r="B506">
        <v>2020</v>
      </c>
      <c r="C506" t="s">
        <v>14</v>
      </c>
      <c r="D506" t="str">
        <f t="shared" si="26"/>
        <v>natural gas vehicle</v>
      </c>
      <c r="E506" t="s">
        <v>18</v>
      </c>
      <c r="F506" t="s">
        <v>30</v>
      </c>
      <c r="G506" t="s">
        <v>9</v>
      </c>
      <c r="H506" t="str">
        <f t="shared" si="27"/>
        <v>道路客车</v>
      </c>
      <c r="I506" t="str">
        <f t="shared" si="28"/>
        <v>Passenger LDV</v>
      </c>
      <c r="J506">
        <v>10</v>
      </c>
    </row>
    <row r="507" spans="1:10" x14ac:dyDescent="0.2">
      <c r="A507">
        <v>506</v>
      </c>
      <c r="B507">
        <v>2016</v>
      </c>
      <c r="C507" t="s">
        <v>16</v>
      </c>
      <c r="D507" t="str">
        <f t="shared" si="26"/>
        <v>natural gas vehicle</v>
      </c>
      <c r="E507" t="s">
        <v>18</v>
      </c>
      <c r="F507" t="s">
        <v>30</v>
      </c>
      <c r="G507" t="s">
        <v>9</v>
      </c>
      <c r="H507" t="str">
        <f t="shared" si="27"/>
        <v>道路客车</v>
      </c>
      <c r="I507" t="str">
        <f t="shared" si="28"/>
        <v>Passenger LDV</v>
      </c>
      <c r="J507">
        <v>13</v>
      </c>
    </row>
    <row r="508" spans="1:10" x14ac:dyDescent="0.2">
      <c r="A508">
        <v>507</v>
      </c>
      <c r="B508">
        <v>2017</v>
      </c>
      <c r="C508" t="s">
        <v>16</v>
      </c>
      <c r="D508" t="str">
        <f t="shared" si="26"/>
        <v>natural gas vehicle</v>
      </c>
      <c r="E508" t="s">
        <v>18</v>
      </c>
      <c r="F508" t="s">
        <v>30</v>
      </c>
      <c r="G508" t="s">
        <v>9</v>
      </c>
      <c r="H508" t="str">
        <f t="shared" si="27"/>
        <v>道路客车</v>
      </c>
      <c r="I508" t="str">
        <f t="shared" si="28"/>
        <v>Passenger LDV</v>
      </c>
      <c r="J508">
        <v>12</v>
      </c>
    </row>
    <row r="509" spans="1:10" x14ac:dyDescent="0.2">
      <c r="A509">
        <v>508</v>
      </c>
      <c r="B509">
        <v>2018</v>
      </c>
      <c r="C509" t="s">
        <v>16</v>
      </c>
      <c r="D509" t="str">
        <f t="shared" si="26"/>
        <v>natural gas vehicle</v>
      </c>
      <c r="E509" t="s">
        <v>18</v>
      </c>
      <c r="F509" t="s">
        <v>30</v>
      </c>
      <c r="G509" t="s">
        <v>9</v>
      </c>
      <c r="H509" t="str">
        <f t="shared" si="27"/>
        <v>道路客车</v>
      </c>
      <c r="I509" t="str">
        <f t="shared" si="28"/>
        <v>Passenger LDV</v>
      </c>
      <c r="J509">
        <v>52</v>
      </c>
    </row>
    <row r="510" spans="1:10" x14ac:dyDescent="0.2">
      <c r="A510">
        <v>509</v>
      </c>
      <c r="B510">
        <v>2020</v>
      </c>
      <c r="C510" t="s">
        <v>16</v>
      </c>
      <c r="D510" t="str">
        <f t="shared" si="26"/>
        <v>natural gas vehicle</v>
      </c>
      <c r="E510" t="s">
        <v>18</v>
      </c>
      <c r="F510" t="s">
        <v>30</v>
      </c>
      <c r="G510" t="s">
        <v>9</v>
      </c>
      <c r="H510" t="str">
        <f t="shared" si="27"/>
        <v>道路客车</v>
      </c>
      <c r="I510" t="str">
        <f t="shared" si="28"/>
        <v>Passenger LDV</v>
      </c>
      <c r="J510">
        <v>8</v>
      </c>
    </row>
    <row r="511" spans="1:10" x14ac:dyDescent="0.2">
      <c r="A511">
        <v>510</v>
      </c>
      <c r="B511">
        <v>2017</v>
      </c>
      <c r="C511" t="s">
        <v>10</v>
      </c>
      <c r="D511" t="str">
        <f t="shared" si="26"/>
        <v>diesel vehicle</v>
      </c>
      <c r="E511" t="s">
        <v>19</v>
      </c>
      <c r="F511" t="s">
        <v>30</v>
      </c>
      <c r="G511" t="s">
        <v>9</v>
      </c>
      <c r="H511" t="str">
        <f t="shared" si="27"/>
        <v>道路客车</v>
      </c>
      <c r="I511" t="str">
        <f t="shared" si="28"/>
        <v>Passenger HDV</v>
      </c>
      <c r="J511">
        <v>29</v>
      </c>
    </row>
    <row r="512" spans="1:10" x14ac:dyDescent="0.2">
      <c r="A512">
        <v>511</v>
      </c>
      <c r="B512">
        <v>2017</v>
      </c>
      <c r="C512" t="s">
        <v>11</v>
      </c>
      <c r="D512" t="str">
        <f t="shared" si="26"/>
        <v>battery electric vehicle</v>
      </c>
      <c r="E512" t="s">
        <v>19</v>
      </c>
      <c r="F512" t="s">
        <v>30</v>
      </c>
      <c r="G512" t="s">
        <v>9</v>
      </c>
      <c r="H512" t="str">
        <f t="shared" si="27"/>
        <v>道路客车</v>
      </c>
      <c r="I512" t="str">
        <f t="shared" si="28"/>
        <v>Passenger HDV</v>
      </c>
      <c r="J512">
        <v>6</v>
      </c>
    </row>
    <row r="513" spans="1:10" x14ac:dyDescent="0.2">
      <c r="A513">
        <v>512</v>
      </c>
      <c r="B513">
        <v>2017</v>
      </c>
      <c r="C513" t="s">
        <v>16</v>
      </c>
      <c r="D513" t="str">
        <f t="shared" si="26"/>
        <v>natural gas vehicle</v>
      </c>
      <c r="E513" t="s">
        <v>19</v>
      </c>
      <c r="F513" t="s">
        <v>30</v>
      </c>
      <c r="G513" t="s">
        <v>9</v>
      </c>
      <c r="H513" t="str">
        <f t="shared" si="27"/>
        <v>道路客车</v>
      </c>
      <c r="I513" t="str">
        <f t="shared" si="28"/>
        <v>Passenger HDV</v>
      </c>
      <c r="J513">
        <v>2</v>
      </c>
    </row>
    <row r="514" spans="1:10" x14ac:dyDescent="0.2">
      <c r="A514">
        <v>513</v>
      </c>
      <c r="B514">
        <v>2015</v>
      </c>
      <c r="C514" t="s">
        <v>10</v>
      </c>
      <c r="D514" t="str">
        <f t="shared" ref="D514:D577" si="29">VLOOKUP(C514,M$3:N$16,2,FALSE)</f>
        <v>diesel vehicle</v>
      </c>
      <c r="E514" t="s">
        <v>20</v>
      </c>
      <c r="F514" t="s">
        <v>30</v>
      </c>
      <c r="G514" t="s">
        <v>9</v>
      </c>
      <c r="H514" t="str">
        <f t="shared" si="27"/>
        <v>道路客车</v>
      </c>
      <c r="I514" t="str">
        <f t="shared" si="28"/>
        <v>Passenger HDV</v>
      </c>
      <c r="J514">
        <v>15160</v>
      </c>
    </row>
    <row r="515" spans="1:10" x14ac:dyDescent="0.2">
      <c r="A515">
        <v>514</v>
      </c>
      <c r="B515">
        <v>2016</v>
      </c>
      <c r="C515" t="s">
        <v>10</v>
      </c>
      <c r="D515" t="str">
        <f t="shared" si="29"/>
        <v>diesel vehicle</v>
      </c>
      <c r="E515" t="s">
        <v>20</v>
      </c>
      <c r="F515" t="s">
        <v>30</v>
      </c>
      <c r="G515" t="s">
        <v>9</v>
      </c>
      <c r="H515" t="str">
        <f t="shared" ref="H515:H578" si="30">VLOOKUP(E515&amp;F515&amp;G515,$S$3:$U$68,2,FALSE)</f>
        <v>道路客车</v>
      </c>
      <c r="I515" t="str">
        <f t="shared" ref="I515:I578" si="31">VLOOKUP(E515&amp;F515&amp;G515,$S$3:$U$68,3,FALSE)</f>
        <v>Passenger HDV</v>
      </c>
      <c r="J515">
        <v>15083</v>
      </c>
    </row>
    <row r="516" spans="1:10" x14ac:dyDescent="0.2">
      <c r="A516">
        <v>515</v>
      </c>
      <c r="B516">
        <v>2017</v>
      </c>
      <c r="C516" t="s">
        <v>10</v>
      </c>
      <c r="D516" t="str">
        <f t="shared" si="29"/>
        <v>diesel vehicle</v>
      </c>
      <c r="E516" t="s">
        <v>20</v>
      </c>
      <c r="F516" t="s">
        <v>30</v>
      </c>
      <c r="G516" t="s">
        <v>9</v>
      </c>
      <c r="H516" t="str">
        <f t="shared" si="30"/>
        <v>道路客车</v>
      </c>
      <c r="I516" t="str">
        <f t="shared" si="31"/>
        <v>Passenger HDV</v>
      </c>
      <c r="J516">
        <v>9743</v>
      </c>
    </row>
    <row r="517" spans="1:10" x14ac:dyDescent="0.2">
      <c r="A517">
        <v>516</v>
      </c>
      <c r="B517">
        <v>2018</v>
      </c>
      <c r="C517" t="s">
        <v>10</v>
      </c>
      <c r="D517" t="str">
        <f t="shared" si="29"/>
        <v>diesel vehicle</v>
      </c>
      <c r="E517" t="s">
        <v>20</v>
      </c>
      <c r="F517" t="s">
        <v>30</v>
      </c>
      <c r="G517" t="s">
        <v>9</v>
      </c>
      <c r="H517" t="str">
        <f t="shared" si="30"/>
        <v>道路客车</v>
      </c>
      <c r="I517" t="str">
        <f t="shared" si="31"/>
        <v>Passenger HDV</v>
      </c>
      <c r="J517">
        <v>7579</v>
      </c>
    </row>
    <row r="518" spans="1:10" x14ac:dyDescent="0.2">
      <c r="A518">
        <v>517</v>
      </c>
      <c r="B518">
        <v>2019</v>
      </c>
      <c r="C518" t="s">
        <v>10</v>
      </c>
      <c r="D518" t="str">
        <f t="shared" si="29"/>
        <v>diesel vehicle</v>
      </c>
      <c r="E518" t="s">
        <v>20</v>
      </c>
      <c r="F518" t="s">
        <v>30</v>
      </c>
      <c r="G518" t="s">
        <v>9</v>
      </c>
      <c r="H518" t="str">
        <f t="shared" si="30"/>
        <v>道路客车</v>
      </c>
      <c r="I518" t="str">
        <f t="shared" si="31"/>
        <v>Passenger HDV</v>
      </c>
      <c r="J518">
        <v>8614</v>
      </c>
    </row>
    <row r="519" spans="1:10" x14ac:dyDescent="0.2">
      <c r="A519">
        <v>518</v>
      </c>
      <c r="B519">
        <v>2020</v>
      </c>
      <c r="C519" t="s">
        <v>10</v>
      </c>
      <c r="D519" t="str">
        <f t="shared" si="29"/>
        <v>diesel vehicle</v>
      </c>
      <c r="E519" t="s">
        <v>20</v>
      </c>
      <c r="F519" t="s">
        <v>30</v>
      </c>
      <c r="G519" t="s">
        <v>9</v>
      </c>
      <c r="H519" t="str">
        <f t="shared" si="30"/>
        <v>道路客车</v>
      </c>
      <c r="I519" t="str">
        <f t="shared" si="31"/>
        <v>Passenger HDV</v>
      </c>
      <c r="J519">
        <v>2894</v>
      </c>
    </row>
    <row r="520" spans="1:10" x14ac:dyDescent="0.2">
      <c r="A520">
        <v>519</v>
      </c>
      <c r="B520">
        <v>2021</v>
      </c>
      <c r="C520" t="s">
        <v>10</v>
      </c>
      <c r="D520" t="str">
        <f t="shared" si="29"/>
        <v>diesel vehicle</v>
      </c>
      <c r="E520" t="s">
        <v>20</v>
      </c>
      <c r="F520" t="s">
        <v>30</v>
      </c>
      <c r="G520" t="s">
        <v>9</v>
      </c>
      <c r="H520" t="str">
        <f t="shared" si="30"/>
        <v>道路客车</v>
      </c>
      <c r="I520" t="str">
        <f t="shared" si="31"/>
        <v>Passenger HDV</v>
      </c>
      <c r="J520">
        <v>4601</v>
      </c>
    </row>
    <row r="521" spans="1:10" x14ac:dyDescent="0.2">
      <c r="A521">
        <v>520</v>
      </c>
      <c r="B521">
        <v>2018</v>
      </c>
      <c r="C521" t="s">
        <v>11</v>
      </c>
      <c r="D521" t="str">
        <f t="shared" si="29"/>
        <v>battery electric vehicle</v>
      </c>
      <c r="E521" t="s">
        <v>20</v>
      </c>
      <c r="F521" t="s">
        <v>30</v>
      </c>
      <c r="G521" t="s">
        <v>9</v>
      </c>
      <c r="H521" t="str">
        <f t="shared" si="30"/>
        <v>道路客车</v>
      </c>
      <c r="I521" t="str">
        <f t="shared" si="31"/>
        <v>Passenger HDV</v>
      </c>
      <c r="J521">
        <v>1</v>
      </c>
    </row>
    <row r="522" spans="1:10" x14ac:dyDescent="0.2">
      <c r="A522">
        <v>521</v>
      </c>
      <c r="B522">
        <v>2019</v>
      </c>
      <c r="C522" t="s">
        <v>11</v>
      </c>
      <c r="D522" t="str">
        <f t="shared" si="29"/>
        <v>battery electric vehicle</v>
      </c>
      <c r="E522" t="s">
        <v>20</v>
      </c>
      <c r="F522" t="s">
        <v>30</v>
      </c>
      <c r="G522" t="s">
        <v>9</v>
      </c>
      <c r="H522" t="str">
        <f t="shared" si="30"/>
        <v>道路客车</v>
      </c>
      <c r="I522" t="str">
        <f t="shared" si="31"/>
        <v>Passenger HDV</v>
      </c>
      <c r="J522">
        <v>181</v>
      </c>
    </row>
    <row r="523" spans="1:10" x14ac:dyDescent="0.2">
      <c r="A523">
        <v>522</v>
      </c>
      <c r="B523">
        <v>2020</v>
      </c>
      <c r="C523" t="s">
        <v>11</v>
      </c>
      <c r="D523" t="str">
        <f t="shared" si="29"/>
        <v>battery electric vehicle</v>
      </c>
      <c r="E523" t="s">
        <v>20</v>
      </c>
      <c r="F523" t="s">
        <v>30</v>
      </c>
      <c r="G523" t="s">
        <v>9</v>
      </c>
      <c r="H523" t="str">
        <f t="shared" si="30"/>
        <v>道路客车</v>
      </c>
      <c r="I523" t="str">
        <f t="shared" si="31"/>
        <v>Passenger HDV</v>
      </c>
      <c r="J523">
        <v>52</v>
      </c>
    </row>
    <row r="524" spans="1:10" x14ac:dyDescent="0.2">
      <c r="A524">
        <v>523</v>
      </c>
      <c r="B524">
        <v>2021</v>
      </c>
      <c r="C524" t="s">
        <v>11</v>
      </c>
      <c r="D524" t="str">
        <f t="shared" si="29"/>
        <v>battery electric vehicle</v>
      </c>
      <c r="E524" t="s">
        <v>20</v>
      </c>
      <c r="F524" t="s">
        <v>30</v>
      </c>
      <c r="G524" t="s">
        <v>9</v>
      </c>
      <c r="H524" t="str">
        <f t="shared" si="30"/>
        <v>道路客车</v>
      </c>
      <c r="I524" t="str">
        <f t="shared" si="31"/>
        <v>Passenger HDV</v>
      </c>
      <c r="J524">
        <v>258</v>
      </c>
    </row>
    <row r="525" spans="1:10" x14ac:dyDescent="0.2">
      <c r="A525">
        <v>524</v>
      </c>
      <c r="B525">
        <v>2015</v>
      </c>
      <c r="C525" t="s">
        <v>13</v>
      </c>
      <c r="D525" t="str">
        <f t="shared" si="29"/>
        <v>gasoline vehicle</v>
      </c>
      <c r="E525" t="s">
        <v>20</v>
      </c>
      <c r="F525" t="s">
        <v>30</v>
      </c>
      <c r="G525" t="s">
        <v>9</v>
      </c>
      <c r="H525" t="str">
        <f t="shared" si="30"/>
        <v>道路客车</v>
      </c>
      <c r="I525" t="str">
        <f t="shared" si="31"/>
        <v>Passenger HDV</v>
      </c>
      <c r="J525">
        <v>929</v>
      </c>
    </row>
    <row r="526" spans="1:10" x14ac:dyDescent="0.2">
      <c r="A526">
        <v>525</v>
      </c>
      <c r="B526">
        <v>2016</v>
      </c>
      <c r="C526" t="s">
        <v>13</v>
      </c>
      <c r="D526" t="str">
        <f t="shared" si="29"/>
        <v>gasoline vehicle</v>
      </c>
      <c r="E526" t="s">
        <v>20</v>
      </c>
      <c r="F526" t="s">
        <v>30</v>
      </c>
      <c r="G526" t="s">
        <v>9</v>
      </c>
      <c r="H526" t="str">
        <f t="shared" si="30"/>
        <v>道路客车</v>
      </c>
      <c r="I526" t="str">
        <f t="shared" si="31"/>
        <v>Passenger HDV</v>
      </c>
      <c r="J526">
        <v>1040</v>
      </c>
    </row>
    <row r="527" spans="1:10" x14ac:dyDescent="0.2">
      <c r="A527">
        <v>526</v>
      </c>
      <c r="B527">
        <v>2017</v>
      </c>
      <c r="C527" t="s">
        <v>13</v>
      </c>
      <c r="D527" t="str">
        <f t="shared" si="29"/>
        <v>gasoline vehicle</v>
      </c>
      <c r="E527" t="s">
        <v>20</v>
      </c>
      <c r="F527" t="s">
        <v>30</v>
      </c>
      <c r="G527" t="s">
        <v>9</v>
      </c>
      <c r="H527" t="str">
        <f t="shared" si="30"/>
        <v>道路客车</v>
      </c>
      <c r="I527" t="str">
        <f t="shared" si="31"/>
        <v>Passenger HDV</v>
      </c>
      <c r="J527">
        <v>853</v>
      </c>
    </row>
    <row r="528" spans="1:10" x14ac:dyDescent="0.2">
      <c r="A528">
        <v>527</v>
      </c>
      <c r="B528">
        <v>2018</v>
      </c>
      <c r="C528" t="s">
        <v>13</v>
      </c>
      <c r="D528" t="str">
        <f t="shared" si="29"/>
        <v>gasoline vehicle</v>
      </c>
      <c r="E528" t="s">
        <v>20</v>
      </c>
      <c r="F528" t="s">
        <v>30</v>
      </c>
      <c r="G528" t="s">
        <v>9</v>
      </c>
      <c r="H528" t="str">
        <f t="shared" si="30"/>
        <v>道路客车</v>
      </c>
      <c r="I528" t="str">
        <f t="shared" si="31"/>
        <v>Passenger HDV</v>
      </c>
      <c r="J528">
        <v>374</v>
      </c>
    </row>
    <row r="529" spans="1:10" x14ac:dyDescent="0.2">
      <c r="A529">
        <v>528</v>
      </c>
      <c r="B529">
        <v>2019</v>
      </c>
      <c r="C529" t="s">
        <v>13</v>
      </c>
      <c r="D529" t="str">
        <f t="shared" si="29"/>
        <v>gasoline vehicle</v>
      </c>
      <c r="E529" t="s">
        <v>20</v>
      </c>
      <c r="F529" t="s">
        <v>30</v>
      </c>
      <c r="G529" t="s">
        <v>9</v>
      </c>
      <c r="H529" t="str">
        <f t="shared" si="30"/>
        <v>道路客车</v>
      </c>
      <c r="I529" t="str">
        <f t="shared" si="31"/>
        <v>Passenger HDV</v>
      </c>
      <c r="J529">
        <v>505</v>
      </c>
    </row>
    <row r="530" spans="1:10" x14ac:dyDescent="0.2">
      <c r="A530">
        <v>529</v>
      </c>
      <c r="B530">
        <v>2020</v>
      </c>
      <c r="C530" t="s">
        <v>13</v>
      </c>
      <c r="D530" t="str">
        <f t="shared" si="29"/>
        <v>gasoline vehicle</v>
      </c>
      <c r="E530" t="s">
        <v>20</v>
      </c>
      <c r="F530" t="s">
        <v>30</v>
      </c>
      <c r="G530" t="s">
        <v>9</v>
      </c>
      <c r="H530" t="str">
        <f t="shared" si="30"/>
        <v>道路客车</v>
      </c>
      <c r="I530" t="str">
        <f t="shared" si="31"/>
        <v>Passenger HDV</v>
      </c>
      <c r="J530">
        <v>159</v>
      </c>
    </row>
    <row r="531" spans="1:10" x14ac:dyDescent="0.2">
      <c r="A531">
        <v>530</v>
      </c>
      <c r="B531">
        <v>2021</v>
      </c>
      <c r="C531" t="s">
        <v>13</v>
      </c>
      <c r="D531" t="str">
        <f t="shared" si="29"/>
        <v>gasoline vehicle</v>
      </c>
      <c r="E531" t="s">
        <v>20</v>
      </c>
      <c r="F531" t="s">
        <v>30</v>
      </c>
      <c r="G531" t="s">
        <v>9</v>
      </c>
      <c r="H531" t="str">
        <f t="shared" si="30"/>
        <v>道路客车</v>
      </c>
      <c r="I531" t="str">
        <f t="shared" si="31"/>
        <v>Passenger HDV</v>
      </c>
      <c r="J531">
        <v>358</v>
      </c>
    </row>
    <row r="532" spans="1:10" x14ac:dyDescent="0.2">
      <c r="A532">
        <v>531</v>
      </c>
      <c r="B532">
        <v>2015</v>
      </c>
      <c r="C532" t="s">
        <v>14</v>
      </c>
      <c r="D532" t="str">
        <f t="shared" si="29"/>
        <v>natural gas vehicle</v>
      </c>
      <c r="E532" t="s">
        <v>20</v>
      </c>
      <c r="F532" t="s">
        <v>30</v>
      </c>
      <c r="G532" t="s">
        <v>9</v>
      </c>
      <c r="H532" t="str">
        <f t="shared" si="30"/>
        <v>道路客车</v>
      </c>
      <c r="I532" t="str">
        <f t="shared" si="31"/>
        <v>Passenger HDV</v>
      </c>
      <c r="J532">
        <v>316</v>
      </c>
    </row>
    <row r="533" spans="1:10" x14ac:dyDescent="0.2">
      <c r="A533">
        <v>532</v>
      </c>
      <c r="B533">
        <v>2016</v>
      </c>
      <c r="C533" t="s">
        <v>14</v>
      </c>
      <c r="D533" t="str">
        <f t="shared" si="29"/>
        <v>natural gas vehicle</v>
      </c>
      <c r="E533" t="s">
        <v>20</v>
      </c>
      <c r="F533" t="s">
        <v>30</v>
      </c>
      <c r="G533" t="s">
        <v>9</v>
      </c>
      <c r="H533" t="str">
        <f t="shared" si="30"/>
        <v>道路客车</v>
      </c>
      <c r="I533" t="str">
        <f t="shared" si="31"/>
        <v>Passenger HDV</v>
      </c>
      <c r="J533">
        <v>61</v>
      </c>
    </row>
    <row r="534" spans="1:10" x14ac:dyDescent="0.2">
      <c r="A534">
        <v>533</v>
      </c>
      <c r="B534">
        <v>2021</v>
      </c>
      <c r="C534" t="s">
        <v>14</v>
      </c>
      <c r="D534" t="str">
        <f t="shared" si="29"/>
        <v>natural gas vehicle</v>
      </c>
      <c r="E534" t="s">
        <v>20</v>
      </c>
      <c r="F534" t="s">
        <v>30</v>
      </c>
      <c r="G534" t="s">
        <v>9</v>
      </c>
      <c r="H534" t="str">
        <f t="shared" si="30"/>
        <v>道路客车</v>
      </c>
      <c r="I534" t="str">
        <f t="shared" si="31"/>
        <v>Passenger HDV</v>
      </c>
      <c r="J534">
        <v>1</v>
      </c>
    </row>
    <row r="535" spans="1:10" x14ac:dyDescent="0.2">
      <c r="A535">
        <v>534</v>
      </c>
      <c r="B535">
        <v>2015</v>
      </c>
      <c r="C535" t="s">
        <v>16</v>
      </c>
      <c r="D535" t="str">
        <f t="shared" si="29"/>
        <v>natural gas vehicle</v>
      </c>
      <c r="E535" t="s">
        <v>20</v>
      </c>
      <c r="F535" t="s">
        <v>30</v>
      </c>
      <c r="G535" t="s">
        <v>9</v>
      </c>
      <c r="H535" t="str">
        <f t="shared" si="30"/>
        <v>道路客车</v>
      </c>
      <c r="I535" t="str">
        <f t="shared" si="31"/>
        <v>Passenger HDV</v>
      </c>
      <c r="J535">
        <v>195</v>
      </c>
    </row>
    <row r="536" spans="1:10" x14ac:dyDescent="0.2">
      <c r="A536">
        <v>535</v>
      </c>
      <c r="B536">
        <v>2016</v>
      </c>
      <c r="C536" t="s">
        <v>16</v>
      </c>
      <c r="D536" t="str">
        <f t="shared" si="29"/>
        <v>natural gas vehicle</v>
      </c>
      <c r="E536" t="s">
        <v>20</v>
      </c>
      <c r="F536" t="s">
        <v>30</v>
      </c>
      <c r="G536" t="s">
        <v>9</v>
      </c>
      <c r="H536" t="str">
        <f t="shared" si="30"/>
        <v>道路客车</v>
      </c>
      <c r="I536" t="str">
        <f t="shared" si="31"/>
        <v>Passenger HDV</v>
      </c>
      <c r="J536">
        <v>250</v>
      </c>
    </row>
    <row r="537" spans="1:10" x14ac:dyDescent="0.2">
      <c r="A537">
        <v>536</v>
      </c>
      <c r="B537">
        <v>2017</v>
      </c>
      <c r="C537" t="s">
        <v>16</v>
      </c>
      <c r="D537" t="str">
        <f t="shared" si="29"/>
        <v>natural gas vehicle</v>
      </c>
      <c r="E537" t="s">
        <v>20</v>
      </c>
      <c r="F537" t="s">
        <v>30</v>
      </c>
      <c r="G537" t="s">
        <v>9</v>
      </c>
      <c r="H537" t="str">
        <f t="shared" si="30"/>
        <v>道路客车</v>
      </c>
      <c r="I537" t="str">
        <f t="shared" si="31"/>
        <v>Passenger HDV</v>
      </c>
      <c r="J537">
        <v>144</v>
      </c>
    </row>
    <row r="538" spans="1:10" x14ac:dyDescent="0.2">
      <c r="A538">
        <v>537</v>
      </c>
      <c r="B538">
        <v>2018</v>
      </c>
      <c r="C538" t="s">
        <v>16</v>
      </c>
      <c r="D538" t="str">
        <f t="shared" si="29"/>
        <v>natural gas vehicle</v>
      </c>
      <c r="E538" t="s">
        <v>20</v>
      </c>
      <c r="F538" t="s">
        <v>30</v>
      </c>
      <c r="G538" t="s">
        <v>9</v>
      </c>
      <c r="H538" t="str">
        <f t="shared" si="30"/>
        <v>道路客车</v>
      </c>
      <c r="I538" t="str">
        <f t="shared" si="31"/>
        <v>Passenger HDV</v>
      </c>
      <c r="J538">
        <v>57</v>
      </c>
    </row>
    <row r="539" spans="1:10" x14ac:dyDescent="0.2">
      <c r="A539">
        <v>538</v>
      </c>
      <c r="B539">
        <v>2019</v>
      </c>
      <c r="C539" t="s">
        <v>16</v>
      </c>
      <c r="D539" t="str">
        <f t="shared" si="29"/>
        <v>natural gas vehicle</v>
      </c>
      <c r="E539" t="s">
        <v>20</v>
      </c>
      <c r="F539" t="s">
        <v>30</v>
      </c>
      <c r="G539" t="s">
        <v>9</v>
      </c>
      <c r="H539" t="str">
        <f t="shared" si="30"/>
        <v>道路客车</v>
      </c>
      <c r="I539" t="str">
        <f t="shared" si="31"/>
        <v>Passenger HDV</v>
      </c>
      <c r="J539">
        <v>82</v>
      </c>
    </row>
    <row r="540" spans="1:10" x14ac:dyDescent="0.2">
      <c r="A540">
        <v>539</v>
      </c>
      <c r="B540">
        <v>2020</v>
      </c>
      <c r="C540" t="s">
        <v>16</v>
      </c>
      <c r="D540" t="str">
        <f t="shared" si="29"/>
        <v>natural gas vehicle</v>
      </c>
      <c r="E540" t="s">
        <v>20</v>
      </c>
      <c r="F540" t="s">
        <v>30</v>
      </c>
      <c r="G540" t="s">
        <v>9</v>
      </c>
      <c r="H540" t="str">
        <f t="shared" si="30"/>
        <v>道路客车</v>
      </c>
      <c r="I540" t="str">
        <f t="shared" si="31"/>
        <v>Passenger HDV</v>
      </c>
      <c r="J540">
        <v>4</v>
      </c>
    </row>
    <row r="541" spans="1:10" x14ac:dyDescent="0.2">
      <c r="A541">
        <v>540</v>
      </c>
      <c r="B541">
        <v>2021</v>
      </c>
      <c r="C541" t="s">
        <v>16</v>
      </c>
      <c r="D541" t="str">
        <f t="shared" si="29"/>
        <v>natural gas vehicle</v>
      </c>
      <c r="E541" t="s">
        <v>20</v>
      </c>
      <c r="F541" t="s">
        <v>30</v>
      </c>
      <c r="G541" t="s">
        <v>9</v>
      </c>
      <c r="H541" t="str">
        <f t="shared" si="30"/>
        <v>道路客车</v>
      </c>
      <c r="I541" t="str">
        <f t="shared" si="31"/>
        <v>Passenger HDV</v>
      </c>
      <c r="J541">
        <v>16</v>
      </c>
    </row>
    <row r="542" spans="1:10" x14ac:dyDescent="0.2">
      <c r="A542">
        <v>541</v>
      </c>
      <c r="B542">
        <v>2017</v>
      </c>
      <c r="C542" t="s">
        <v>10</v>
      </c>
      <c r="D542" t="str">
        <f t="shared" si="29"/>
        <v>diesel vehicle</v>
      </c>
      <c r="E542" t="s">
        <v>21</v>
      </c>
      <c r="F542" t="s">
        <v>30</v>
      </c>
      <c r="G542" t="s">
        <v>9</v>
      </c>
      <c r="H542" t="str">
        <f t="shared" si="30"/>
        <v>道路客车</v>
      </c>
      <c r="I542" t="str">
        <f t="shared" si="31"/>
        <v>Passenger HDV</v>
      </c>
      <c r="J542">
        <v>51</v>
      </c>
    </row>
    <row r="543" spans="1:10" x14ac:dyDescent="0.2">
      <c r="A543">
        <v>542</v>
      </c>
      <c r="B543">
        <v>2017</v>
      </c>
      <c r="C543" t="s">
        <v>16</v>
      </c>
      <c r="D543" t="str">
        <f t="shared" si="29"/>
        <v>natural gas vehicle</v>
      </c>
      <c r="E543" t="s">
        <v>21</v>
      </c>
      <c r="F543" t="s">
        <v>30</v>
      </c>
      <c r="G543" t="s">
        <v>9</v>
      </c>
      <c r="H543" t="str">
        <f t="shared" si="30"/>
        <v>道路客车</v>
      </c>
      <c r="I543" t="str">
        <f t="shared" si="31"/>
        <v>Passenger HDV</v>
      </c>
      <c r="J543">
        <v>30</v>
      </c>
    </row>
    <row r="544" spans="1:10" x14ac:dyDescent="0.2">
      <c r="A544">
        <v>543</v>
      </c>
      <c r="B544">
        <v>2016</v>
      </c>
      <c r="C544" t="s">
        <v>10</v>
      </c>
      <c r="D544" t="str">
        <f t="shared" si="29"/>
        <v>diesel vehicle</v>
      </c>
      <c r="E544" t="s">
        <v>7</v>
      </c>
      <c r="F544" t="s">
        <v>17</v>
      </c>
      <c r="G544" t="s">
        <v>9</v>
      </c>
      <c r="H544" t="str">
        <f t="shared" si="30"/>
        <v>道路客车</v>
      </c>
      <c r="I544" t="str">
        <f t="shared" si="31"/>
        <v>Passenger HDV</v>
      </c>
      <c r="J544">
        <v>1347</v>
      </c>
    </row>
    <row r="545" spans="1:10" x14ac:dyDescent="0.2">
      <c r="A545">
        <v>544</v>
      </c>
      <c r="B545">
        <v>2017</v>
      </c>
      <c r="C545" t="s">
        <v>10</v>
      </c>
      <c r="D545" t="str">
        <f t="shared" si="29"/>
        <v>diesel vehicle</v>
      </c>
      <c r="E545" t="s">
        <v>7</v>
      </c>
      <c r="F545" t="s">
        <v>17</v>
      </c>
      <c r="G545" t="s">
        <v>9</v>
      </c>
      <c r="H545" t="str">
        <f t="shared" si="30"/>
        <v>道路客车</v>
      </c>
      <c r="I545" t="str">
        <f t="shared" si="31"/>
        <v>Passenger HDV</v>
      </c>
      <c r="J545">
        <v>1157</v>
      </c>
    </row>
    <row r="546" spans="1:10" x14ac:dyDescent="0.2">
      <c r="A546">
        <v>545</v>
      </c>
      <c r="B546">
        <v>2018</v>
      </c>
      <c r="C546" t="s">
        <v>10</v>
      </c>
      <c r="D546" t="str">
        <f t="shared" si="29"/>
        <v>diesel vehicle</v>
      </c>
      <c r="E546" t="s">
        <v>7</v>
      </c>
      <c r="F546" t="s">
        <v>17</v>
      </c>
      <c r="G546" t="s">
        <v>9</v>
      </c>
      <c r="H546" t="str">
        <f t="shared" si="30"/>
        <v>道路客车</v>
      </c>
      <c r="I546" t="str">
        <f t="shared" si="31"/>
        <v>Passenger HDV</v>
      </c>
      <c r="J546">
        <v>1353</v>
      </c>
    </row>
    <row r="547" spans="1:10" x14ac:dyDescent="0.2">
      <c r="A547">
        <v>546</v>
      </c>
      <c r="B547">
        <v>2019</v>
      </c>
      <c r="C547" t="s">
        <v>10</v>
      </c>
      <c r="D547" t="str">
        <f t="shared" si="29"/>
        <v>diesel vehicle</v>
      </c>
      <c r="E547" t="s">
        <v>7</v>
      </c>
      <c r="F547" t="s">
        <v>17</v>
      </c>
      <c r="G547" t="s">
        <v>9</v>
      </c>
      <c r="H547" t="str">
        <f t="shared" si="30"/>
        <v>道路客车</v>
      </c>
      <c r="I547" t="str">
        <f t="shared" si="31"/>
        <v>Passenger HDV</v>
      </c>
      <c r="J547">
        <v>943</v>
      </c>
    </row>
    <row r="548" spans="1:10" x14ac:dyDescent="0.2">
      <c r="A548">
        <v>547</v>
      </c>
      <c r="B548">
        <v>2020</v>
      </c>
      <c r="C548" t="s">
        <v>10</v>
      </c>
      <c r="D548" t="str">
        <f t="shared" si="29"/>
        <v>diesel vehicle</v>
      </c>
      <c r="E548" t="s">
        <v>7</v>
      </c>
      <c r="F548" t="s">
        <v>17</v>
      </c>
      <c r="G548" t="s">
        <v>9</v>
      </c>
      <c r="H548" t="str">
        <f t="shared" si="30"/>
        <v>道路客车</v>
      </c>
      <c r="I548" t="str">
        <f t="shared" si="31"/>
        <v>Passenger HDV</v>
      </c>
      <c r="J548">
        <v>588</v>
      </c>
    </row>
    <row r="549" spans="1:10" x14ac:dyDescent="0.2">
      <c r="A549">
        <v>548</v>
      </c>
      <c r="B549">
        <v>2021</v>
      </c>
      <c r="C549" t="s">
        <v>10</v>
      </c>
      <c r="D549" t="str">
        <f t="shared" si="29"/>
        <v>diesel vehicle</v>
      </c>
      <c r="E549" t="s">
        <v>7</v>
      </c>
      <c r="F549" t="s">
        <v>17</v>
      </c>
      <c r="G549" t="s">
        <v>9</v>
      </c>
      <c r="H549" t="str">
        <f t="shared" si="30"/>
        <v>道路客车</v>
      </c>
      <c r="I549" t="str">
        <f t="shared" si="31"/>
        <v>Passenger HDV</v>
      </c>
      <c r="J549">
        <v>520</v>
      </c>
    </row>
    <row r="550" spans="1:10" x14ac:dyDescent="0.2">
      <c r="A550">
        <v>549</v>
      </c>
      <c r="B550">
        <v>2019</v>
      </c>
      <c r="C550" t="s">
        <v>11</v>
      </c>
      <c r="D550" t="str">
        <f t="shared" si="29"/>
        <v>battery electric vehicle</v>
      </c>
      <c r="E550" t="s">
        <v>7</v>
      </c>
      <c r="F550" t="s">
        <v>17</v>
      </c>
      <c r="G550" t="s">
        <v>9</v>
      </c>
      <c r="H550" t="str">
        <f t="shared" si="30"/>
        <v>道路客车</v>
      </c>
      <c r="I550" t="str">
        <f t="shared" si="31"/>
        <v>Passenger HDV</v>
      </c>
      <c r="J550">
        <v>1</v>
      </c>
    </row>
    <row r="551" spans="1:10" x14ac:dyDescent="0.2">
      <c r="A551">
        <v>550</v>
      </c>
      <c r="B551">
        <v>2020</v>
      </c>
      <c r="C551" t="s">
        <v>11</v>
      </c>
      <c r="D551" t="str">
        <f t="shared" si="29"/>
        <v>battery electric vehicle</v>
      </c>
      <c r="E551" t="s">
        <v>7</v>
      </c>
      <c r="F551" t="s">
        <v>17</v>
      </c>
      <c r="G551" t="s">
        <v>9</v>
      </c>
      <c r="H551" t="str">
        <f t="shared" si="30"/>
        <v>道路客车</v>
      </c>
      <c r="I551" t="str">
        <f t="shared" si="31"/>
        <v>Passenger HDV</v>
      </c>
      <c r="J551">
        <v>1</v>
      </c>
    </row>
    <row r="552" spans="1:10" x14ac:dyDescent="0.2">
      <c r="A552">
        <v>551</v>
      </c>
      <c r="B552">
        <v>2021</v>
      </c>
      <c r="C552" t="s">
        <v>11</v>
      </c>
      <c r="D552" t="str">
        <f t="shared" si="29"/>
        <v>battery electric vehicle</v>
      </c>
      <c r="E552" t="s">
        <v>7</v>
      </c>
      <c r="F552" t="s">
        <v>17</v>
      </c>
      <c r="G552" t="s">
        <v>9</v>
      </c>
      <c r="H552" t="str">
        <f t="shared" si="30"/>
        <v>道路客车</v>
      </c>
      <c r="I552" t="str">
        <f t="shared" si="31"/>
        <v>Passenger HDV</v>
      </c>
      <c r="J552">
        <v>3</v>
      </c>
    </row>
    <row r="553" spans="1:10" x14ac:dyDescent="0.2">
      <c r="A553">
        <v>552</v>
      </c>
      <c r="B553">
        <v>2016</v>
      </c>
      <c r="C553" t="s">
        <v>13</v>
      </c>
      <c r="D553" t="str">
        <f t="shared" si="29"/>
        <v>gasoline vehicle</v>
      </c>
      <c r="E553" t="s">
        <v>7</v>
      </c>
      <c r="F553" t="s">
        <v>17</v>
      </c>
      <c r="G553" t="s">
        <v>9</v>
      </c>
      <c r="H553" t="str">
        <f t="shared" si="30"/>
        <v>道路客车</v>
      </c>
      <c r="I553" t="str">
        <f t="shared" si="31"/>
        <v>Passenger HDV</v>
      </c>
      <c r="J553">
        <v>49</v>
      </c>
    </row>
    <row r="554" spans="1:10" x14ac:dyDescent="0.2">
      <c r="A554">
        <v>553</v>
      </c>
      <c r="B554">
        <v>2017</v>
      </c>
      <c r="C554" t="s">
        <v>13</v>
      </c>
      <c r="D554" t="str">
        <f t="shared" si="29"/>
        <v>gasoline vehicle</v>
      </c>
      <c r="E554" t="s">
        <v>7</v>
      </c>
      <c r="F554" t="s">
        <v>17</v>
      </c>
      <c r="G554" t="s">
        <v>9</v>
      </c>
      <c r="H554" t="str">
        <f t="shared" si="30"/>
        <v>道路客车</v>
      </c>
      <c r="I554" t="str">
        <f t="shared" si="31"/>
        <v>Passenger HDV</v>
      </c>
      <c r="J554">
        <v>25</v>
      </c>
    </row>
    <row r="555" spans="1:10" x14ac:dyDescent="0.2">
      <c r="A555">
        <v>554</v>
      </c>
      <c r="B555">
        <v>2018</v>
      </c>
      <c r="C555" t="s">
        <v>13</v>
      </c>
      <c r="D555" t="str">
        <f t="shared" si="29"/>
        <v>gasoline vehicle</v>
      </c>
      <c r="E555" t="s">
        <v>7</v>
      </c>
      <c r="F555" t="s">
        <v>17</v>
      </c>
      <c r="G555" t="s">
        <v>9</v>
      </c>
      <c r="H555" t="str">
        <f t="shared" si="30"/>
        <v>道路客车</v>
      </c>
      <c r="I555" t="str">
        <f t="shared" si="31"/>
        <v>Passenger HDV</v>
      </c>
      <c r="J555">
        <v>267</v>
      </c>
    </row>
    <row r="556" spans="1:10" x14ac:dyDescent="0.2">
      <c r="A556">
        <v>555</v>
      </c>
      <c r="B556">
        <v>2019</v>
      </c>
      <c r="C556" t="s">
        <v>13</v>
      </c>
      <c r="D556" t="str">
        <f t="shared" si="29"/>
        <v>gasoline vehicle</v>
      </c>
      <c r="E556" t="s">
        <v>7</v>
      </c>
      <c r="F556" t="s">
        <v>17</v>
      </c>
      <c r="G556" t="s">
        <v>9</v>
      </c>
      <c r="H556" t="str">
        <f t="shared" si="30"/>
        <v>道路客车</v>
      </c>
      <c r="I556" t="str">
        <f t="shared" si="31"/>
        <v>Passenger HDV</v>
      </c>
      <c r="J556">
        <v>257</v>
      </c>
    </row>
    <row r="557" spans="1:10" x14ac:dyDescent="0.2">
      <c r="A557">
        <v>556</v>
      </c>
      <c r="B557">
        <v>2020</v>
      </c>
      <c r="C557" t="s">
        <v>13</v>
      </c>
      <c r="D557" t="str">
        <f t="shared" si="29"/>
        <v>gasoline vehicle</v>
      </c>
      <c r="E557" t="s">
        <v>7</v>
      </c>
      <c r="F557" t="s">
        <v>17</v>
      </c>
      <c r="G557" t="s">
        <v>9</v>
      </c>
      <c r="H557" t="str">
        <f t="shared" si="30"/>
        <v>道路客车</v>
      </c>
      <c r="I557" t="str">
        <f t="shared" si="31"/>
        <v>Passenger HDV</v>
      </c>
      <c r="J557">
        <v>33</v>
      </c>
    </row>
    <row r="558" spans="1:10" x14ac:dyDescent="0.2">
      <c r="A558">
        <v>557</v>
      </c>
      <c r="B558">
        <v>2021</v>
      </c>
      <c r="C558" t="s">
        <v>13</v>
      </c>
      <c r="D558" t="str">
        <f t="shared" si="29"/>
        <v>gasoline vehicle</v>
      </c>
      <c r="E558" t="s">
        <v>7</v>
      </c>
      <c r="F558" t="s">
        <v>17</v>
      </c>
      <c r="G558" t="s">
        <v>9</v>
      </c>
      <c r="H558" t="str">
        <f t="shared" si="30"/>
        <v>道路客车</v>
      </c>
      <c r="I558" t="str">
        <f t="shared" si="31"/>
        <v>Passenger HDV</v>
      </c>
      <c r="J558">
        <v>32</v>
      </c>
    </row>
    <row r="559" spans="1:10" x14ac:dyDescent="0.2">
      <c r="A559">
        <v>558</v>
      </c>
      <c r="B559">
        <v>2018</v>
      </c>
      <c r="C559" t="s">
        <v>15</v>
      </c>
      <c r="D559" t="str">
        <f t="shared" si="29"/>
        <v>hydrogen vehicle</v>
      </c>
      <c r="E559" t="s">
        <v>7</v>
      </c>
      <c r="F559" t="s">
        <v>17</v>
      </c>
      <c r="G559" t="s">
        <v>9</v>
      </c>
      <c r="H559" t="str">
        <f t="shared" si="30"/>
        <v>道路客车</v>
      </c>
      <c r="I559" t="str">
        <f t="shared" si="31"/>
        <v>Passenger HDV</v>
      </c>
      <c r="J559">
        <v>1</v>
      </c>
    </row>
    <row r="560" spans="1:10" x14ac:dyDescent="0.2">
      <c r="A560">
        <v>559</v>
      </c>
      <c r="B560">
        <v>2016</v>
      </c>
      <c r="C560" t="s">
        <v>16</v>
      </c>
      <c r="D560" t="str">
        <f t="shared" si="29"/>
        <v>natural gas vehicle</v>
      </c>
      <c r="E560" t="s">
        <v>7</v>
      </c>
      <c r="F560" t="s">
        <v>17</v>
      </c>
      <c r="G560" t="s">
        <v>9</v>
      </c>
      <c r="H560" t="str">
        <f t="shared" si="30"/>
        <v>道路客车</v>
      </c>
      <c r="I560" t="str">
        <f t="shared" si="31"/>
        <v>Passenger HDV</v>
      </c>
      <c r="J560">
        <v>3</v>
      </c>
    </row>
    <row r="561" spans="1:10" x14ac:dyDescent="0.2">
      <c r="A561">
        <v>560</v>
      </c>
      <c r="B561">
        <v>2019</v>
      </c>
      <c r="C561" t="s">
        <v>16</v>
      </c>
      <c r="D561" t="str">
        <f t="shared" si="29"/>
        <v>natural gas vehicle</v>
      </c>
      <c r="E561" t="s">
        <v>7</v>
      </c>
      <c r="F561" t="s">
        <v>17</v>
      </c>
      <c r="G561" t="s">
        <v>9</v>
      </c>
      <c r="H561" t="str">
        <f t="shared" si="30"/>
        <v>道路客车</v>
      </c>
      <c r="I561" t="str">
        <f t="shared" si="31"/>
        <v>Passenger HDV</v>
      </c>
      <c r="J561">
        <v>2</v>
      </c>
    </row>
    <row r="562" spans="1:10" x14ac:dyDescent="0.2">
      <c r="A562">
        <v>561</v>
      </c>
      <c r="B562">
        <v>2019</v>
      </c>
      <c r="C562" t="s">
        <v>6</v>
      </c>
      <c r="D562" t="str">
        <f t="shared" si="29"/>
        <v>plugin hybrid vehicle</v>
      </c>
      <c r="E562" t="s">
        <v>23</v>
      </c>
      <c r="F562" t="s">
        <v>17</v>
      </c>
      <c r="G562" t="s">
        <v>9</v>
      </c>
      <c r="H562" t="str">
        <f t="shared" si="30"/>
        <v>轻型货车</v>
      </c>
      <c r="I562" t="str">
        <f t="shared" si="31"/>
        <v>Freight LDV</v>
      </c>
      <c r="J562">
        <v>16</v>
      </c>
    </row>
    <row r="563" spans="1:10" x14ac:dyDescent="0.2">
      <c r="A563">
        <v>562</v>
      </c>
      <c r="B563">
        <v>2020</v>
      </c>
      <c r="C563" t="s">
        <v>6</v>
      </c>
      <c r="D563" t="str">
        <f t="shared" si="29"/>
        <v>plugin hybrid vehicle</v>
      </c>
      <c r="E563" t="s">
        <v>23</v>
      </c>
      <c r="F563" t="s">
        <v>17</v>
      </c>
      <c r="G563" t="s">
        <v>9</v>
      </c>
      <c r="H563" t="str">
        <f t="shared" si="30"/>
        <v>轻型货车</v>
      </c>
      <c r="I563" t="str">
        <f t="shared" si="31"/>
        <v>Freight LDV</v>
      </c>
      <c r="J563">
        <v>47</v>
      </c>
    </row>
    <row r="564" spans="1:10" x14ac:dyDescent="0.2">
      <c r="A564">
        <v>563</v>
      </c>
      <c r="B564">
        <v>2021</v>
      </c>
      <c r="C564" t="s">
        <v>6</v>
      </c>
      <c r="D564" t="str">
        <f t="shared" si="29"/>
        <v>plugin hybrid vehicle</v>
      </c>
      <c r="E564" t="s">
        <v>23</v>
      </c>
      <c r="F564" t="s">
        <v>17</v>
      </c>
      <c r="G564" t="s">
        <v>9</v>
      </c>
      <c r="H564" t="str">
        <f t="shared" si="30"/>
        <v>轻型货车</v>
      </c>
      <c r="I564" t="str">
        <f t="shared" si="31"/>
        <v>Freight LDV</v>
      </c>
      <c r="J564">
        <v>128</v>
      </c>
    </row>
    <row r="565" spans="1:10" x14ac:dyDescent="0.2">
      <c r="A565">
        <v>564</v>
      </c>
      <c r="B565">
        <v>2016</v>
      </c>
      <c r="C565" t="s">
        <v>10</v>
      </c>
      <c r="D565" t="str">
        <f t="shared" si="29"/>
        <v>diesel vehicle</v>
      </c>
      <c r="E565" t="s">
        <v>23</v>
      </c>
      <c r="F565" t="s">
        <v>17</v>
      </c>
      <c r="G565" t="s">
        <v>9</v>
      </c>
      <c r="H565" t="str">
        <f t="shared" si="30"/>
        <v>轻型货车</v>
      </c>
      <c r="I565" t="str">
        <f t="shared" si="31"/>
        <v>Freight LDV</v>
      </c>
      <c r="J565">
        <v>21019</v>
      </c>
    </row>
    <row r="566" spans="1:10" x14ac:dyDescent="0.2">
      <c r="A566">
        <v>565</v>
      </c>
      <c r="B566">
        <v>2017</v>
      </c>
      <c r="C566" t="s">
        <v>10</v>
      </c>
      <c r="D566" t="str">
        <f t="shared" si="29"/>
        <v>diesel vehicle</v>
      </c>
      <c r="E566" t="s">
        <v>23</v>
      </c>
      <c r="F566" t="s">
        <v>17</v>
      </c>
      <c r="G566" t="s">
        <v>9</v>
      </c>
      <c r="H566" t="str">
        <f t="shared" si="30"/>
        <v>轻型货车</v>
      </c>
      <c r="I566" t="str">
        <f t="shared" si="31"/>
        <v>Freight LDV</v>
      </c>
      <c r="J566">
        <v>26223</v>
      </c>
    </row>
    <row r="567" spans="1:10" x14ac:dyDescent="0.2">
      <c r="A567">
        <v>566</v>
      </c>
      <c r="B567">
        <v>2018</v>
      </c>
      <c r="C567" t="s">
        <v>10</v>
      </c>
      <c r="D567" t="str">
        <f t="shared" si="29"/>
        <v>diesel vehicle</v>
      </c>
      <c r="E567" t="s">
        <v>23</v>
      </c>
      <c r="F567" t="s">
        <v>17</v>
      </c>
      <c r="G567" t="s">
        <v>9</v>
      </c>
      <c r="H567" t="str">
        <f t="shared" si="30"/>
        <v>轻型货车</v>
      </c>
      <c r="I567" t="str">
        <f t="shared" si="31"/>
        <v>Freight LDV</v>
      </c>
      <c r="J567">
        <v>27453</v>
      </c>
    </row>
    <row r="568" spans="1:10" x14ac:dyDescent="0.2">
      <c r="A568">
        <v>567</v>
      </c>
      <c r="B568">
        <v>2019</v>
      </c>
      <c r="C568" t="s">
        <v>10</v>
      </c>
      <c r="D568" t="str">
        <f t="shared" si="29"/>
        <v>diesel vehicle</v>
      </c>
      <c r="E568" t="s">
        <v>23</v>
      </c>
      <c r="F568" t="s">
        <v>17</v>
      </c>
      <c r="G568" t="s">
        <v>9</v>
      </c>
      <c r="H568" t="str">
        <f t="shared" si="30"/>
        <v>轻型货车</v>
      </c>
      <c r="I568" t="str">
        <f t="shared" si="31"/>
        <v>Freight LDV</v>
      </c>
      <c r="J568">
        <v>35385</v>
      </c>
    </row>
    <row r="569" spans="1:10" x14ac:dyDescent="0.2">
      <c r="A569">
        <v>568</v>
      </c>
      <c r="B569">
        <v>2020</v>
      </c>
      <c r="C569" t="s">
        <v>10</v>
      </c>
      <c r="D569" t="str">
        <f t="shared" si="29"/>
        <v>diesel vehicle</v>
      </c>
      <c r="E569" t="s">
        <v>23</v>
      </c>
      <c r="F569" t="s">
        <v>17</v>
      </c>
      <c r="G569" t="s">
        <v>9</v>
      </c>
      <c r="H569" t="str">
        <f t="shared" si="30"/>
        <v>轻型货车</v>
      </c>
      <c r="I569" t="str">
        <f t="shared" si="31"/>
        <v>Freight LDV</v>
      </c>
      <c r="J569">
        <v>29548</v>
      </c>
    </row>
    <row r="570" spans="1:10" x14ac:dyDescent="0.2">
      <c r="A570">
        <v>569</v>
      </c>
      <c r="B570">
        <v>2021</v>
      </c>
      <c r="C570" t="s">
        <v>10</v>
      </c>
      <c r="D570" t="str">
        <f t="shared" si="29"/>
        <v>diesel vehicle</v>
      </c>
      <c r="E570" t="s">
        <v>23</v>
      </c>
      <c r="F570" t="s">
        <v>17</v>
      </c>
      <c r="G570" t="s">
        <v>9</v>
      </c>
      <c r="H570" t="str">
        <f t="shared" si="30"/>
        <v>轻型货车</v>
      </c>
      <c r="I570" t="str">
        <f t="shared" si="31"/>
        <v>Freight LDV</v>
      </c>
      <c r="J570">
        <v>33028</v>
      </c>
    </row>
    <row r="571" spans="1:10" x14ac:dyDescent="0.2">
      <c r="A571">
        <v>570</v>
      </c>
      <c r="B571">
        <v>2016</v>
      </c>
      <c r="C571" t="s">
        <v>11</v>
      </c>
      <c r="D571" t="str">
        <f t="shared" si="29"/>
        <v>battery electric vehicle</v>
      </c>
      <c r="E571" t="s">
        <v>23</v>
      </c>
      <c r="F571" t="s">
        <v>17</v>
      </c>
      <c r="G571" t="s">
        <v>9</v>
      </c>
      <c r="H571" t="str">
        <f t="shared" si="30"/>
        <v>轻型货车</v>
      </c>
      <c r="I571" t="str">
        <f t="shared" si="31"/>
        <v>Freight LDV</v>
      </c>
      <c r="J571">
        <v>657</v>
      </c>
    </row>
    <row r="572" spans="1:10" x14ac:dyDescent="0.2">
      <c r="A572">
        <v>571</v>
      </c>
      <c r="B572">
        <v>2017</v>
      </c>
      <c r="C572" t="s">
        <v>11</v>
      </c>
      <c r="D572" t="str">
        <f t="shared" si="29"/>
        <v>battery electric vehicle</v>
      </c>
      <c r="E572" t="s">
        <v>23</v>
      </c>
      <c r="F572" t="s">
        <v>17</v>
      </c>
      <c r="G572" t="s">
        <v>9</v>
      </c>
      <c r="H572" t="str">
        <f t="shared" si="30"/>
        <v>轻型货车</v>
      </c>
      <c r="I572" t="str">
        <f t="shared" si="31"/>
        <v>Freight LDV</v>
      </c>
      <c r="J572">
        <v>12290</v>
      </c>
    </row>
    <row r="573" spans="1:10" x14ac:dyDescent="0.2">
      <c r="A573">
        <v>572</v>
      </c>
      <c r="B573">
        <v>2018</v>
      </c>
      <c r="C573" t="s">
        <v>11</v>
      </c>
      <c r="D573" t="str">
        <f t="shared" si="29"/>
        <v>battery electric vehicle</v>
      </c>
      <c r="E573" t="s">
        <v>23</v>
      </c>
      <c r="F573" t="s">
        <v>17</v>
      </c>
      <c r="G573" t="s">
        <v>9</v>
      </c>
      <c r="H573" t="str">
        <f t="shared" si="30"/>
        <v>轻型货车</v>
      </c>
      <c r="I573" t="str">
        <f t="shared" si="31"/>
        <v>Freight LDV</v>
      </c>
      <c r="J573">
        <v>963</v>
      </c>
    </row>
    <row r="574" spans="1:10" x14ac:dyDescent="0.2">
      <c r="A574">
        <v>573</v>
      </c>
      <c r="B574">
        <v>2019</v>
      </c>
      <c r="C574" t="s">
        <v>11</v>
      </c>
      <c r="D574" t="str">
        <f t="shared" si="29"/>
        <v>battery electric vehicle</v>
      </c>
      <c r="E574" t="s">
        <v>23</v>
      </c>
      <c r="F574" t="s">
        <v>17</v>
      </c>
      <c r="G574" t="s">
        <v>9</v>
      </c>
      <c r="H574" t="str">
        <f t="shared" si="30"/>
        <v>轻型货车</v>
      </c>
      <c r="I574" t="str">
        <f t="shared" si="31"/>
        <v>Freight LDV</v>
      </c>
      <c r="J574">
        <v>963</v>
      </c>
    </row>
    <row r="575" spans="1:10" x14ac:dyDescent="0.2">
      <c r="A575">
        <v>574</v>
      </c>
      <c r="B575">
        <v>2020</v>
      </c>
      <c r="C575" t="s">
        <v>11</v>
      </c>
      <c r="D575" t="str">
        <f t="shared" si="29"/>
        <v>battery electric vehicle</v>
      </c>
      <c r="E575" t="s">
        <v>23</v>
      </c>
      <c r="F575" t="s">
        <v>17</v>
      </c>
      <c r="G575" t="s">
        <v>9</v>
      </c>
      <c r="H575" t="str">
        <f t="shared" si="30"/>
        <v>轻型货车</v>
      </c>
      <c r="I575" t="str">
        <f t="shared" si="31"/>
        <v>Freight LDV</v>
      </c>
      <c r="J575">
        <v>613</v>
      </c>
    </row>
    <row r="576" spans="1:10" x14ac:dyDescent="0.2">
      <c r="A576">
        <v>575</v>
      </c>
      <c r="B576">
        <v>2021</v>
      </c>
      <c r="C576" t="s">
        <v>11</v>
      </c>
      <c r="D576" t="str">
        <f t="shared" si="29"/>
        <v>battery electric vehicle</v>
      </c>
      <c r="E576" t="s">
        <v>23</v>
      </c>
      <c r="F576" t="s">
        <v>17</v>
      </c>
      <c r="G576" t="s">
        <v>9</v>
      </c>
      <c r="H576" t="str">
        <f t="shared" si="30"/>
        <v>轻型货车</v>
      </c>
      <c r="I576" t="str">
        <f t="shared" si="31"/>
        <v>Freight LDV</v>
      </c>
      <c r="J576">
        <v>727</v>
      </c>
    </row>
    <row r="577" spans="1:10" x14ac:dyDescent="0.2">
      <c r="A577">
        <v>576</v>
      </c>
      <c r="B577">
        <v>2016</v>
      </c>
      <c r="C577" t="s">
        <v>13</v>
      </c>
      <c r="D577" t="str">
        <f t="shared" si="29"/>
        <v>gasoline vehicle</v>
      </c>
      <c r="E577" t="s">
        <v>23</v>
      </c>
      <c r="F577" t="s">
        <v>17</v>
      </c>
      <c r="G577" t="s">
        <v>9</v>
      </c>
      <c r="H577" t="str">
        <f t="shared" si="30"/>
        <v>轻型货车</v>
      </c>
      <c r="I577" t="str">
        <f t="shared" si="31"/>
        <v>Freight LDV</v>
      </c>
      <c r="J577">
        <v>12569</v>
      </c>
    </row>
    <row r="578" spans="1:10" x14ac:dyDescent="0.2">
      <c r="A578">
        <v>577</v>
      </c>
      <c r="B578">
        <v>2017</v>
      </c>
      <c r="C578" t="s">
        <v>13</v>
      </c>
      <c r="D578" t="str">
        <f t="shared" ref="D578:D641" si="32">VLOOKUP(C578,M$3:N$16,2,FALSE)</f>
        <v>gasoline vehicle</v>
      </c>
      <c r="E578" t="s">
        <v>23</v>
      </c>
      <c r="F578" t="s">
        <v>17</v>
      </c>
      <c r="G578" t="s">
        <v>9</v>
      </c>
      <c r="H578" t="str">
        <f t="shared" si="30"/>
        <v>轻型货车</v>
      </c>
      <c r="I578" t="str">
        <f t="shared" si="31"/>
        <v>Freight LDV</v>
      </c>
      <c r="J578">
        <v>19171</v>
      </c>
    </row>
    <row r="579" spans="1:10" x14ac:dyDescent="0.2">
      <c r="A579">
        <v>578</v>
      </c>
      <c r="B579">
        <v>2018</v>
      </c>
      <c r="C579" t="s">
        <v>13</v>
      </c>
      <c r="D579" t="str">
        <f t="shared" si="32"/>
        <v>gasoline vehicle</v>
      </c>
      <c r="E579" t="s">
        <v>23</v>
      </c>
      <c r="F579" t="s">
        <v>17</v>
      </c>
      <c r="G579" t="s">
        <v>9</v>
      </c>
      <c r="H579" t="str">
        <f t="shared" ref="H579:H642" si="33">VLOOKUP(E579&amp;F579&amp;G579,$S$3:$U$68,2,FALSE)</f>
        <v>轻型货车</v>
      </c>
      <c r="I579" t="str">
        <f t="shared" ref="I579:I642" si="34">VLOOKUP(E579&amp;F579&amp;G579,$S$3:$U$68,3,FALSE)</f>
        <v>Freight LDV</v>
      </c>
      <c r="J579">
        <v>13738</v>
      </c>
    </row>
    <row r="580" spans="1:10" x14ac:dyDescent="0.2">
      <c r="A580">
        <v>579</v>
      </c>
      <c r="B580">
        <v>2019</v>
      </c>
      <c r="C580" t="s">
        <v>13</v>
      </c>
      <c r="D580" t="str">
        <f t="shared" si="32"/>
        <v>gasoline vehicle</v>
      </c>
      <c r="E580" t="s">
        <v>23</v>
      </c>
      <c r="F580" t="s">
        <v>17</v>
      </c>
      <c r="G580" t="s">
        <v>9</v>
      </c>
      <c r="H580" t="str">
        <f t="shared" si="33"/>
        <v>轻型货车</v>
      </c>
      <c r="I580" t="str">
        <f t="shared" si="34"/>
        <v>Freight LDV</v>
      </c>
      <c r="J580">
        <v>13035</v>
      </c>
    </row>
    <row r="581" spans="1:10" x14ac:dyDescent="0.2">
      <c r="A581">
        <v>580</v>
      </c>
      <c r="B581">
        <v>2020</v>
      </c>
      <c r="C581" t="s">
        <v>13</v>
      </c>
      <c r="D581" t="str">
        <f t="shared" si="32"/>
        <v>gasoline vehicle</v>
      </c>
      <c r="E581" t="s">
        <v>23</v>
      </c>
      <c r="F581" t="s">
        <v>17</v>
      </c>
      <c r="G581" t="s">
        <v>9</v>
      </c>
      <c r="H581" t="str">
        <f t="shared" si="33"/>
        <v>轻型货车</v>
      </c>
      <c r="I581" t="str">
        <f t="shared" si="34"/>
        <v>Freight LDV</v>
      </c>
      <c r="J581">
        <v>7411</v>
      </c>
    </row>
    <row r="582" spans="1:10" x14ac:dyDescent="0.2">
      <c r="A582">
        <v>581</v>
      </c>
      <c r="B582">
        <v>2021</v>
      </c>
      <c r="C582" t="s">
        <v>13</v>
      </c>
      <c r="D582" t="str">
        <f t="shared" si="32"/>
        <v>gasoline vehicle</v>
      </c>
      <c r="E582" t="s">
        <v>23</v>
      </c>
      <c r="F582" t="s">
        <v>17</v>
      </c>
      <c r="G582" t="s">
        <v>9</v>
      </c>
      <c r="H582" t="str">
        <f t="shared" si="33"/>
        <v>轻型货车</v>
      </c>
      <c r="I582" t="str">
        <f t="shared" si="34"/>
        <v>Freight LDV</v>
      </c>
      <c r="J582">
        <v>6224</v>
      </c>
    </row>
    <row r="583" spans="1:10" x14ac:dyDescent="0.2">
      <c r="A583">
        <v>582</v>
      </c>
      <c r="B583">
        <v>2016</v>
      </c>
      <c r="C583" t="s">
        <v>14</v>
      </c>
      <c r="D583" t="str">
        <f t="shared" si="32"/>
        <v>natural gas vehicle</v>
      </c>
      <c r="E583" t="s">
        <v>23</v>
      </c>
      <c r="F583" t="s">
        <v>17</v>
      </c>
      <c r="G583" t="s">
        <v>9</v>
      </c>
      <c r="H583" t="str">
        <f t="shared" si="33"/>
        <v>轻型货车</v>
      </c>
      <c r="I583" t="str">
        <f t="shared" si="34"/>
        <v>Freight LDV</v>
      </c>
      <c r="J583">
        <v>113</v>
      </c>
    </row>
    <row r="584" spans="1:10" x14ac:dyDescent="0.2">
      <c r="A584">
        <v>583</v>
      </c>
      <c r="B584">
        <v>2017</v>
      </c>
      <c r="C584" t="s">
        <v>14</v>
      </c>
      <c r="D584" t="str">
        <f t="shared" si="32"/>
        <v>natural gas vehicle</v>
      </c>
      <c r="E584" t="s">
        <v>23</v>
      </c>
      <c r="F584" t="s">
        <v>17</v>
      </c>
      <c r="G584" t="s">
        <v>9</v>
      </c>
      <c r="H584" t="str">
        <f t="shared" si="33"/>
        <v>轻型货车</v>
      </c>
      <c r="I584" t="str">
        <f t="shared" si="34"/>
        <v>Freight LDV</v>
      </c>
      <c r="J584">
        <v>65</v>
      </c>
    </row>
    <row r="585" spans="1:10" x14ac:dyDescent="0.2">
      <c r="A585">
        <v>584</v>
      </c>
      <c r="B585">
        <v>2018</v>
      </c>
      <c r="C585" t="s">
        <v>14</v>
      </c>
      <c r="D585" t="str">
        <f t="shared" si="32"/>
        <v>natural gas vehicle</v>
      </c>
      <c r="E585" t="s">
        <v>23</v>
      </c>
      <c r="F585" t="s">
        <v>17</v>
      </c>
      <c r="G585" t="s">
        <v>9</v>
      </c>
      <c r="H585" t="str">
        <f t="shared" si="33"/>
        <v>轻型货车</v>
      </c>
      <c r="I585" t="str">
        <f t="shared" si="34"/>
        <v>Freight LDV</v>
      </c>
      <c r="J585">
        <v>20</v>
      </c>
    </row>
    <row r="586" spans="1:10" x14ac:dyDescent="0.2">
      <c r="A586">
        <v>585</v>
      </c>
      <c r="B586">
        <v>2019</v>
      </c>
      <c r="C586" t="s">
        <v>14</v>
      </c>
      <c r="D586" t="str">
        <f t="shared" si="32"/>
        <v>natural gas vehicle</v>
      </c>
      <c r="E586" t="s">
        <v>23</v>
      </c>
      <c r="F586" t="s">
        <v>17</v>
      </c>
      <c r="G586" t="s">
        <v>9</v>
      </c>
      <c r="H586" t="str">
        <f t="shared" si="33"/>
        <v>轻型货车</v>
      </c>
      <c r="I586" t="str">
        <f t="shared" si="34"/>
        <v>Freight LDV</v>
      </c>
      <c r="J586">
        <v>38</v>
      </c>
    </row>
    <row r="587" spans="1:10" x14ac:dyDescent="0.2">
      <c r="A587">
        <v>586</v>
      </c>
      <c r="B587">
        <v>2021</v>
      </c>
      <c r="C587" t="s">
        <v>14</v>
      </c>
      <c r="D587" t="str">
        <f t="shared" si="32"/>
        <v>natural gas vehicle</v>
      </c>
      <c r="E587" t="s">
        <v>23</v>
      </c>
      <c r="F587" t="s">
        <v>17</v>
      </c>
      <c r="G587" t="s">
        <v>9</v>
      </c>
      <c r="H587" t="str">
        <f t="shared" si="33"/>
        <v>轻型货车</v>
      </c>
      <c r="I587" t="str">
        <f t="shared" si="34"/>
        <v>Freight LDV</v>
      </c>
      <c r="J587">
        <v>1</v>
      </c>
    </row>
    <row r="588" spans="1:10" x14ac:dyDescent="0.2">
      <c r="A588">
        <v>587</v>
      </c>
      <c r="B588">
        <v>2016</v>
      </c>
      <c r="C588" t="s">
        <v>16</v>
      </c>
      <c r="D588" t="str">
        <f t="shared" si="32"/>
        <v>natural gas vehicle</v>
      </c>
      <c r="E588" t="s">
        <v>23</v>
      </c>
      <c r="F588" t="s">
        <v>17</v>
      </c>
      <c r="G588" t="s">
        <v>9</v>
      </c>
      <c r="H588" t="str">
        <f t="shared" si="33"/>
        <v>轻型货车</v>
      </c>
      <c r="I588" t="str">
        <f t="shared" si="34"/>
        <v>Freight LDV</v>
      </c>
      <c r="J588">
        <v>27</v>
      </c>
    </row>
    <row r="589" spans="1:10" x14ac:dyDescent="0.2">
      <c r="A589">
        <v>588</v>
      </c>
      <c r="B589">
        <v>2017</v>
      </c>
      <c r="C589" t="s">
        <v>16</v>
      </c>
      <c r="D589" t="str">
        <f t="shared" si="32"/>
        <v>natural gas vehicle</v>
      </c>
      <c r="E589" t="s">
        <v>23</v>
      </c>
      <c r="F589" t="s">
        <v>17</v>
      </c>
      <c r="G589" t="s">
        <v>9</v>
      </c>
      <c r="H589" t="str">
        <f t="shared" si="33"/>
        <v>轻型货车</v>
      </c>
      <c r="I589" t="str">
        <f t="shared" si="34"/>
        <v>Freight LDV</v>
      </c>
      <c r="J589">
        <v>38</v>
      </c>
    </row>
    <row r="590" spans="1:10" x14ac:dyDescent="0.2">
      <c r="A590">
        <v>589</v>
      </c>
      <c r="B590">
        <v>2018</v>
      </c>
      <c r="C590" t="s">
        <v>16</v>
      </c>
      <c r="D590" t="str">
        <f t="shared" si="32"/>
        <v>natural gas vehicle</v>
      </c>
      <c r="E590" t="s">
        <v>23</v>
      </c>
      <c r="F590" t="s">
        <v>17</v>
      </c>
      <c r="G590" t="s">
        <v>9</v>
      </c>
      <c r="H590" t="str">
        <f t="shared" si="33"/>
        <v>轻型货车</v>
      </c>
      <c r="I590" t="str">
        <f t="shared" si="34"/>
        <v>Freight LDV</v>
      </c>
      <c r="J590">
        <v>6</v>
      </c>
    </row>
    <row r="591" spans="1:10" x14ac:dyDescent="0.2">
      <c r="A591">
        <v>590</v>
      </c>
      <c r="B591">
        <v>2019</v>
      </c>
      <c r="C591" t="s">
        <v>16</v>
      </c>
      <c r="D591" t="str">
        <f t="shared" si="32"/>
        <v>natural gas vehicle</v>
      </c>
      <c r="E591" t="s">
        <v>23</v>
      </c>
      <c r="F591" t="s">
        <v>17</v>
      </c>
      <c r="G591" t="s">
        <v>9</v>
      </c>
      <c r="H591" t="str">
        <f t="shared" si="33"/>
        <v>轻型货车</v>
      </c>
      <c r="I591" t="str">
        <f t="shared" si="34"/>
        <v>Freight LDV</v>
      </c>
      <c r="J591">
        <v>4</v>
      </c>
    </row>
    <row r="592" spans="1:10" x14ac:dyDescent="0.2">
      <c r="A592">
        <v>591</v>
      </c>
      <c r="B592">
        <v>2020</v>
      </c>
      <c r="C592" t="s">
        <v>16</v>
      </c>
      <c r="D592" t="str">
        <f t="shared" si="32"/>
        <v>natural gas vehicle</v>
      </c>
      <c r="E592" t="s">
        <v>23</v>
      </c>
      <c r="F592" t="s">
        <v>17</v>
      </c>
      <c r="G592" t="s">
        <v>9</v>
      </c>
      <c r="H592" t="str">
        <f t="shared" si="33"/>
        <v>轻型货车</v>
      </c>
      <c r="I592" t="str">
        <f t="shared" si="34"/>
        <v>Freight LDV</v>
      </c>
      <c r="J592">
        <v>5</v>
      </c>
    </row>
    <row r="593" spans="1:10" x14ac:dyDescent="0.2">
      <c r="A593">
        <v>592</v>
      </c>
      <c r="B593">
        <v>2021</v>
      </c>
      <c r="C593" t="s">
        <v>16</v>
      </c>
      <c r="D593" t="str">
        <f t="shared" si="32"/>
        <v>natural gas vehicle</v>
      </c>
      <c r="E593" t="s">
        <v>23</v>
      </c>
      <c r="F593" t="s">
        <v>17</v>
      </c>
      <c r="G593" t="s">
        <v>9</v>
      </c>
      <c r="H593" t="str">
        <f t="shared" si="33"/>
        <v>轻型货车</v>
      </c>
      <c r="I593" t="str">
        <f t="shared" si="34"/>
        <v>Freight LDV</v>
      </c>
      <c r="J593">
        <v>1</v>
      </c>
    </row>
    <row r="594" spans="1:10" x14ac:dyDescent="0.2">
      <c r="A594">
        <v>593</v>
      </c>
      <c r="B594">
        <v>2016</v>
      </c>
      <c r="C594" t="s">
        <v>10</v>
      </c>
      <c r="D594" t="str">
        <f t="shared" si="32"/>
        <v>diesel vehicle</v>
      </c>
      <c r="E594" t="s">
        <v>27</v>
      </c>
      <c r="F594" t="s">
        <v>17</v>
      </c>
      <c r="G594" t="s">
        <v>9</v>
      </c>
      <c r="H594" t="str">
        <f t="shared" si="33"/>
        <v>轻型货车</v>
      </c>
      <c r="I594" t="str">
        <f t="shared" si="34"/>
        <v>Freight LDV</v>
      </c>
      <c r="J594">
        <v>64</v>
      </c>
    </row>
    <row r="595" spans="1:10" x14ac:dyDescent="0.2">
      <c r="A595">
        <v>594</v>
      </c>
      <c r="B595">
        <v>2017</v>
      </c>
      <c r="C595" t="s">
        <v>10</v>
      </c>
      <c r="D595" t="str">
        <f t="shared" si="32"/>
        <v>diesel vehicle</v>
      </c>
      <c r="E595" t="s">
        <v>27</v>
      </c>
      <c r="F595" t="s">
        <v>17</v>
      </c>
      <c r="G595" t="s">
        <v>9</v>
      </c>
      <c r="H595" t="str">
        <f t="shared" si="33"/>
        <v>轻型货车</v>
      </c>
      <c r="I595" t="str">
        <f t="shared" si="34"/>
        <v>Freight LDV</v>
      </c>
      <c r="J595">
        <v>19</v>
      </c>
    </row>
    <row r="596" spans="1:10" x14ac:dyDescent="0.2">
      <c r="A596">
        <v>595</v>
      </c>
      <c r="B596">
        <v>2017</v>
      </c>
      <c r="C596" t="s">
        <v>11</v>
      </c>
      <c r="D596" t="str">
        <f t="shared" si="32"/>
        <v>battery electric vehicle</v>
      </c>
      <c r="E596" t="s">
        <v>27</v>
      </c>
      <c r="F596" t="s">
        <v>17</v>
      </c>
      <c r="G596" t="s">
        <v>9</v>
      </c>
      <c r="H596" t="str">
        <f t="shared" si="33"/>
        <v>轻型货车</v>
      </c>
      <c r="I596" t="str">
        <f t="shared" si="34"/>
        <v>Freight LDV</v>
      </c>
      <c r="J596">
        <v>3</v>
      </c>
    </row>
    <row r="597" spans="1:10" x14ac:dyDescent="0.2">
      <c r="A597">
        <v>596</v>
      </c>
      <c r="B597">
        <v>2020</v>
      </c>
      <c r="C597" t="s">
        <v>11</v>
      </c>
      <c r="D597" t="str">
        <f t="shared" si="32"/>
        <v>battery electric vehicle</v>
      </c>
      <c r="E597" t="s">
        <v>27</v>
      </c>
      <c r="F597" t="s">
        <v>17</v>
      </c>
      <c r="G597" t="s">
        <v>9</v>
      </c>
      <c r="H597" t="str">
        <f t="shared" si="33"/>
        <v>轻型货车</v>
      </c>
      <c r="I597" t="str">
        <f t="shared" si="34"/>
        <v>Freight LDV</v>
      </c>
      <c r="J597">
        <v>1</v>
      </c>
    </row>
    <row r="598" spans="1:10" x14ac:dyDescent="0.2">
      <c r="A598">
        <v>597</v>
      </c>
      <c r="B598">
        <v>2016</v>
      </c>
      <c r="C598" t="s">
        <v>10</v>
      </c>
      <c r="D598" t="str">
        <f t="shared" si="32"/>
        <v>diesel vehicle</v>
      </c>
      <c r="E598" t="s">
        <v>28</v>
      </c>
      <c r="F598" t="s">
        <v>17</v>
      </c>
      <c r="G598" t="s">
        <v>9</v>
      </c>
      <c r="H598" t="str">
        <f t="shared" si="33"/>
        <v>出租车</v>
      </c>
      <c r="I598" t="str">
        <f t="shared" si="34"/>
        <v>Passenger LDV</v>
      </c>
      <c r="J598">
        <v>7</v>
      </c>
    </row>
    <row r="599" spans="1:10" x14ac:dyDescent="0.2">
      <c r="A599">
        <v>598</v>
      </c>
      <c r="B599">
        <v>2017</v>
      </c>
      <c r="C599" t="s">
        <v>10</v>
      </c>
      <c r="D599" t="str">
        <f t="shared" si="32"/>
        <v>diesel vehicle</v>
      </c>
      <c r="E599" t="s">
        <v>28</v>
      </c>
      <c r="F599" t="s">
        <v>17</v>
      </c>
      <c r="G599" t="s">
        <v>9</v>
      </c>
      <c r="H599" t="str">
        <f t="shared" si="33"/>
        <v>出租车</v>
      </c>
      <c r="I599" t="str">
        <f t="shared" si="34"/>
        <v>Passenger LDV</v>
      </c>
      <c r="J599">
        <v>2</v>
      </c>
    </row>
    <row r="600" spans="1:10" x14ac:dyDescent="0.2">
      <c r="A600">
        <v>599</v>
      </c>
      <c r="B600">
        <v>2016</v>
      </c>
      <c r="C600" t="s">
        <v>10</v>
      </c>
      <c r="D600" t="str">
        <f t="shared" si="32"/>
        <v>diesel vehicle</v>
      </c>
      <c r="E600" t="s">
        <v>18</v>
      </c>
      <c r="F600" t="s">
        <v>17</v>
      </c>
      <c r="G600" t="s">
        <v>9</v>
      </c>
      <c r="H600" t="str">
        <f t="shared" si="33"/>
        <v>出租车</v>
      </c>
      <c r="I600" t="str">
        <f t="shared" si="34"/>
        <v>Passenger LDV</v>
      </c>
      <c r="J600">
        <v>11732</v>
      </c>
    </row>
    <row r="601" spans="1:10" x14ac:dyDescent="0.2">
      <c r="A601">
        <v>600</v>
      </c>
      <c r="B601">
        <v>2017</v>
      </c>
      <c r="C601" t="s">
        <v>10</v>
      </c>
      <c r="D601" t="str">
        <f t="shared" si="32"/>
        <v>diesel vehicle</v>
      </c>
      <c r="E601" t="s">
        <v>18</v>
      </c>
      <c r="F601" t="s">
        <v>17</v>
      </c>
      <c r="G601" t="s">
        <v>9</v>
      </c>
      <c r="H601" t="str">
        <f t="shared" si="33"/>
        <v>出租车</v>
      </c>
      <c r="I601" t="str">
        <f t="shared" si="34"/>
        <v>Passenger LDV</v>
      </c>
      <c r="J601">
        <v>9427</v>
      </c>
    </row>
    <row r="602" spans="1:10" x14ac:dyDescent="0.2">
      <c r="A602">
        <v>601</v>
      </c>
      <c r="B602">
        <v>2018</v>
      </c>
      <c r="C602" t="s">
        <v>10</v>
      </c>
      <c r="D602" t="str">
        <f t="shared" si="32"/>
        <v>diesel vehicle</v>
      </c>
      <c r="E602" t="s">
        <v>18</v>
      </c>
      <c r="F602" t="s">
        <v>17</v>
      </c>
      <c r="G602" t="s">
        <v>9</v>
      </c>
      <c r="H602" t="str">
        <f t="shared" si="33"/>
        <v>出租车</v>
      </c>
      <c r="I602" t="str">
        <f t="shared" si="34"/>
        <v>Passenger LDV</v>
      </c>
      <c r="J602">
        <v>10374</v>
      </c>
    </row>
    <row r="603" spans="1:10" x14ac:dyDescent="0.2">
      <c r="A603">
        <v>602</v>
      </c>
      <c r="B603">
        <v>2019</v>
      </c>
      <c r="C603" t="s">
        <v>10</v>
      </c>
      <c r="D603" t="str">
        <f t="shared" si="32"/>
        <v>diesel vehicle</v>
      </c>
      <c r="E603" t="s">
        <v>18</v>
      </c>
      <c r="F603" t="s">
        <v>17</v>
      </c>
      <c r="G603" t="s">
        <v>9</v>
      </c>
      <c r="H603" t="str">
        <f t="shared" si="33"/>
        <v>出租车</v>
      </c>
      <c r="I603" t="str">
        <f t="shared" si="34"/>
        <v>Passenger LDV</v>
      </c>
      <c r="J603">
        <v>7494</v>
      </c>
    </row>
    <row r="604" spans="1:10" x14ac:dyDescent="0.2">
      <c r="A604">
        <v>603</v>
      </c>
      <c r="B604">
        <v>2020</v>
      </c>
      <c r="C604" t="s">
        <v>10</v>
      </c>
      <c r="D604" t="str">
        <f t="shared" si="32"/>
        <v>diesel vehicle</v>
      </c>
      <c r="E604" t="s">
        <v>18</v>
      </c>
      <c r="F604" t="s">
        <v>17</v>
      </c>
      <c r="G604" t="s">
        <v>9</v>
      </c>
      <c r="H604" t="str">
        <f t="shared" si="33"/>
        <v>出租车</v>
      </c>
      <c r="I604" t="str">
        <f t="shared" si="34"/>
        <v>Passenger LDV</v>
      </c>
      <c r="J604">
        <v>6595</v>
      </c>
    </row>
    <row r="605" spans="1:10" x14ac:dyDescent="0.2">
      <c r="A605">
        <v>604</v>
      </c>
      <c r="B605">
        <v>2021</v>
      </c>
      <c r="C605" t="s">
        <v>10</v>
      </c>
      <c r="D605" t="str">
        <f t="shared" si="32"/>
        <v>diesel vehicle</v>
      </c>
      <c r="E605" t="s">
        <v>18</v>
      </c>
      <c r="F605" t="s">
        <v>17</v>
      </c>
      <c r="G605" t="s">
        <v>9</v>
      </c>
      <c r="H605" t="str">
        <f t="shared" si="33"/>
        <v>出租车</v>
      </c>
      <c r="I605" t="str">
        <f t="shared" si="34"/>
        <v>Passenger LDV</v>
      </c>
      <c r="J605">
        <v>4512</v>
      </c>
    </row>
    <row r="606" spans="1:10" x14ac:dyDescent="0.2">
      <c r="A606">
        <v>605</v>
      </c>
      <c r="B606">
        <v>2016</v>
      </c>
      <c r="C606" t="s">
        <v>11</v>
      </c>
      <c r="D606" t="str">
        <f t="shared" si="32"/>
        <v>battery electric vehicle</v>
      </c>
      <c r="E606" t="s">
        <v>18</v>
      </c>
      <c r="F606" t="s">
        <v>17</v>
      </c>
      <c r="G606" t="s">
        <v>9</v>
      </c>
      <c r="H606" t="str">
        <f t="shared" si="33"/>
        <v>出租车</v>
      </c>
      <c r="I606" t="str">
        <f t="shared" si="34"/>
        <v>Passenger LDV</v>
      </c>
      <c r="J606">
        <v>28</v>
      </c>
    </row>
    <row r="607" spans="1:10" x14ac:dyDescent="0.2">
      <c r="A607">
        <v>606</v>
      </c>
      <c r="B607">
        <v>2017</v>
      </c>
      <c r="C607" t="s">
        <v>11</v>
      </c>
      <c r="D607" t="str">
        <f t="shared" si="32"/>
        <v>battery electric vehicle</v>
      </c>
      <c r="E607" t="s">
        <v>18</v>
      </c>
      <c r="F607" t="s">
        <v>17</v>
      </c>
      <c r="G607" t="s">
        <v>9</v>
      </c>
      <c r="H607" t="str">
        <f t="shared" si="33"/>
        <v>出租车</v>
      </c>
      <c r="I607" t="str">
        <f t="shared" si="34"/>
        <v>Passenger LDV</v>
      </c>
      <c r="J607">
        <v>60</v>
      </c>
    </row>
    <row r="608" spans="1:10" x14ac:dyDescent="0.2">
      <c r="A608">
        <v>607</v>
      </c>
      <c r="B608">
        <v>2018</v>
      </c>
      <c r="C608" t="s">
        <v>11</v>
      </c>
      <c r="D608" t="str">
        <f t="shared" si="32"/>
        <v>battery electric vehicle</v>
      </c>
      <c r="E608" t="s">
        <v>18</v>
      </c>
      <c r="F608" t="s">
        <v>17</v>
      </c>
      <c r="G608" t="s">
        <v>9</v>
      </c>
      <c r="H608" t="str">
        <f t="shared" si="33"/>
        <v>出租车</v>
      </c>
      <c r="I608" t="str">
        <f t="shared" si="34"/>
        <v>Passenger LDV</v>
      </c>
      <c r="J608">
        <v>49</v>
      </c>
    </row>
    <row r="609" spans="1:10" x14ac:dyDescent="0.2">
      <c r="A609">
        <v>608</v>
      </c>
      <c r="B609">
        <v>2019</v>
      </c>
      <c r="C609" t="s">
        <v>11</v>
      </c>
      <c r="D609" t="str">
        <f t="shared" si="32"/>
        <v>battery electric vehicle</v>
      </c>
      <c r="E609" t="s">
        <v>18</v>
      </c>
      <c r="F609" t="s">
        <v>17</v>
      </c>
      <c r="G609" t="s">
        <v>9</v>
      </c>
      <c r="H609" t="str">
        <f t="shared" si="33"/>
        <v>出租车</v>
      </c>
      <c r="I609" t="str">
        <f t="shared" si="34"/>
        <v>Passenger LDV</v>
      </c>
      <c r="J609">
        <v>35</v>
      </c>
    </row>
    <row r="610" spans="1:10" x14ac:dyDescent="0.2">
      <c r="A610">
        <v>609</v>
      </c>
      <c r="B610">
        <v>2020</v>
      </c>
      <c r="C610" t="s">
        <v>11</v>
      </c>
      <c r="D610" t="str">
        <f t="shared" si="32"/>
        <v>battery electric vehicle</v>
      </c>
      <c r="E610" t="s">
        <v>18</v>
      </c>
      <c r="F610" t="s">
        <v>17</v>
      </c>
      <c r="G610" t="s">
        <v>9</v>
      </c>
      <c r="H610" t="str">
        <f t="shared" si="33"/>
        <v>出租车</v>
      </c>
      <c r="I610" t="str">
        <f t="shared" si="34"/>
        <v>Passenger LDV</v>
      </c>
      <c r="J610">
        <v>167</v>
      </c>
    </row>
    <row r="611" spans="1:10" x14ac:dyDescent="0.2">
      <c r="A611">
        <v>610</v>
      </c>
      <c r="B611">
        <v>2021</v>
      </c>
      <c r="C611" t="s">
        <v>11</v>
      </c>
      <c r="D611" t="str">
        <f t="shared" si="32"/>
        <v>battery electric vehicle</v>
      </c>
      <c r="E611" t="s">
        <v>18</v>
      </c>
      <c r="F611" t="s">
        <v>17</v>
      </c>
      <c r="G611" t="s">
        <v>9</v>
      </c>
      <c r="H611" t="str">
        <f t="shared" si="33"/>
        <v>出租车</v>
      </c>
      <c r="I611" t="str">
        <f t="shared" si="34"/>
        <v>Passenger LDV</v>
      </c>
      <c r="J611">
        <v>143</v>
      </c>
    </row>
    <row r="612" spans="1:10" x14ac:dyDescent="0.2">
      <c r="A612">
        <v>611</v>
      </c>
      <c r="B612">
        <v>2016</v>
      </c>
      <c r="C612" t="s">
        <v>13</v>
      </c>
      <c r="D612" t="str">
        <f t="shared" si="32"/>
        <v>gasoline vehicle</v>
      </c>
      <c r="E612" t="s">
        <v>18</v>
      </c>
      <c r="F612" t="s">
        <v>17</v>
      </c>
      <c r="G612" t="s">
        <v>9</v>
      </c>
      <c r="H612" t="str">
        <f t="shared" si="33"/>
        <v>出租车</v>
      </c>
      <c r="I612" t="str">
        <f t="shared" si="34"/>
        <v>Passenger LDV</v>
      </c>
      <c r="J612">
        <v>7690</v>
      </c>
    </row>
    <row r="613" spans="1:10" x14ac:dyDescent="0.2">
      <c r="A613">
        <v>612</v>
      </c>
      <c r="B613">
        <v>2017</v>
      </c>
      <c r="C613" t="s">
        <v>13</v>
      </c>
      <c r="D613" t="str">
        <f t="shared" si="32"/>
        <v>gasoline vehicle</v>
      </c>
      <c r="E613" t="s">
        <v>18</v>
      </c>
      <c r="F613" t="s">
        <v>17</v>
      </c>
      <c r="G613" t="s">
        <v>9</v>
      </c>
      <c r="H613" t="str">
        <f t="shared" si="33"/>
        <v>出租车</v>
      </c>
      <c r="I613" t="str">
        <f t="shared" si="34"/>
        <v>Passenger LDV</v>
      </c>
      <c r="J613">
        <v>7191</v>
      </c>
    </row>
    <row r="614" spans="1:10" x14ac:dyDescent="0.2">
      <c r="A614">
        <v>613</v>
      </c>
      <c r="B614">
        <v>2018</v>
      </c>
      <c r="C614" t="s">
        <v>13</v>
      </c>
      <c r="D614" t="str">
        <f t="shared" si="32"/>
        <v>gasoline vehicle</v>
      </c>
      <c r="E614" t="s">
        <v>18</v>
      </c>
      <c r="F614" t="s">
        <v>17</v>
      </c>
      <c r="G614" t="s">
        <v>9</v>
      </c>
      <c r="H614" t="str">
        <f t="shared" si="33"/>
        <v>出租车</v>
      </c>
      <c r="I614" t="str">
        <f t="shared" si="34"/>
        <v>Passenger LDV</v>
      </c>
      <c r="J614">
        <v>5253</v>
      </c>
    </row>
    <row r="615" spans="1:10" x14ac:dyDescent="0.2">
      <c r="A615">
        <v>614</v>
      </c>
      <c r="B615">
        <v>2019</v>
      </c>
      <c r="C615" t="s">
        <v>13</v>
      </c>
      <c r="D615" t="str">
        <f t="shared" si="32"/>
        <v>gasoline vehicle</v>
      </c>
      <c r="E615" t="s">
        <v>18</v>
      </c>
      <c r="F615" t="s">
        <v>17</v>
      </c>
      <c r="G615" t="s">
        <v>9</v>
      </c>
      <c r="H615" t="str">
        <f t="shared" si="33"/>
        <v>出租车</v>
      </c>
      <c r="I615" t="str">
        <f t="shared" si="34"/>
        <v>Passenger LDV</v>
      </c>
      <c r="J615">
        <v>4099</v>
      </c>
    </row>
    <row r="616" spans="1:10" x14ac:dyDescent="0.2">
      <c r="A616">
        <v>615</v>
      </c>
      <c r="B616">
        <v>2020</v>
      </c>
      <c r="C616" t="s">
        <v>13</v>
      </c>
      <c r="D616" t="str">
        <f t="shared" si="32"/>
        <v>gasoline vehicle</v>
      </c>
      <c r="E616" t="s">
        <v>18</v>
      </c>
      <c r="F616" t="s">
        <v>17</v>
      </c>
      <c r="G616" t="s">
        <v>9</v>
      </c>
      <c r="H616" t="str">
        <f t="shared" si="33"/>
        <v>出租车</v>
      </c>
      <c r="I616" t="str">
        <f t="shared" si="34"/>
        <v>Passenger LDV</v>
      </c>
      <c r="J616">
        <v>2696</v>
      </c>
    </row>
    <row r="617" spans="1:10" x14ac:dyDescent="0.2">
      <c r="A617">
        <v>616</v>
      </c>
      <c r="B617">
        <v>2021</v>
      </c>
      <c r="C617" t="s">
        <v>13</v>
      </c>
      <c r="D617" t="str">
        <f t="shared" si="32"/>
        <v>gasoline vehicle</v>
      </c>
      <c r="E617" t="s">
        <v>18</v>
      </c>
      <c r="F617" t="s">
        <v>17</v>
      </c>
      <c r="G617" t="s">
        <v>9</v>
      </c>
      <c r="H617" t="str">
        <f t="shared" si="33"/>
        <v>出租车</v>
      </c>
      <c r="I617" t="str">
        <f t="shared" si="34"/>
        <v>Passenger LDV</v>
      </c>
      <c r="J617">
        <v>3776</v>
      </c>
    </row>
    <row r="618" spans="1:10" x14ac:dyDescent="0.2">
      <c r="A618">
        <v>617</v>
      </c>
      <c r="B618">
        <v>2017</v>
      </c>
      <c r="C618" t="s">
        <v>6</v>
      </c>
      <c r="D618" t="str">
        <f t="shared" si="32"/>
        <v>plugin hybrid vehicle</v>
      </c>
      <c r="E618" t="s">
        <v>19</v>
      </c>
      <c r="F618" t="s">
        <v>17</v>
      </c>
      <c r="G618" t="s">
        <v>9</v>
      </c>
      <c r="H618" t="str">
        <f t="shared" si="33"/>
        <v>中重型货车</v>
      </c>
      <c r="I618" t="str">
        <f t="shared" si="34"/>
        <v>Freight HDV</v>
      </c>
      <c r="J618">
        <v>200</v>
      </c>
    </row>
    <row r="619" spans="1:10" x14ac:dyDescent="0.2">
      <c r="A619">
        <v>618</v>
      </c>
      <c r="B619">
        <v>2020</v>
      </c>
      <c r="C619" t="s">
        <v>6</v>
      </c>
      <c r="D619" t="str">
        <f t="shared" si="32"/>
        <v>plugin hybrid vehicle</v>
      </c>
      <c r="E619" t="s">
        <v>19</v>
      </c>
      <c r="F619" t="s">
        <v>17</v>
      </c>
      <c r="G619" t="s">
        <v>9</v>
      </c>
      <c r="H619" t="str">
        <f t="shared" si="33"/>
        <v>中重型货车</v>
      </c>
      <c r="I619" t="str">
        <f t="shared" si="34"/>
        <v>Freight HDV</v>
      </c>
      <c r="J619">
        <v>3</v>
      </c>
    </row>
    <row r="620" spans="1:10" x14ac:dyDescent="0.2">
      <c r="A620">
        <v>619</v>
      </c>
      <c r="B620">
        <v>2021</v>
      </c>
      <c r="C620" t="s">
        <v>6</v>
      </c>
      <c r="D620" t="str">
        <f t="shared" si="32"/>
        <v>plugin hybrid vehicle</v>
      </c>
      <c r="E620" t="s">
        <v>19</v>
      </c>
      <c r="F620" t="s">
        <v>17</v>
      </c>
      <c r="G620" t="s">
        <v>9</v>
      </c>
      <c r="H620" t="str">
        <f t="shared" si="33"/>
        <v>中重型货车</v>
      </c>
      <c r="I620" t="str">
        <f t="shared" si="34"/>
        <v>Freight HDV</v>
      </c>
      <c r="J620">
        <v>6</v>
      </c>
    </row>
    <row r="621" spans="1:10" x14ac:dyDescent="0.2">
      <c r="A621">
        <v>620</v>
      </c>
      <c r="B621">
        <v>2016</v>
      </c>
      <c r="C621" t="s">
        <v>10</v>
      </c>
      <c r="D621" t="str">
        <f t="shared" si="32"/>
        <v>diesel vehicle</v>
      </c>
      <c r="E621" t="s">
        <v>19</v>
      </c>
      <c r="F621" t="s">
        <v>17</v>
      </c>
      <c r="G621" t="s">
        <v>9</v>
      </c>
      <c r="H621" t="str">
        <f t="shared" si="33"/>
        <v>中重型货车</v>
      </c>
      <c r="I621" t="str">
        <f t="shared" si="34"/>
        <v>Freight HDV</v>
      </c>
      <c r="J621">
        <v>32490</v>
      </c>
    </row>
    <row r="622" spans="1:10" x14ac:dyDescent="0.2">
      <c r="A622">
        <v>621</v>
      </c>
      <c r="B622">
        <v>2017</v>
      </c>
      <c r="C622" t="s">
        <v>10</v>
      </c>
      <c r="D622" t="str">
        <f t="shared" si="32"/>
        <v>diesel vehicle</v>
      </c>
      <c r="E622" t="s">
        <v>19</v>
      </c>
      <c r="F622" t="s">
        <v>17</v>
      </c>
      <c r="G622" t="s">
        <v>9</v>
      </c>
      <c r="H622" t="str">
        <f t="shared" si="33"/>
        <v>中重型货车</v>
      </c>
      <c r="I622" t="str">
        <f t="shared" si="34"/>
        <v>Freight HDV</v>
      </c>
      <c r="J622">
        <v>29338</v>
      </c>
    </row>
    <row r="623" spans="1:10" x14ac:dyDescent="0.2">
      <c r="A623">
        <v>622</v>
      </c>
      <c r="B623">
        <v>2018</v>
      </c>
      <c r="C623" t="s">
        <v>10</v>
      </c>
      <c r="D623" t="str">
        <f t="shared" si="32"/>
        <v>diesel vehicle</v>
      </c>
      <c r="E623" t="s">
        <v>19</v>
      </c>
      <c r="F623" t="s">
        <v>17</v>
      </c>
      <c r="G623" t="s">
        <v>9</v>
      </c>
      <c r="H623" t="str">
        <f t="shared" si="33"/>
        <v>中重型货车</v>
      </c>
      <c r="I623" t="str">
        <f t="shared" si="34"/>
        <v>Freight HDV</v>
      </c>
      <c r="J623">
        <v>27092</v>
      </c>
    </row>
    <row r="624" spans="1:10" x14ac:dyDescent="0.2">
      <c r="A624">
        <v>623</v>
      </c>
      <c r="B624">
        <v>2019</v>
      </c>
      <c r="C624" t="s">
        <v>10</v>
      </c>
      <c r="D624" t="str">
        <f t="shared" si="32"/>
        <v>diesel vehicle</v>
      </c>
      <c r="E624" t="s">
        <v>19</v>
      </c>
      <c r="F624" t="s">
        <v>17</v>
      </c>
      <c r="G624" t="s">
        <v>9</v>
      </c>
      <c r="H624" t="str">
        <f t="shared" si="33"/>
        <v>中重型货车</v>
      </c>
      <c r="I624" t="str">
        <f t="shared" si="34"/>
        <v>Freight HDV</v>
      </c>
      <c r="J624">
        <v>27024</v>
      </c>
    </row>
    <row r="625" spans="1:10" x14ac:dyDescent="0.2">
      <c r="A625">
        <v>624</v>
      </c>
      <c r="B625">
        <v>2020</v>
      </c>
      <c r="C625" t="s">
        <v>10</v>
      </c>
      <c r="D625" t="str">
        <f t="shared" si="32"/>
        <v>diesel vehicle</v>
      </c>
      <c r="E625" t="s">
        <v>19</v>
      </c>
      <c r="F625" t="s">
        <v>17</v>
      </c>
      <c r="G625" t="s">
        <v>9</v>
      </c>
      <c r="H625" t="str">
        <f t="shared" si="33"/>
        <v>中重型货车</v>
      </c>
      <c r="I625" t="str">
        <f t="shared" si="34"/>
        <v>Freight HDV</v>
      </c>
      <c r="J625">
        <v>18610</v>
      </c>
    </row>
    <row r="626" spans="1:10" x14ac:dyDescent="0.2">
      <c r="A626">
        <v>625</v>
      </c>
      <c r="B626">
        <v>2021</v>
      </c>
      <c r="C626" t="s">
        <v>10</v>
      </c>
      <c r="D626" t="str">
        <f t="shared" si="32"/>
        <v>diesel vehicle</v>
      </c>
      <c r="E626" t="s">
        <v>19</v>
      </c>
      <c r="F626" t="s">
        <v>17</v>
      </c>
      <c r="G626" t="s">
        <v>9</v>
      </c>
      <c r="H626" t="str">
        <f t="shared" si="33"/>
        <v>中重型货车</v>
      </c>
      <c r="I626" t="str">
        <f t="shared" si="34"/>
        <v>Freight HDV</v>
      </c>
      <c r="J626">
        <v>15686</v>
      </c>
    </row>
    <row r="627" spans="1:10" x14ac:dyDescent="0.2">
      <c r="A627">
        <v>626</v>
      </c>
      <c r="B627">
        <v>2016</v>
      </c>
      <c r="C627" t="s">
        <v>11</v>
      </c>
      <c r="D627" t="str">
        <f t="shared" si="32"/>
        <v>battery electric vehicle</v>
      </c>
      <c r="E627" t="s">
        <v>19</v>
      </c>
      <c r="F627" t="s">
        <v>17</v>
      </c>
      <c r="G627" t="s">
        <v>9</v>
      </c>
      <c r="H627" t="str">
        <f t="shared" si="33"/>
        <v>中重型货车</v>
      </c>
      <c r="I627" t="str">
        <f t="shared" si="34"/>
        <v>Freight HDV</v>
      </c>
      <c r="J627">
        <v>319</v>
      </c>
    </row>
    <row r="628" spans="1:10" x14ac:dyDescent="0.2">
      <c r="A628">
        <v>627</v>
      </c>
      <c r="B628">
        <v>2017</v>
      </c>
      <c r="C628" t="s">
        <v>11</v>
      </c>
      <c r="D628" t="str">
        <f t="shared" si="32"/>
        <v>battery electric vehicle</v>
      </c>
      <c r="E628" t="s">
        <v>19</v>
      </c>
      <c r="F628" t="s">
        <v>17</v>
      </c>
      <c r="G628" t="s">
        <v>9</v>
      </c>
      <c r="H628" t="str">
        <f t="shared" si="33"/>
        <v>中重型货车</v>
      </c>
      <c r="I628" t="str">
        <f t="shared" si="34"/>
        <v>Freight HDV</v>
      </c>
      <c r="J628">
        <v>4720</v>
      </c>
    </row>
    <row r="629" spans="1:10" x14ac:dyDescent="0.2">
      <c r="A629">
        <v>628</v>
      </c>
      <c r="B629">
        <v>2018</v>
      </c>
      <c r="C629" t="s">
        <v>11</v>
      </c>
      <c r="D629" t="str">
        <f t="shared" si="32"/>
        <v>battery electric vehicle</v>
      </c>
      <c r="E629" t="s">
        <v>19</v>
      </c>
      <c r="F629" t="s">
        <v>17</v>
      </c>
      <c r="G629" t="s">
        <v>9</v>
      </c>
      <c r="H629" t="str">
        <f t="shared" si="33"/>
        <v>中重型货车</v>
      </c>
      <c r="I629" t="str">
        <f t="shared" si="34"/>
        <v>Freight HDV</v>
      </c>
      <c r="J629">
        <v>741</v>
      </c>
    </row>
    <row r="630" spans="1:10" x14ac:dyDescent="0.2">
      <c r="A630">
        <v>629</v>
      </c>
      <c r="B630">
        <v>2019</v>
      </c>
      <c r="C630" t="s">
        <v>11</v>
      </c>
      <c r="D630" t="str">
        <f t="shared" si="32"/>
        <v>battery electric vehicle</v>
      </c>
      <c r="E630" t="s">
        <v>19</v>
      </c>
      <c r="F630" t="s">
        <v>17</v>
      </c>
      <c r="G630" t="s">
        <v>9</v>
      </c>
      <c r="H630" t="str">
        <f t="shared" si="33"/>
        <v>中重型货车</v>
      </c>
      <c r="I630" t="str">
        <f t="shared" si="34"/>
        <v>Freight HDV</v>
      </c>
      <c r="J630">
        <v>639</v>
      </c>
    </row>
    <row r="631" spans="1:10" x14ac:dyDescent="0.2">
      <c r="A631">
        <v>630</v>
      </c>
      <c r="B631">
        <v>2020</v>
      </c>
      <c r="C631" t="s">
        <v>11</v>
      </c>
      <c r="D631" t="str">
        <f t="shared" si="32"/>
        <v>battery electric vehicle</v>
      </c>
      <c r="E631" t="s">
        <v>19</v>
      </c>
      <c r="F631" t="s">
        <v>17</v>
      </c>
      <c r="G631" t="s">
        <v>9</v>
      </c>
      <c r="H631" t="str">
        <f t="shared" si="33"/>
        <v>中重型货车</v>
      </c>
      <c r="I631" t="str">
        <f t="shared" si="34"/>
        <v>Freight HDV</v>
      </c>
      <c r="J631">
        <v>705</v>
      </c>
    </row>
    <row r="632" spans="1:10" x14ac:dyDescent="0.2">
      <c r="A632">
        <v>631</v>
      </c>
      <c r="B632">
        <v>2021</v>
      </c>
      <c r="C632" t="s">
        <v>11</v>
      </c>
      <c r="D632" t="str">
        <f t="shared" si="32"/>
        <v>battery electric vehicle</v>
      </c>
      <c r="E632" t="s">
        <v>19</v>
      </c>
      <c r="F632" t="s">
        <v>17</v>
      </c>
      <c r="G632" t="s">
        <v>9</v>
      </c>
      <c r="H632" t="str">
        <f t="shared" si="33"/>
        <v>中重型货车</v>
      </c>
      <c r="I632" t="str">
        <f t="shared" si="34"/>
        <v>Freight HDV</v>
      </c>
      <c r="J632">
        <v>270</v>
      </c>
    </row>
    <row r="633" spans="1:10" x14ac:dyDescent="0.2">
      <c r="A633">
        <v>632</v>
      </c>
      <c r="B633">
        <v>2017</v>
      </c>
      <c r="C633" t="s">
        <v>12</v>
      </c>
      <c r="D633" t="str">
        <f t="shared" si="32"/>
        <v>hybrid fuel vehicle</v>
      </c>
      <c r="E633" t="s">
        <v>19</v>
      </c>
      <c r="F633" t="s">
        <v>17</v>
      </c>
      <c r="G633" t="s">
        <v>9</v>
      </c>
      <c r="H633" t="str">
        <f t="shared" si="33"/>
        <v>中重型货车</v>
      </c>
      <c r="I633" t="str">
        <f t="shared" si="34"/>
        <v>Freight HDV</v>
      </c>
      <c r="J633">
        <v>1</v>
      </c>
    </row>
    <row r="634" spans="1:10" x14ac:dyDescent="0.2">
      <c r="A634">
        <v>633</v>
      </c>
      <c r="B634">
        <v>2016</v>
      </c>
      <c r="C634" t="s">
        <v>13</v>
      </c>
      <c r="D634" t="str">
        <f t="shared" si="32"/>
        <v>gasoline vehicle</v>
      </c>
      <c r="E634" t="s">
        <v>19</v>
      </c>
      <c r="F634" t="s">
        <v>17</v>
      </c>
      <c r="G634" t="s">
        <v>9</v>
      </c>
      <c r="H634" t="str">
        <f t="shared" si="33"/>
        <v>中重型货车</v>
      </c>
      <c r="I634" t="str">
        <f t="shared" si="34"/>
        <v>Freight HDV</v>
      </c>
      <c r="J634">
        <v>12</v>
      </c>
    </row>
    <row r="635" spans="1:10" x14ac:dyDescent="0.2">
      <c r="A635">
        <v>634</v>
      </c>
      <c r="B635">
        <v>2017</v>
      </c>
      <c r="C635" t="s">
        <v>13</v>
      </c>
      <c r="D635" t="str">
        <f t="shared" si="32"/>
        <v>gasoline vehicle</v>
      </c>
      <c r="E635" t="s">
        <v>19</v>
      </c>
      <c r="F635" t="s">
        <v>17</v>
      </c>
      <c r="G635" t="s">
        <v>9</v>
      </c>
      <c r="H635" t="str">
        <f t="shared" si="33"/>
        <v>中重型货车</v>
      </c>
      <c r="I635" t="str">
        <f t="shared" si="34"/>
        <v>Freight HDV</v>
      </c>
      <c r="J635">
        <v>24</v>
      </c>
    </row>
    <row r="636" spans="1:10" x14ac:dyDescent="0.2">
      <c r="A636">
        <v>635</v>
      </c>
      <c r="B636">
        <v>2018</v>
      </c>
      <c r="C636" t="s">
        <v>13</v>
      </c>
      <c r="D636" t="str">
        <f t="shared" si="32"/>
        <v>gasoline vehicle</v>
      </c>
      <c r="E636" t="s">
        <v>19</v>
      </c>
      <c r="F636" t="s">
        <v>17</v>
      </c>
      <c r="G636" t="s">
        <v>9</v>
      </c>
      <c r="H636" t="str">
        <f t="shared" si="33"/>
        <v>中重型货车</v>
      </c>
      <c r="I636" t="str">
        <f t="shared" si="34"/>
        <v>Freight HDV</v>
      </c>
      <c r="J636">
        <v>18</v>
      </c>
    </row>
    <row r="637" spans="1:10" x14ac:dyDescent="0.2">
      <c r="A637">
        <v>636</v>
      </c>
      <c r="B637">
        <v>2019</v>
      </c>
      <c r="C637" t="s">
        <v>13</v>
      </c>
      <c r="D637" t="str">
        <f t="shared" si="32"/>
        <v>gasoline vehicle</v>
      </c>
      <c r="E637" t="s">
        <v>19</v>
      </c>
      <c r="F637" t="s">
        <v>17</v>
      </c>
      <c r="G637" t="s">
        <v>9</v>
      </c>
      <c r="H637" t="str">
        <f t="shared" si="33"/>
        <v>中重型货车</v>
      </c>
      <c r="I637" t="str">
        <f t="shared" si="34"/>
        <v>Freight HDV</v>
      </c>
      <c r="J637">
        <v>12</v>
      </c>
    </row>
    <row r="638" spans="1:10" x14ac:dyDescent="0.2">
      <c r="A638">
        <v>637</v>
      </c>
      <c r="B638">
        <v>2020</v>
      </c>
      <c r="C638" t="s">
        <v>13</v>
      </c>
      <c r="D638" t="str">
        <f t="shared" si="32"/>
        <v>gasoline vehicle</v>
      </c>
      <c r="E638" t="s">
        <v>19</v>
      </c>
      <c r="F638" t="s">
        <v>17</v>
      </c>
      <c r="G638" t="s">
        <v>9</v>
      </c>
      <c r="H638" t="str">
        <f t="shared" si="33"/>
        <v>中重型货车</v>
      </c>
      <c r="I638" t="str">
        <f t="shared" si="34"/>
        <v>Freight HDV</v>
      </c>
      <c r="J638">
        <v>5</v>
      </c>
    </row>
    <row r="639" spans="1:10" x14ac:dyDescent="0.2">
      <c r="A639">
        <v>638</v>
      </c>
      <c r="B639">
        <v>2016</v>
      </c>
      <c r="C639" t="s">
        <v>14</v>
      </c>
      <c r="D639" t="str">
        <f t="shared" si="32"/>
        <v>natural gas vehicle</v>
      </c>
      <c r="E639" t="s">
        <v>19</v>
      </c>
      <c r="F639" t="s">
        <v>17</v>
      </c>
      <c r="G639" t="s">
        <v>9</v>
      </c>
      <c r="H639" t="str">
        <f t="shared" si="33"/>
        <v>中重型货车</v>
      </c>
      <c r="I639" t="str">
        <f t="shared" si="34"/>
        <v>Freight HDV</v>
      </c>
      <c r="J639">
        <v>5</v>
      </c>
    </row>
    <row r="640" spans="1:10" x14ac:dyDescent="0.2">
      <c r="A640">
        <v>639</v>
      </c>
      <c r="B640">
        <v>2017</v>
      </c>
      <c r="C640" t="s">
        <v>15</v>
      </c>
      <c r="D640" t="str">
        <f t="shared" si="32"/>
        <v>hydrogen vehicle</v>
      </c>
      <c r="E640" t="s">
        <v>19</v>
      </c>
      <c r="F640" t="s">
        <v>17</v>
      </c>
      <c r="G640" t="s">
        <v>9</v>
      </c>
      <c r="H640" t="str">
        <f t="shared" si="33"/>
        <v>中重型货车</v>
      </c>
      <c r="I640" t="str">
        <f t="shared" si="34"/>
        <v>Freight HDV</v>
      </c>
      <c r="J640">
        <v>531</v>
      </c>
    </row>
    <row r="641" spans="1:10" x14ac:dyDescent="0.2">
      <c r="A641">
        <v>640</v>
      </c>
      <c r="B641">
        <v>2018</v>
      </c>
      <c r="C641" t="s">
        <v>15</v>
      </c>
      <c r="D641" t="str">
        <f t="shared" si="32"/>
        <v>hydrogen vehicle</v>
      </c>
      <c r="E641" t="s">
        <v>19</v>
      </c>
      <c r="F641" t="s">
        <v>17</v>
      </c>
      <c r="G641" t="s">
        <v>9</v>
      </c>
      <c r="H641" t="str">
        <f t="shared" si="33"/>
        <v>中重型货车</v>
      </c>
      <c r="I641" t="str">
        <f t="shared" si="34"/>
        <v>Freight HDV</v>
      </c>
      <c r="J641">
        <v>1</v>
      </c>
    </row>
    <row r="642" spans="1:10" x14ac:dyDescent="0.2">
      <c r="A642">
        <v>641</v>
      </c>
      <c r="B642">
        <v>2019</v>
      </c>
      <c r="C642" t="s">
        <v>15</v>
      </c>
      <c r="D642" t="str">
        <f t="shared" ref="D642:D705" si="35">VLOOKUP(C642,M$3:N$16,2,FALSE)</f>
        <v>hydrogen vehicle</v>
      </c>
      <c r="E642" t="s">
        <v>19</v>
      </c>
      <c r="F642" t="s">
        <v>17</v>
      </c>
      <c r="G642" t="s">
        <v>9</v>
      </c>
      <c r="H642" t="str">
        <f t="shared" si="33"/>
        <v>中重型货车</v>
      </c>
      <c r="I642" t="str">
        <f t="shared" si="34"/>
        <v>Freight HDV</v>
      </c>
      <c r="J642">
        <v>411</v>
      </c>
    </row>
    <row r="643" spans="1:10" x14ac:dyDescent="0.2">
      <c r="A643">
        <v>642</v>
      </c>
      <c r="B643">
        <v>2020</v>
      </c>
      <c r="C643" t="s">
        <v>15</v>
      </c>
      <c r="D643" t="str">
        <f t="shared" si="35"/>
        <v>hydrogen vehicle</v>
      </c>
      <c r="E643" t="s">
        <v>19</v>
      </c>
      <c r="F643" t="s">
        <v>17</v>
      </c>
      <c r="G643" t="s">
        <v>9</v>
      </c>
      <c r="H643" t="str">
        <f t="shared" ref="H643:H706" si="36">VLOOKUP(E643&amp;F643&amp;G643,$S$3:$U$68,2,FALSE)</f>
        <v>中重型货车</v>
      </c>
      <c r="I643" t="str">
        <f t="shared" ref="I643:I706" si="37">VLOOKUP(E643&amp;F643&amp;G643,$S$3:$U$68,3,FALSE)</f>
        <v>Freight HDV</v>
      </c>
      <c r="J643">
        <v>63</v>
      </c>
    </row>
    <row r="644" spans="1:10" x14ac:dyDescent="0.2">
      <c r="A644">
        <v>643</v>
      </c>
      <c r="B644">
        <v>2021</v>
      </c>
      <c r="C644" t="s">
        <v>15</v>
      </c>
      <c r="D644" t="str">
        <f t="shared" si="35"/>
        <v>hydrogen vehicle</v>
      </c>
      <c r="E644" t="s">
        <v>19</v>
      </c>
      <c r="F644" t="s">
        <v>17</v>
      </c>
      <c r="G644" t="s">
        <v>9</v>
      </c>
      <c r="H644" t="str">
        <f t="shared" si="36"/>
        <v>中重型货车</v>
      </c>
      <c r="I644" t="str">
        <f t="shared" si="37"/>
        <v>Freight HDV</v>
      </c>
      <c r="J644">
        <v>7</v>
      </c>
    </row>
    <row r="645" spans="1:10" x14ac:dyDescent="0.2">
      <c r="A645">
        <v>644</v>
      </c>
      <c r="B645">
        <v>2016</v>
      </c>
      <c r="C645" t="s">
        <v>16</v>
      </c>
      <c r="D645" t="str">
        <f t="shared" si="35"/>
        <v>natural gas vehicle</v>
      </c>
      <c r="E645" t="s">
        <v>19</v>
      </c>
      <c r="F645" t="s">
        <v>17</v>
      </c>
      <c r="G645" t="s">
        <v>9</v>
      </c>
      <c r="H645" t="str">
        <f t="shared" si="36"/>
        <v>中重型货车</v>
      </c>
      <c r="I645" t="str">
        <f t="shared" si="37"/>
        <v>Freight HDV</v>
      </c>
      <c r="J645">
        <v>121</v>
      </c>
    </row>
    <row r="646" spans="1:10" x14ac:dyDescent="0.2">
      <c r="A646">
        <v>645</v>
      </c>
      <c r="B646">
        <v>2017</v>
      </c>
      <c r="C646" t="s">
        <v>16</v>
      </c>
      <c r="D646" t="str">
        <f t="shared" si="35"/>
        <v>natural gas vehicle</v>
      </c>
      <c r="E646" t="s">
        <v>19</v>
      </c>
      <c r="F646" t="s">
        <v>17</v>
      </c>
      <c r="G646" t="s">
        <v>9</v>
      </c>
      <c r="H646" t="str">
        <f t="shared" si="36"/>
        <v>中重型货车</v>
      </c>
      <c r="I646" t="str">
        <f t="shared" si="37"/>
        <v>Freight HDV</v>
      </c>
      <c r="J646">
        <v>319</v>
      </c>
    </row>
    <row r="647" spans="1:10" x14ac:dyDescent="0.2">
      <c r="A647">
        <v>646</v>
      </c>
      <c r="B647">
        <v>2018</v>
      </c>
      <c r="C647" t="s">
        <v>16</v>
      </c>
      <c r="D647" t="str">
        <f t="shared" si="35"/>
        <v>natural gas vehicle</v>
      </c>
      <c r="E647" t="s">
        <v>19</v>
      </c>
      <c r="F647" t="s">
        <v>17</v>
      </c>
      <c r="G647" t="s">
        <v>9</v>
      </c>
      <c r="H647" t="str">
        <f t="shared" si="36"/>
        <v>中重型货车</v>
      </c>
      <c r="I647" t="str">
        <f t="shared" si="37"/>
        <v>Freight HDV</v>
      </c>
      <c r="J647">
        <v>264</v>
      </c>
    </row>
    <row r="648" spans="1:10" x14ac:dyDescent="0.2">
      <c r="A648">
        <v>647</v>
      </c>
      <c r="B648">
        <v>2019</v>
      </c>
      <c r="C648" t="s">
        <v>16</v>
      </c>
      <c r="D648" t="str">
        <f t="shared" si="35"/>
        <v>natural gas vehicle</v>
      </c>
      <c r="E648" t="s">
        <v>19</v>
      </c>
      <c r="F648" t="s">
        <v>17</v>
      </c>
      <c r="G648" t="s">
        <v>9</v>
      </c>
      <c r="H648" t="str">
        <f t="shared" si="36"/>
        <v>中重型货车</v>
      </c>
      <c r="I648" t="str">
        <f t="shared" si="37"/>
        <v>Freight HDV</v>
      </c>
      <c r="J648">
        <v>121</v>
      </c>
    </row>
    <row r="649" spans="1:10" x14ac:dyDescent="0.2">
      <c r="A649">
        <v>648</v>
      </c>
      <c r="B649">
        <v>2020</v>
      </c>
      <c r="C649" t="s">
        <v>16</v>
      </c>
      <c r="D649" t="str">
        <f t="shared" si="35"/>
        <v>natural gas vehicle</v>
      </c>
      <c r="E649" t="s">
        <v>19</v>
      </c>
      <c r="F649" t="s">
        <v>17</v>
      </c>
      <c r="G649" t="s">
        <v>9</v>
      </c>
      <c r="H649" t="str">
        <f t="shared" si="36"/>
        <v>中重型货车</v>
      </c>
      <c r="I649" t="str">
        <f t="shared" si="37"/>
        <v>Freight HDV</v>
      </c>
      <c r="J649">
        <v>62</v>
      </c>
    </row>
    <row r="650" spans="1:10" x14ac:dyDescent="0.2">
      <c r="A650">
        <v>649</v>
      </c>
      <c r="B650">
        <v>2021</v>
      </c>
      <c r="C650" t="s">
        <v>16</v>
      </c>
      <c r="D650" t="str">
        <f t="shared" si="35"/>
        <v>natural gas vehicle</v>
      </c>
      <c r="E650" t="s">
        <v>19</v>
      </c>
      <c r="F650" t="s">
        <v>17</v>
      </c>
      <c r="G650" t="s">
        <v>9</v>
      </c>
      <c r="H650" t="str">
        <f t="shared" si="36"/>
        <v>中重型货车</v>
      </c>
      <c r="I650" t="str">
        <f t="shared" si="37"/>
        <v>Freight HDV</v>
      </c>
      <c r="J650">
        <v>28</v>
      </c>
    </row>
    <row r="651" spans="1:10" x14ac:dyDescent="0.2">
      <c r="A651">
        <v>650</v>
      </c>
      <c r="B651">
        <v>2016</v>
      </c>
      <c r="C651" t="s">
        <v>10</v>
      </c>
      <c r="D651" t="str">
        <f t="shared" si="35"/>
        <v>diesel vehicle</v>
      </c>
      <c r="E651" t="s">
        <v>20</v>
      </c>
      <c r="F651" t="s">
        <v>17</v>
      </c>
      <c r="G651" t="s">
        <v>9</v>
      </c>
      <c r="H651" t="str">
        <f t="shared" si="36"/>
        <v>道路客车</v>
      </c>
      <c r="I651" t="str">
        <f t="shared" si="37"/>
        <v>Passenger HDV</v>
      </c>
      <c r="J651">
        <v>2975</v>
      </c>
    </row>
    <row r="652" spans="1:10" x14ac:dyDescent="0.2">
      <c r="A652">
        <v>651</v>
      </c>
      <c r="B652">
        <v>2017</v>
      </c>
      <c r="C652" t="s">
        <v>10</v>
      </c>
      <c r="D652" t="str">
        <f t="shared" si="35"/>
        <v>diesel vehicle</v>
      </c>
      <c r="E652" t="s">
        <v>20</v>
      </c>
      <c r="F652" t="s">
        <v>17</v>
      </c>
      <c r="G652" t="s">
        <v>9</v>
      </c>
      <c r="H652" t="str">
        <f t="shared" si="36"/>
        <v>道路客车</v>
      </c>
      <c r="I652" t="str">
        <f t="shared" si="37"/>
        <v>Passenger HDV</v>
      </c>
      <c r="J652">
        <v>1412</v>
      </c>
    </row>
    <row r="653" spans="1:10" x14ac:dyDescent="0.2">
      <c r="A653">
        <v>652</v>
      </c>
      <c r="B653">
        <v>2018</v>
      </c>
      <c r="C653" t="s">
        <v>10</v>
      </c>
      <c r="D653" t="str">
        <f t="shared" si="35"/>
        <v>diesel vehicle</v>
      </c>
      <c r="E653" t="s">
        <v>20</v>
      </c>
      <c r="F653" t="s">
        <v>17</v>
      </c>
      <c r="G653" t="s">
        <v>9</v>
      </c>
      <c r="H653" t="str">
        <f t="shared" si="36"/>
        <v>道路客车</v>
      </c>
      <c r="I653" t="str">
        <f t="shared" si="37"/>
        <v>Passenger HDV</v>
      </c>
      <c r="J653">
        <v>675</v>
      </c>
    </row>
    <row r="654" spans="1:10" x14ac:dyDescent="0.2">
      <c r="A654">
        <v>653</v>
      </c>
      <c r="B654">
        <v>2019</v>
      </c>
      <c r="C654" t="s">
        <v>10</v>
      </c>
      <c r="D654" t="str">
        <f t="shared" si="35"/>
        <v>diesel vehicle</v>
      </c>
      <c r="E654" t="s">
        <v>20</v>
      </c>
      <c r="F654" t="s">
        <v>17</v>
      </c>
      <c r="G654" t="s">
        <v>9</v>
      </c>
      <c r="H654" t="str">
        <f t="shared" si="36"/>
        <v>道路客车</v>
      </c>
      <c r="I654" t="str">
        <f t="shared" si="37"/>
        <v>Passenger HDV</v>
      </c>
      <c r="J654">
        <v>1400</v>
      </c>
    </row>
    <row r="655" spans="1:10" x14ac:dyDescent="0.2">
      <c r="A655">
        <v>654</v>
      </c>
      <c r="B655">
        <v>2020</v>
      </c>
      <c r="C655" t="s">
        <v>10</v>
      </c>
      <c r="D655" t="str">
        <f t="shared" si="35"/>
        <v>diesel vehicle</v>
      </c>
      <c r="E655" t="s">
        <v>20</v>
      </c>
      <c r="F655" t="s">
        <v>17</v>
      </c>
      <c r="G655" t="s">
        <v>9</v>
      </c>
      <c r="H655" t="str">
        <f t="shared" si="36"/>
        <v>道路客车</v>
      </c>
      <c r="I655" t="str">
        <f t="shared" si="37"/>
        <v>Passenger HDV</v>
      </c>
      <c r="J655">
        <v>695</v>
      </c>
    </row>
    <row r="656" spans="1:10" x14ac:dyDescent="0.2">
      <c r="A656">
        <v>655</v>
      </c>
      <c r="B656">
        <v>2021</v>
      </c>
      <c r="C656" t="s">
        <v>10</v>
      </c>
      <c r="D656" t="str">
        <f t="shared" si="35"/>
        <v>diesel vehicle</v>
      </c>
      <c r="E656" t="s">
        <v>20</v>
      </c>
      <c r="F656" t="s">
        <v>17</v>
      </c>
      <c r="G656" t="s">
        <v>9</v>
      </c>
      <c r="H656" t="str">
        <f t="shared" si="36"/>
        <v>道路客车</v>
      </c>
      <c r="I656" t="str">
        <f t="shared" si="37"/>
        <v>Passenger HDV</v>
      </c>
      <c r="J656">
        <v>775</v>
      </c>
    </row>
    <row r="657" spans="1:10" x14ac:dyDescent="0.2">
      <c r="A657">
        <v>656</v>
      </c>
      <c r="B657">
        <v>2021</v>
      </c>
      <c r="C657" t="s">
        <v>11</v>
      </c>
      <c r="D657" t="str">
        <f t="shared" si="35"/>
        <v>battery electric vehicle</v>
      </c>
      <c r="E657" t="s">
        <v>20</v>
      </c>
      <c r="F657" t="s">
        <v>17</v>
      </c>
      <c r="G657" t="s">
        <v>9</v>
      </c>
      <c r="H657" t="str">
        <f t="shared" si="36"/>
        <v>道路客车</v>
      </c>
      <c r="I657" t="str">
        <f t="shared" si="37"/>
        <v>Passenger HDV</v>
      </c>
      <c r="J657">
        <v>15</v>
      </c>
    </row>
    <row r="658" spans="1:10" x14ac:dyDescent="0.2">
      <c r="A658">
        <v>657</v>
      </c>
      <c r="B658">
        <v>2016</v>
      </c>
      <c r="C658" t="s">
        <v>13</v>
      </c>
      <c r="D658" t="str">
        <f t="shared" si="35"/>
        <v>gasoline vehicle</v>
      </c>
      <c r="E658" t="s">
        <v>20</v>
      </c>
      <c r="F658" t="s">
        <v>17</v>
      </c>
      <c r="G658" t="s">
        <v>9</v>
      </c>
      <c r="H658" t="str">
        <f t="shared" si="36"/>
        <v>道路客车</v>
      </c>
      <c r="I658" t="str">
        <f t="shared" si="37"/>
        <v>Passenger HDV</v>
      </c>
      <c r="J658">
        <v>417</v>
      </c>
    </row>
    <row r="659" spans="1:10" x14ac:dyDescent="0.2">
      <c r="A659">
        <v>658</v>
      </c>
      <c r="B659">
        <v>2017</v>
      </c>
      <c r="C659" t="s">
        <v>13</v>
      </c>
      <c r="D659" t="str">
        <f t="shared" si="35"/>
        <v>gasoline vehicle</v>
      </c>
      <c r="E659" t="s">
        <v>20</v>
      </c>
      <c r="F659" t="s">
        <v>17</v>
      </c>
      <c r="G659" t="s">
        <v>9</v>
      </c>
      <c r="H659" t="str">
        <f t="shared" si="36"/>
        <v>道路客车</v>
      </c>
      <c r="I659" t="str">
        <f t="shared" si="37"/>
        <v>Passenger HDV</v>
      </c>
      <c r="J659">
        <v>281</v>
      </c>
    </row>
    <row r="660" spans="1:10" x14ac:dyDescent="0.2">
      <c r="A660">
        <v>659</v>
      </c>
      <c r="B660">
        <v>2018</v>
      </c>
      <c r="C660" t="s">
        <v>13</v>
      </c>
      <c r="D660" t="str">
        <f t="shared" si="35"/>
        <v>gasoline vehicle</v>
      </c>
      <c r="E660" t="s">
        <v>20</v>
      </c>
      <c r="F660" t="s">
        <v>17</v>
      </c>
      <c r="G660" t="s">
        <v>9</v>
      </c>
      <c r="H660" t="str">
        <f t="shared" si="36"/>
        <v>道路客车</v>
      </c>
      <c r="I660" t="str">
        <f t="shared" si="37"/>
        <v>Passenger HDV</v>
      </c>
      <c r="J660">
        <v>103</v>
      </c>
    </row>
    <row r="661" spans="1:10" x14ac:dyDescent="0.2">
      <c r="A661">
        <v>660</v>
      </c>
      <c r="B661">
        <v>2019</v>
      </c>
      <c r="C661" t="s">
        <v>13</v>
      </c>
      <c r="D661" t="str">
        <f t="shared" si="35"/>
        <v>gasoline vehicle</v>
      </c>
      <c r="E661" t="s">
        <v>20</v>
      </c>
      <c r="F661" t="s">
        <v>17</v>
      </c>
      <c r="G661" t="s">
        <v>9</v>
      </c>
      <c r="H661" t="str">
        <f t="shared" si="36"/>
        <v>道路客车</v>
      </c>
      <c r="I661" t="str">
        <f t="shared" si="37"/>
        <v>Passenger HDV</v>
      </c>
      <c r="J661">
        <v>117</v>
      </c>
    </row>
    <row r="662" spans="1:10" x14ac:dyDescent="0.2">
      <c r="A662">
        <v>661</v>
      </c>
      <c r="B662">
        <v>2020</v>
      </c>
      <c r="C662" t="s">
        <v>13</v>
      </c>
      <c r="D662" t="str">
        <f t="shared" si="35"/>
        <v>gasoline vehicle</v>
      </c>
      <c r="E662" t="s">
        <v>20</v>
      </c>
      <c r="F662" t="s">
        <v>17</v>
      </c>
      <c r="G662" t="s">
        <v>9</v>
      </c>
      <c r="H662" t="str">
        <f t="shared" si="36"/>
        <v>道路客车</v>
      </c>
      <c r="I662" t="str">
        <f t="shared" si="37"/>
        <v>Passenger HDV</v>
      </c>
      <c r="J662">
        <v>37</v>
      </c>
    </row>
    <row r="663" spans="1:10" x14ac:dyDescent="0.2">
      <c r="A663">
        <v>662</v>
      </c>
      <c r="B663">
        <v>2021</v>
      </c>
      <c r="C663" t="s">
        <v>13</v>
      </c>
      <c r="D663" t="str">
        <f t="shared" si="35"/>
        <v>gasoline vehicle</v>
      </c>
      <c r="E663" t="s">
        <v>20</v>
      </c>
      <c r="F663" t="s">
        <v>17</v>
      </c>
      <c r="G663" t="s">
        <v>9</v>
      </c>
      <c r="H663" t="str">
        <f t="shared" si="36"/>
        <v>道路客车</v>
      </c>
      <c r="I663" t="str">
        <f t="shared" si="37"/>
        <v>Passenger HDV</v>
      </c>
      <c r="J663">
        <v>56</v>
      </c>
    </row>
    <row r="664" spans="1:10" x14ac:dyDescent="0.2">
      <c r="A664">
        <v>663</v>
      </c>
      <c r="B664">
        <v>2017</v>
      </c>
      <c r="C664" t="s">
        <v>6</v>
      </c>
      <c r="D664" t="str">
        <f t="shared" si="35"/>
        <v>plugin hybrid vehicle</v>
      </c>
      <c r="E664" t="s">
        <v>21</v>
      </c>
      <c r="F664" t="s">
        <v>17</v>
      </c>
      <c r="G664" t="s">
        <v>9</v>
      </c>
      <c r="H664" t="str">
        <f t="shared" si="36"/>
        <v>中重型货车</v>
      </c>
      <c r="I664" t="str">
        <f t="shared" si="37"/>
        <v>Freight HDV</v>
      </c>
      <c r="J664">
        <v>920</v>
      </c>
    </row>
    <row r="665" spans="1:10" x14ac:dyDescent="0.2">
      <c r="A665">
        <v>664</v>
      </c>
      <c r="B665">
        <v>2016</v>
      </c>
      <c r="C665" t="s">
        <v>10</v>
      </c>
      <c r="D665" t="str">
        <f t="shared" si="35"/>
        <v>diesel vehicle</v>
      </c>
      <c r="E665" t="s">
        <v>21</v>
      </c>
      <c r="F665" t="s">
        <v>17</v>
      </c>
      <c r="G665" t="s">
        <v>9</v>
      </c>
      <c r="H665" t="str">
        <f t="shared" si="36"/>
        <v>中重型货车</v>
      </c>
      <c r="I665" t="str">
        <f t="shared" si="37"/>
        <v>Freight HDV</v>
      </c>
      <c r="J665">
        <v>92755</v>
      </c>
    </row>
    <row r="666" spans="1:10" x14ac:dyDescent="0.2">
      <c r="A666">
        <v>665</v>
      </c>
      <c r="B666">
        <v>2017</v>
      </c>
      <c r="C666" t="s">
        <v>10</v>
      </c>
      <c r="D666" t="str">
        <f t="shared" si="35"/>
        <v>diesel vehicle</v>
      </c>
      <c r="E666" t="s">
        <v>21</v>
      </c>
      <c r="F666" t="s">
        <v>17</v>
      </c>
      <c r="G666" t="s">
        <v>9</v>
      </c>
      <c r="H666" t="str">
        <f t="shared" si="36"/>
        <v>中重型货车</v>
      </c>
      <c r="I666" t="str">
        <f t="shared" si="37"/>
        <v>Freight HDV</v>
      </c>
      <c r="J666">
        <v>111768</v>
      </c>
    </row>
    <row r="667" spans="1:10" x14ac:dyDescent="0.2">
      <c r="A667">
        <v>666</v>
      </c>
      <c r="B667">
        <v>2018</v>
      </c>
      <c r="C667" t="s">
        <v>10</v>
      </c>
      <c r="D667" t="str">
        <f t="shared" si="35"/>
        <v>diesel vehicle</v>
      </c>
      <c r="E667" t="s">
        <v>21</v>
      </c>
      <c r="F667" t="s">
        <v>17</v>
      </c>
      <c r="G667" t="s">
        <v>9</v>
      </c>
      <c r="H667" t="str">
        <f t="shared" si="36"/>
        <v>中重型货车</v>
      </c>
      <c r="I667" t="str">
        <f t="shared" si="37"/>
        <v>Freight HDV</v>
      </c>
      <c r="J667">
        <v>134760</v>
      </c>
    </row>
    <row r="668" spans="1:10" x14ac:dyDescent="0.2">
      <c r="A668">
        <v>667</v>
      </c>
      <c r="B668">
        <v>2019</v>
      </c>
      <c r="C668" t="s">
        <v>10</v>
      </c>
      <c r="D668" t="str">
        <f t="shared" si="35"/>
        <v>diesel vehicle</v>
      </c>
      <c r="E668" t="s">
        <v>21</v>
      </c>
      <c r="F668" t="s">
        <v>17</v>
      </c>
      <c r="G668" t="s">
        <v>9</v>
      </c>
      <c r="H668" t="str">
        <f t="shared" si="36"/>
        <v>中重型货车</v>
      </c>
      <c r="I668" t="str">
        <f t="shared" si="37"/>
        <v>Freight HDV</v>
      </c>
      <c r="J668">
        <v>130568</v>
      </c>
    </row>
    <row r="669" spans="1:10" x14ac:dyDescent="0.2">
      <c r="A669">
        <v>668</v>
      </c>
      <c r="B669">
        <v>2020</v>
      </c>
      <c r="C669" t="s">
        <v>10</v>
      </c>
      <c r="D669" t="str">
        <f t="shared" si="35"/>
        <v>diesel vehicle</v>
      </c>
      <c r="E669" t="s">
        <v>21</v>
      </c>
      <c r="F669" t="s">
        <v>17</v>
      </c>
      <c r="G669" t="s">
        <v>9</v>
      </c>
      <c r="H669" t="str">
        <f t="shared" si="36"/>
        <v>中重型货车</v>
      </c>
      <c r="I669" t="str">
        <f t="shared" si="37"/>
        <v>Freight HDV</v>
      </c>
      <c r="J669">
        <v>97011</v>
      </c>
    </row>
    <row r="670" spans="1:10" x14ac:dyDescent="0.2">
      <c r="A670">
        <v>669</v>
      </c>
      <c r="B670">
        <v>2021</v>
      </c>
      <c r="C670" t="s">
        <v>10</v>
      </c>
      <c r="D670" t="str">
        <f t="shared" si="35"/>
        <v>diesel vehicle</v>
      </c>
      <c r="E670" t="s">
        <v>21</v>
      </c>
      <c r="F670" t="s">
        <v>17</v>
      </c>
      <c r="G670" t="s">
        <v>9</v>
      </c>
      <c r="H670" t="str">
        <f t="shared" si="36"/>
        <v>中重型货车</v>
      </c>
      <c r="I670" t="str">
        <f t="shared" si="37"/>
        <v>Freight HDV</v>
      </c>
      <c r="J670">
        <v>85085</v>
      </c>
    </row>
    <row r="671" spans="1:10" x14ac:dyDescent="0.2">
      <c r="A671">
        <v>670</v>
      </c>
      <c r="B671">
        <v>2016</v>
      </c>
      <c r="C671" t="s">
        <v>11</v>
      </c>
      <c r="D671" t="str">
        <f t="shared" si="35"/>
        <v>battery electric vehicle</v>
      </c>
      <c r="E671" t="s">
        <v>21</v>
      </c>
      <c r="F671" t="s">
        <v>17</v>
      </c>
      <c r="G671" t="s">
        <v>9</v>
      </c>
      <c r="H671" t="str">
        <f t="shared" si="36"/>
        <v>中重型货车</v>
      </c>
      <c r="I671" t="str">
        <f t="shared" si="37"/>
        <v>Freight HDV</v>
      </c>
      <c r="J671">
        <v>178</v>
      </c>
    </row>
    <row r="672" spans="1:10" x14ac:dyDescent="0.2">
      <c r="A672">
        <v>671</v>
      </c>
      <c r="B672">
        <v>2017</v>
      </c>
      <c r="C672" t="s">
        <v>11</v>
      </c>
      <c r="D672" t="str">
        <f t="shared" si="35"/>
        <v>battery electric vehicle</v>
      </c>
      <c r="E672" t="s">
        <v>21</v>
      </c>
      <c r="F672" t="s">
        <v>17</v>
      </c>
      <c r="G672" t="s">
        <v>9</v>
      </c>
      <c r="H672" t="str">
        <f t="shared" si="36"/>
        <v>中重型货车</v>
      </c>
      <c r="I672" t="str">
        <f t="shared" si="37"/>
        <v>Freight HDV</v>
      </c>
      <c r="J672">
        <v>10153</v>
      </c>
    </row>
    <row r="673" spans="1:10" x14ac:dyDescent="0.2">
      <c r="A673">
        <v>672</v>
      </c>
      <c r="B673">
        <v>2018</v>
      </c>
      <c r="C673" t="s">
        <v>11</v>
      </c>
      <c r="D673" t="str">
        <f t="shared" si="35"/>
        <v>battery electric vehicle</v>
      </c>
      <c r="E673" t="s">
        <v>21</v>
      </c>
      <c r="F673" t="s">
        <v>17</v>
      </c>
      <c r="G673" t="s">
        <v>9</v>
      </c>
      <c r="H673" t="str">
        <f t="shared" si="36"/>
        <v>中重型货车</v>
      </c>
      <c r="I673" t="str">
        <f t="shared" si="37"/>
        <v>Freight HDV</v>
      </c>
      <c r="J673">
        <v>292</v>
      </c>
    </row>
    <row r="674" spans="1:10" x14ac:dyDescent="0.2">
      <c r="A674">
        <v>673</v>
      </c>
      <c r="B674">
        <v>2019</v>
      </c>
      <c r="C674" t="s">
        <v>11</v>
      </c>
      <c r="D674" t="str">
        <f t="shared" si="35"/>
        <v>battery electric vehicle</v>
      </c>
      <c r="E674" t="s">
        <v>21</v>
      </c>
      <c r="F674" t="s">
        <v>17</v>
      </c>
      <c r="G674" t="s">
        <v>9</v>
      </c>
      <c r="H674" t="str">
        <f t="shared" si="36"/>
        <v>中重型货车</v>
      </c>
      <c r="I674" t="str">
        <f t="shared" si="37"/>
        <v>Freight HDV</v>
      </c>
      <c r="J674">
        <v>1091</v>
      </c>
    </row>
    <row r="675" spans="1:10" x14ac:dyDescent="0.2">
      <c r="A675">
        <v>674</v>
      </c>
      <c r="B675">
        <v>2020</v>
      </c>
      <c r="C675" t="s">
        <v>11</v>
      </c>
      <c r="D675" t="str">
        <f t="shared" si="35"/>
        <v>battery electric vehicle</v>
      </c>
      <c r="E675" t="s">
        <v>21</v>
      </c>
      <c r="F675" t="s">
        <v>17</v>
      </c>
      <c r="G675" t="s">
        <v>9</v>
      </c>
      <c r="H675" t="str">
        <f t="shared" si="36"/>
        <v>中重型货车</v>
      </c>
      <c r="I675" t="str">
        <f t="shared" si="37"/>
        <v>Freight HDV</v>
      </c>
      <c r="J675">
        <v>925</v>
      </c>
    </row>
    <row r="676" spans="1:10" x14ac:dyDescent="0.2">
      <c r="A676">
        <v>675</v>
      </c>
      <c r="B676">
        <v>2021</v>
      </c>
      <c r="C676" t="s">
        <v>11</v>
      </c>
      <c r="D676" t="str">
        <f t="shared" si="35"/>
        <v>battery electric vehicle</v>
      </c>
      <c r="E676" t="s">
        <v>21</v>
      </c>
      <c r="F676" t="s">
        <v>17</v>
      </c>
      <c r="G676" t="s">
        <v>9</v>
      </c>
      <c r="H676" t="str">
        <f t="shared" si="36"/>
        <v>中重型货车</v>
      </c>
      <c r="I676" t="str">
        <f t="shared" si="37"/>
        <v>Freight HDV</v>
      </c>
      <c r="J676">
        <v>1345</v>
      </c>
    </row>
    <row r="677" spans="1:10" x14ac:dyDescent="0.2">
      <c r="A677">
        <v>676</v>
      </c>
      <c r="B677">
        <v>2017</v>
      </c>
      <c r="C677" t="s">
        <v>12</v>
      </c>
      <c r="D677" t="str">
        <f t="shared" si="35"/>
        <v>hybrid fuel vehicle</v>
      </c>
      <c r="E677" t="s">
        <v>21</v>
      </c>
      <c r="F677" t="s">
        <v>17</v>
      </c>
      <c r="G677" t="s">
        <v>9</v>
      </c>
      <c r="H677" t="str">
        <f t="shared" si="36"/>
        <v>中重型货车</v>
      </c>
      <c r="I677" t="str">
        <f t="shared" si="37"/>
        <v>Freight HDV</v>
      </c>
      <c r="J677">
        <v>55</v>
      </c>
    </row>
    <row r="678" spans="1:10" x14ac:dyDescent="0.2">
      <c r="A678">
        <v>677</v>
      </c>
      <c r="B678">
        <v>2020</v>
      </c>
      <c r="C678" t="s">
        <v>12</v>
      </c>
      <c r="D678" t="str">
        <f t="shared" si="35"/>
        <v>hybrid fuel vehicle</v>
      </c>
      <c r="E678" t="s">
        <v>21</v>
      </c>
      <c r="F678" t="s">
        <v>17</v>
      </c>
      <c r="G678" t="s">
        <v>9</v>
      </c>
      <c r="H678" t="str">
        <f t="shared" si="36"/>
        <v>中重型货车</v>
      </c>
      <c r="I678" t="str">
        <f t="shared" si="37"/>
        <v>Freight HDV</v>
      </c>
      <c r="J678">
        <v>1</v>
      </c>
    </row>
    <row r="679" spans="1:10" x14ac:dyDescent="0.2">
      <c r="A679">
        <v>678</v>
      </c>
      <c r="B679">
        <v>2016</v>
      </c>
      <c r="C679" t="s">
        <v>13</v>
      </c>
      <c r="D679" t="str">
        <f t="shared" si="35"/>
        <v>gasoline vehicle</v>
      </c>
      <c r="E679" t="s">
        <v>21</v>
      </c>
      <c r="F679" t="s">
        <v>17</v>
      </c>
      <c r="G679" t="s">
        <v>9</v>
      </c>
      <c r="H679" t="str">
        <f t="shared" si="36"/>
        <v>中重型货车</v>
      </c>
      <c r="I679" t="str">
        <f t="shared" si="37"/>
        <v>Freight HDV</v>
      </c>
      <c r="J679">
        <v>1</v>
      </c>
    </row>
    <row r="680" spans="1:10" x14ac:dyDescent="0.2">
      <c r="A680">
        <v>679</v>
      </c>
      <c r="B680">
        <v>2017</v>
      </c>
      <c r="C680" t="s">
        <v>15</v>
      </c>
      <c r="D680" t="str">
        <f t="shared" si="35"/>
        <v>hydrogen vehicle</v>
      </c>
      <c r="E680" t="s">
        <v>21</v>
      </c>
      <c r="F680" t="s">
        <v>17</v>
      </c>
      <c r="G680" t="s">
        <v>9</v>
      </c>
      <c r="H680" t="str">
        <f t="shared" si="36"/>
        <v>中重型货车</v>
      </c>
      <c r="I680" t="str">
        <f t="shared" si="37"/>
        <v>Freight HDV</v>
      </c>
      <c r="J680">
        <v>1</v>
      </c>
    </row>
    <row r="681" spans="1:10" x14ac:dyDescent="0.2">
      <c r="A681">
        <v>680</v>
      </c>
      <c r="B681">
        <v>2020</v>
      </c>
      <c r="C681" t="s">
        <v>15</v>
      </c>
      <c r="D681" t="str">
        <f t="shared" si="35"/>
        <v>hydrogen vehicle</v>
      </c>
      <c r="E681" t="s">
        <v>21</v>
      </c>
      <c r="F681" t="s">
        <v>17</v>
      </c>
      <c r="G681" t="s">
        <v>9</v>
      </c>
      <c r="H681" t="str">
        <f t="shared" si="36"/>
        <v>中重型货车</v>
      </c>
      <c r="I681" t="str">
        <f t="shared" si="37"/>
        <v>Freight HDV</v>
      </c>
      <c r="J681">
        <v>1</v>
      </c>
    </row>
    <row r="682" spans="1:10" x14ac:dyDescent="0.2">
      <c r="A682">
        <v>681</v>
      </c>
      <c r="B682">
        <v>2021</v>
      </c>
      <c r="C682" t="s">
        <v>15</v>
      </c>
      <c r="D682" t="str">
        <f t="shared" si="35"/>
        <v>hydrogen vehicle</v>
      </c>
      <c r="E682" t="s">
        <v>21</v>
      </c>
      <c r="F682" t="s">
        <v>17</v>
      </c>
      <c r="G682" t="s">
        <v>9</v>
      </c>
      <c r="H682" t="str">
        <f t="shared" si="36"/>
        <v>中重型货车</v>
      </c>
      <c r="I682" t="str">
        <f t="shared" si="37"/>
        <v>Freight HDV</v>
      </c>
      <c r="J682">
        <v>6</v>
      </c>
    </row>
    <row r="683" spans="1:10" x14ac:dyDescent="0.2">
      <c r="A683">
        <v>682</v>
      </c>
      <c r="B683">
        <v>2016</v>
      </c>
      <c r="C683" t="s">
        <v>16</v>
      </c>
      <c r="D683" t="str">
        <f t="shared" si="35"/>
        <v>natural gas vehicle</v>
      </c>
      <c r="E683" t="s">
        <v>21</v>
      </c>
      <c r="F683" t="s">
        <v>17</v>
      </c>
      <c r="G683" t="s">
        <v>9</v>
      </c>
      <c r="H683" t="str">
        <f t="shared" si="36"/>
        <v>中重型货车</v>
      </c>
      <c r="I683" t="str">
        <f t="shared" si="37"/>
        <v>Freight HDV</v>
      </c>
      <c r="J683">
        <v>1392</v>
      </c>
    </row>
    <row r="684" spans="1:10" x14ac:dyDescent="0.2">
      <c r="A684">
        <v>683</v>
      </c>
      <c r="B684">
        <v>2017</v>
      </c>
      <c r="C684" t="s">
        <v>16</v>
      </c>
      <c r="D684" t="str">
        <f t="shared" si="35"/>
        <v>natural gas vehicle</v>
      </c>
      <c r="E684" t="s">
        <v>21</v>
      </c>
      <c r="F684" t="s">
        <v>17</v>
      </c>
      <c r="G684" t="s">
        <v>9</v>
      </c>
      <c r="H684" t="str">
        <f t="shared" si="36"/>
        <v>中重型货车</v>
      </c>
      <c r="I684" t="str">
        <f t="shared" si="37"/>
        <v>Freight HDV</v>
      </c>
      <c r="J684">
        <v>3613</v>
      </c>
    </row>
    <row r="685" spans="1:10" x14ac:dyDescent="0.2">
      <c r="A685">
        <v>684</v>
      </c>
      <c r="B685">
        <v>2018</v>
      </c>
      <c r="C685" t="s">
        <v>16</v>
      </c>
      <c r="D685" t="str">
        <f t="shared" si="35"/>
        <v>natural gas vehicle</v>
      </c>
      <c r="E685" t="s">
        <v>21</v>
      </c>
      <c r="F685" t="s">
        <v>17</v>
      </c>
      <c r="G685" t="s">
        <v>9</v>
      </c>
      <c r="H685" t="str">
        <f t="shared" si="36"/>
        <v>中重型货车</v>
      </c>
      <c r="I685" t="str">
        <f t="shared" si="37"/>
        <v>Freight HDV</v>
      </c>
      <c r="J685">
        <v>4852</v>
      </c>
    </row>
    <row r="686" spans="1:10" x14ac:dyDescent="0.2">
      <c r="A686">
        <v>685</v>
      </c>
      <c r="B686">
        <v>2019</v>
      </c>
      <c r="C686" t="s">
        <v>16</v>
      </c>
      <c r="D686" t="str">
        <f t="shared" si="35"/>
        <v>natural gas vehicle</v>
      </c>
      <c r="E686" t="s">
        <v>21</v>
      </c>
      <c r="F686" t="s">
        <v>17</v>
      </c>
      <c r="G686" t="s">
        <v>9</v>
      </c>
      <c r="H686" t="str">
        <f t="shared" si="36"/>
        <v>中重型货车</v>
      </c>
      <c r="I686" t="str">
        <f t="shared" si="37"/>
        <v>Freight HDV</v>
      </c>
      <c r="J686">
        <v>3572</v>
      </c>
    </row>
    <row r="687" spans="1:10" x14ac:dyDescent="0.2">
      <c r="A687">
        <v>686</v>
      </c>
      <c r="B687">
        <v>2020</v>
      </c>
      <c r="C687" t="s">
        <v>16</v>
      </c>
      <c r="D687" t="str">
        <f t="shared" si="35"/>
        <v>natural gas vehicle</v>
      </c>
      <c r="E687" t="s">
        <v>21</v>
      </c>
      <c r="F687" t="s">
        <v>17</v>
      </c>
      <c r="G687" t="s">
        <v>9</v>
      </c>
      <c r="H687" t="str">
        <f t="shared" si="36"/>
        <v>中重型货车</v>
      </c>
      <c r="I687" t="str">
        <f t="shared" si="37"/>
        <v>Freight HDV</v>
      </c>
      <c r="J687">
        <v>1979</v>
      </c>
    </row>
    <row r="688" spans="1:10" x14ac:dyDescent="0.2">
      <c r="A688">
        <v>687</v>
      </c>
      <c r="B688">
        <v>2021</v>
      </c>
      <c r="C688" t="s">
        <v>16</v>
      </c>
      <c r="D688" t="str">
        <f t="shared" si="35"/>
        <v>natural gas vehicle</v>
      </c>
      <c r="E688" t="s">
        <v>21</v>
      </c>
      <c r="F688" t="s">
        <v>17</v>
      </c>
      <c r="G688" t="s">
        <v>9</v>
      </c>
      <c r="H688" t="str">
        <f t="shared" si="36"/>
        <v>中重型货车</v>
      </c>
      <c r="I688" t="str">
        <f t="shared" si="37"/>
        <v>Freight HDV</v>
      </c>
      <c r="J688">
        <v>1393</v>
      </c>
    </row>
    <row r="689" spans="1:10" x14ac:dyDescent="0.2">
      <c r="A689">
        <v>688</v>
      </c>
      <c r="B689">
        <v>2015</v>
      </c>
      <c r="C689" t="s">
        <v>10</v>
      </c>
      <c r="D689" t="str">
        <f t="shared" si="35"/>
        <v>diesel vehicle</v>
      </c>
      <c r="E689" t="s">
        <v>7</v>
      </c>
      <c r="F689" t="s">
        <v>31</v>
      </c>
      <c r="G689" t="s">
        <v>9</v>
      </c>
      <c r="H689" t="str">
        <f t="shared" si="36"/>
        <v>道路客车</v>
      </c>
      <c r="I689" t="str">
        <f t="shared" si="37"/>
        <v>Passenger HDV</v>
      </c>
      <c r="J689">
        <v>646</v>
      </c>
    </row>
    <row r="690" spans="1:10" x14ac:dyDescent="0.2">
      <c r="A690">
        <v>689</v>
      </c>
      <c r="B690">
        <v>2016</v>
      </c>
      <c r="C690" t="s">
        <v>10</v>
      </c>
      <c r="D690" t="str">
        <f t="shared" si="35"/>
        <v>diesel vehicle</v>
      </c>
      <c r="E690" t="s">
        <v>7</v>
      </c>
      <c r="F690" t="s">
        <v>31</v>
      </c>
      <c r="G690" t="s">
        <v>9</v>
      </c>
      <c r="H690" t="str">
        <f t="shared" si="36"/>
        <v>道路客车</v>
      </c>
      <c r="I690" t="str">
        <f t="shared" si="37"/>
        <v>Passenger HDV</v>
      </c>
      <c r="J690">
        <v>319</v>
      </c>
    </row>
    <row r="691" spans="1:10" x14ac:dyDescent="0.2">
      <c r="A691">
        <v>690</v>
      </c>
      <c r="B691">
        <v>2017</v>
      </c>
      <c r="C691" t="s">
        <v>10</v>
      </c>
      <c r="D691" t="str">
        <f t="shared" si="35"/>
        <v>diesel vehicle</v>
      </c>
      <c r="E691" t="s">
        <v>7</v>
      </c>
      <c r="F691" t="s">
        <v>31</v>
      </c>
      <c r="G691" t="s">
        <v>9</v>
      </c>
      <c r="H691" t="str">
        <f t="shared" si="36"/>
        <v>道路客车</v>
      </c>
      <c r="I691" t="str">
        <f t="shared" si="37"/>
        <v>Passenger HDV</v>
      </c>
      <c r="J691">
        <v>327</v>
      </c>
    </row>
    <row r="692" spans="1:10" x14ac:dyDescent="0.2">
      <c r="A692">
        <v>691</v>
      </c>
      <c r="B692">
        <v>2018</v>
      </c>
      <c r="C692" t="s">
        <v>10</v>
      </c>
      <c r="D692" t="str">
        <f t="shared" si="35"/>
        <v>diesel vehicle</v>
      </c>
      <c r="E692" t="s">
        <v>7</v>
      </c>
      <c r="F692" t="s">
        <v>31</v>
      </c>
      <c r="G692" t="s">
        <v>9</v>
      </c>
      <c r="H692" t="str">
        <f t="shared" si="36"/>
        <v>道路客车</v>
      </c>
      <c r="I692" t="str">
        <f t="shared" si="37"/>
        <v>Passenger HDV</v>
      </c>
      <c r="J692">
        <v>351</v>
      </c>
    </row>
    <row r="693" spans="1:10" x14ac:dyDescent="0.2">
      <c r="A693">
        <v>692</v>
      </c>
      <c r="B693">
        <v>2019</v>
      </c>
      <c r="C693" t="s">
        <v>10</v>
      </c>
      <c r="D693" t="str">
        <f t="shared" si="35"/>
        <v>diesel vehicle</v>
      </c>
      <c r="E693" t="s">
        <v>7</v>
      </c>
      <c r="F693" t="s">
        <v>31</v>
      </c>
      <c r="G693" t="s">
        <v>9</v>
      </c>
      <c r="H693" t="str">
        <f t="shared" si="36"/>
        <v>道路客车</v>
      </c>
      <c r="I693" t="str">
        <f t="shared" si="37"/>
        <v>Passenger HDV</v>
      </c>
      <c r="J693">
        <v>200</v>
      </c>
    </row>
    <row r="694" spans="1:10" x14ac:dyDescent="0.2">
      <c r="A694">
        <v>693</v>
      </c>
      <c r="B694">
        <v>2020</v>
      </c>
      <c r="C694" t="s">
        <v>10</v>
      </c>
      <c r="D694" t="str">
        <f t="shared" si="35"/>
        <v>diesel vehicle</v>
      </c>
      <c r="E694" t="s">
        <v>7</v>
      </c>
      <c r="F694" t="s">
        <v>31</v>
      </c>
      <c r="G694" t="s">
        <v>9</v>
      </c>
      <c r="H694" t="str">
        <f t="shared" si="36"/>
        <v>道路客车</v>
      </c>
      <c r="I694" t="str">
        <f t="shared" si="37"/>
        <v>Passenger HDV</v>
      </c>
      <c r="J694">
        <v>118</v>
      </c>
    </row>
    <row r="695" spans="1:10" x14ac:dyDescent="0.2">
      <c r="A695">
        <v>694</v>
      </c>
      <c r="B695">
        <v>2021</v>
      </c>
      <c r="C695" t="s">
        <v>10</v>
      </c>
      <c r="D695" t="str">
        <f t="shared" si="35"/>
        <v>diesel vehicle</v>
      </c>
      <c r="E695" t="s">
        <v>7</v>
      </c>
      <c r="F695" t="s">
        <v>31</v>
      </c>
      <c r="G695" t="s">
        <v>9</v>
      </c>
      <c r="H695" t="str">
        <f t="shared" si="36"/>
        <v>道路客车</v>
      </c>
      <c r="I695" t="str">
        <f t="shared" si="37"/>
        <v>Passenger HDV</v>
      </c>
      <c r="J695">
        <v>121</v>
      </c>
    </row>
    <row r="696" spans="1:10" x14ac:dyDescent="0.2">
      <c r="A696">
        <v>695</v>
      </c>
      <c r="B696">
        <v>2015</v>
      </c>
      <c r="C696" t="s">
        <v>11</v>
      </c>
      <c r="D696" t="str">
        <f t="shared" si="35"/>
        <v>battery electric vehicle</v>
      </c>
      <c r="E696" t="s">
        <v>7</v>
      </c>
      <c r="F696" t="s">
        <v>31</v>
      </c>
      <c r="G696" t="s">
        <v>9</v>
      </c>
      <c r="H696" t="str">
        <f t="shared" si="36"/>
        <v>道路客车</v>
      </c>
      <c r="I696" t="str">
        <f t="shared" si="37"/>
        <v>Passenger HDV</v>
      </c>
      <c r="J696">
        <v>1</v>
      </c>
    </row>
    <row r="697" spans="1:10" x14ac:dyDescent="0.2">
      <c r="A697">
        <v>696</v>
      </c>
      <c r="B697">
        <v>2018</v>
      </c>
      <c r="C697" t="s">
        <v>11</v>
      </c>
      <c r="D697" t="str">
        <f t="shared" si="35"/>
        <v>battery electric vehicle</v>
      </c>
      <c r="E697" t="s">
        <v>7</v>
      </c>
      <c r="F697" t="s">
        <v>31</v>
      </c>
      <c r="G697" t="s">
        <v>9</v>
      </c>
      <c r="H697" t="str">
        <f t="shared" si="36"/>
        <v>道路客车</v>
      </c>
      <c r="I697" t="str">
        <f t="shared" si="37"/>
        <v>Passenger HDV</v>
      </c>
      <c r="J697">
        <v>1</v>
      </c>
    </row>
    <row r="698" spans="1:10" x14ac:dyDescent="0.2">
      <c r="A698">
        <v>697</v>
      </c>
      <c r="B698">
        <v>2015</v>
      </c>
      <c r="C698" t="s">
        <v>13</v>
      </c>
      <c r="D698" t="str">
        <f t="shared" si="35"/>
        <v>gasoline vehicle</v>
      </c>
      <c r="E698" t="s">
        <v>7</v>
      </c>
      <c r="F698" t="s">
        <v>31</v>
      </c>
      <c r="G698" t="s">
        <v>9</v>
      </c>
      <c r="H698" t="str">
        <f t="shared" si="36"/>
        <v>道路客车</v>
      </c>
      <c r="I698" t="str">
        <f t="shared" si="37"/>
        <v>Passenger HDV</v>
      </c>
      <c r="J698">
        <v>16</v>
      </c>
    </row>
    <row r="699" spans="1:10" x14ac:dyDescent="0.2">
      <c r="A699">
        <v>698</v>
      </c>
      <c r="B699">
        <v>2017</v>
      </c>
      <c r="C699" t="s">
        <v>13</v>
      </c>
      <c r="D699" t="str">
        <f t="shared" si="35"/>
        <v>gasoline vehicle</v>
      </c>
      <c r="E699" t="s">
        <v>7</v>
      </c>
      <c r="F699" t="s">
        <v>31</v>
      </c>
      <c r="G699" t="s">
        <v>9</v>
      </c>
      <c r="H699" t="str">
        <f t="shared" si="36"/>
        <v>道路客车</v>
      </c>
      <c r="I699" t="str">
        <f t="shared" si="37"/>
        <v>Passenger HDV</v>
      </c>
      <c r="J699">
        <v>4</v>
      </c>
    </row>
    <row r="700" spans="1:10" x14ac:dyDescent="0.2">
      <c r="A700">
        <v>699</v>
      </c>
      <c r="B700">
        <v>2018</v>
      </c>
      <c r="C700" t="s">
        <v>13</v>
      </c>
      <c r="D700" t="str">
        <f t="shared" si="35"/>
        <v>gasoline vehicle</v>
      </c>
      <c r="E700" t="s">
        <v>7</v>
      </c>
      <c r="F700" t="s">
        <v>31</v>
      </c>
      <c r="G700" t="s">
        <v>9</v>
      </c>
      <c r="H700" t="str">
        <f t="shared" si="36"/>
        <v>道路客车</v>
      </c>
      <c r="I700" t="str">
        <f t="shared" si="37"/>
        <v>Passenger HDV</v>
      </c>
      <c r="J700">
        <v>43</v>
      </c>
    </row>
    <row r="701" spans="1:10" x14ac:dyDescent="0.2">
      <c r="A701">
        <v>700</v>
      </c>
      <c r="B701">
        <v>2019</v>
      </c>
      <c r="C701" t="s">
        <v>13</v>
      </c>
      <c r="D701" t="str">
        <f t="shared" si="35"/>
        <v>gasoline vehicle</v>
      </c>
      <c r="E701" t="s">
        <v>7</v>
      </c>
      <c r="F701" t="s">
        <v>31</v>
      </c>
      <c r="G701" t="s">
        <v>9</v>
      </c>
      <c r="H701" t="str">
        <f t="shared" si="36"/>
        <v>道路客车</v>
      </c>
      <c r="I701" t="str">
        <f t="shared" si="37"/>
        <v>Passenger HDV</v>
      </c>
      <c r="J701">
        <v>12</v>
      </c>
    </row>
    <row r="702" spans="1:10" x14ac:dyDescent="0.2">
      <c r="A702">
        <v>701</v>
      </c>
      <c r="B702">
        <v>2020</v>
      </c>
      <c r="C702" t="s">
        <v>13</v>
      </c>
      <c r="D702" t="str">
        <f t="shared" si="35"/>
        <v>gasoline vehicle</v>
      </c>
      <c r="E702" t="s">
        <v>7</v>
      </c>
      <c r="F702" t="s">
        <v>31</v>
      </c>
      <c r="G702" t="s">
        <v>9</v>
      </c>
      <c r="H702" t="str">
        <f t="shared" si="36"/>
        <v>道路客车</v>
      </c>
      <c r="I702" t="str">
        <f t="shared" si="37"/>
        <v>Passenger HDV</v>
      </c>
      <c r="J702">
        <v>6</v>
      </c>
    </row>
    <row r="703" spans="1:10" x14ac:dyDescent="0.2">
      <c r="A703">
        <v>702</v>
      </c>
      <c r="B703">
        <v>2021</v>
      </c>
      <c r="C703" t="s">
        <v>13</v>
      </c>
      <c r="D703" t="str">
        <f t="shared" si="35"/>
        <v>gasoline vehicle</v>
      </c>
      <c r="E703" t="s">
        <v>7</v>
      </c>
      <c r="F703" t="s">
        <v>31</v>
      </c>
      <c r="G703" t="s">
        <v>9</v>
      </c>
      <c r="H703" t="str">
        <f t="shared" si="36"/>
        <v>道路客车</v>
      </c>
      <c r="I703" t="str">
        <f t="shared" si="37"/>
        <v>Passenger HDV</v>
      </c>
      <c r="J703">
        <v>8</v>
      </c>
    </row>
    <row r="704" spans="1:10" x14ac:dyDescent="0.2">
      <c r="A704">
        <v>703</v>
      </c>
      <c r="B704">
        <v>2018</v>
      </c>
      <c r="C704" t="s">
        <v>15</v>
      </c>
      <c r="D704" t="str">
        <f t="shared" si="35"/>
        <v>hydrogen vehicle</v>
      </c>
      <c r="E704" t="s">
        <v>7</v>
      </c>
      <c r="F704" t="s">
        <v>31</v>
      </c>
      <c r="G704" t="s">
        <v>9</v>
      </c>
      <c r="H704" t="str">
        <f t="shared" si="36"/>
        <v>道路客车</v>
      </c>
      <c r="I704" t="str">
        <f t="shared" si="37"/>
        <v>Passenger HDV</v>
      </c>
      <c r="J704">
        <v>36</v>
      </c>
    </row>
    <row r="705" spans="1:10" x14ac:dyDescent="0.2">
      <c r="A705">
        <v>704</v>
      </c>
      <c r="B705">
        <v>2015</v>
      </c>
      <c r="C705" t="s">
        <v>16</v>
      </c>
      <c r="D705" t="str">
        <f t="shared" si="35"/>
        <v>natural gas vehicle</v>
      </c>
      <c r="E705" t="s">
        <v>7</v>
      </c>
      <c r="F705" t="s">
        <v>31</v>
      </c>
      <c r="G705" t="s">
        <v>9</v>
      </c>
      <c r="H705" t="str">
        <f t="shared" si="36"/>
        <v>道路客车</v>
      </c>
      <c r="I705" t="str">
        <f t="shared" si="37"/>
        <v>Passenger HDV</v>
      </c>
      <c r="J705">
        <v>35</v>
      </c>
    </row>
    <row r="706" spans="1:10" x14ac:dyDescent="0.2">
      <c r="A706">
        <v>705</v>
      </c>
      <c r="B706">
        <v>2016</v>
      </c>
      <c r="C706" t="s">
        <v>16</v>
      </c>
      <c r="D706" t="str">
        <f t="shared" ref="D706:D769" si="38">VLOOKUP(C706,M$3:N$16,2,FALSE)</f>
        <v>natural gas vehicle</v>
      </c>
      <c r="E706" t="s">
        <v>7</v>
      </c>
      <c r="F706" t="s">
        <v>31</v>
      </c>
      <c r="G706" t="s">
        <v>9</v>
      </c>
      <c r="H706" t="str">
        <f t="shared" si="36"/>
        <v>道路客车</v>
      </c>
      <c r="I706" t="str">
        <f t="shared" si="37"/>
        <v>Passenger HDV</v>
      </c>
      <c r="J706">
        <v>3</v>
      </c>
    </row>
    <row r="707" spans="1:10" x14ac:dyDescent="0.2">
      <c r="A707">
        <v>706</v>
      </c>
      <c r="B707">
        <v>2017</v>
      </c>
      <c r="C707" t="s">
        <v>16</v>
      </c>
      <c r="D707" t="str">
        <f t="shared" si="38"/>
        <v>natural gas vehicle</v>
      </c>
      <c r="E707" t="s">
        <v>7</v>
      </c>
      <c r="F707" t="s">
        <v>31</v>
      </c>
      <c r="G707" t="s">
        <v>9</v>
      </c>
      <c r="H707" t="str">
        <f t="shared" ref="H707:H770" si="39">VLOOKUP(E707&amp;F707&amp;G707,$S$3:$U$68,2,FALSE)</f>
        <v>道路客车</v>
      </c>
      <c r="I707" t="str">
        <f t="shared" ref="I707:I770" si="40">VLOOKUP(E707&amp;F707&amp;G707,$S$3:$U$68,3,FALSE)</f>
        <v>Passenger HDV</v>
      </c>
      <c r="J707">
        <v>1</v>
      </c>
    </row>
    <row r="708" spans="1:10" x14ac:dyDescent="0.2">
      <c r="A708">
        <v>707</v>
      </c>
      <c r="B708">
        <v>2018</v>
      </c>
      <c r="C708" t="s">
        <v>16</v>
      </c>
      <c r="D708" t="str">
        <f t="shared" si="38"/>
        <v>natural gas vehicle</v>
      </c>
      <c r="E708" t="s">
        <v>7</v>
      </c>
      <c r="F708" t="s">
        <v>31</v>
      </c>
      <c r="G708" t="s">
        <v>9</v>
      </c>
      <c r="H708" t="str">
        <f t="shared" si="39"/>
        <v>道路客车</v>
      </c>
      <c r="I708" t="str">
        <f t="shared" si="40"/>
        <v>Passenger HDV</v>
      </c>
      <c r="J708">
        <v>2</v>
      </c>
    </row>
    <row r="709" spans="1:10" x14ac:dyDescent="0.2">
      <c r="A709">
        <v>708</v>
      </c>
      <c r="B709">
        <v>2019</v>
      </c>
      <c r="C709" t="s">
        <v>6</v>
      </c>
      <c r="D709" t="str">
        <f t="shared" si="38"/>
        <v>plugin hybrid vehicle</v>
      </c>
      <c r="E709" t="s">
        <v>23</v>
      </c>
      <c r="F709" t="s">
        <v>31</v>
      </c>
      <c r="G709" t="s">
        <v>9</v>
      </c>
      <c r="H709" t="str">
        <f t="shared" si="39"/>
        <v>轻型货车</v>
      </c>
      <c r="I709" t="str">
        <f t="shared" si="40"/>
        <v>Freight LDV</v>
      </c>
      <c r="J709">
        <v>49</v>
      </c>
    </row>
    <row r="710" spans="1:10" x14ac:dyDescent="0.2">
      <c r="A710">
        <v>709</v>
      </c>
      <c r="B710">
        <v>2020</v>
      </c>
      <c r="C710" t="s">
        <v>6</v>
      </c>
      <c r="D710" t="str">
        <f t="shared" si="38"/>
        <v>plugin hybrid vehicle</v>
      </c>
      <c r="E710" t="s">
        <v>23</v>
      </c>
      <c r="F710" t="s">
        <v>31</v>
      </c>
      <c r="G710" t="s">
        <v>9</v>
      </c>
      <c r="H710" t="str">
        <f t="shared" si="39"/>
        <v>轻型货车</v>
      </c>
      <c r="I710" t="str">
        <f t="shared" si="40"/>
        <v>Freight LDV</v>
      </c>
      <c r="J710">
        <v>196</v>
      </c>
    </row>
    <row r="711" spans="1:10" x14ac:dyDescent="0.2">
      <c r="A711">
        <v>710</v>
      </c>
      <c r="B711">
        <v>2021</v>
      </c>
      <c r="C711" t="s">
        <v>6</v>
      </c>
      <c r="D711" t="str">
        <f t="shared" si="38"/>
        <v>plugin hybrid vehicle</v>
      </c>
      <c r="E711" t="s">
        <v>23</v>
      </c>
      <c r="F711" t="s">
        <v>31</v>
      </c>
      <c r="G711" t="s">
        <v>9</v>
      </c>
      <c r="H711" t="str">
        <f t="shared" si="39"/>
        <v>轻型货车</v>
      </c>
      <c r="I711" t="str">
        <f t="shared" si="40"/>
        <v>Freight LDV</v>
      </c>
      <c r="J711">
        <v>894</v>
      </c>
    </row>
    <row r="712" spans="1:10" x14ac:dyDescent="0.2">
      <c r="A712">
        <v>711</v>
      </c>
      <c r="B712">
        <v>2015</v>
      </c>
      <c r="C712" t="s">
        <v>10</v>
      </c>
      <c r="D712" t="str">
        <f t="shared" si="38"/>
        <v>diesel vehicle</v>
      </c>
      <c r="E712" t="s">
        <v>23</v>
      </c>
      <c r="F712" t="s">
        <v>31</v>
      </c>
      <c r="G712" t="s">
        <v>9</v>
      </c>
      <c r="H712" t="str">
        <f t="shared" si="39"/>
        <v>轻型货车</v>
      </c>
      <c r="I712" t="str">
        <f t="shared" si="40"/>
        <v>Freight LDV</v>
      </c>
      <c r="J712">
        <v>294279</v>
      </c>
    </row>
    <row r="713" spans="1:10" x14ac:dyDescent="0.2">
      <c r="A713">
        <v>712</v>
      </c>
      <c r="B713">
        <v>2016</v>
      </c>
      <c r="C713" t="s">
        <v>10</v>
      </c>
      <c r="D713" t="str">
        <f t="shared" si="38"/>
        <v>diesel vehicle</v>
      </c>
      <c r="E713" t="s">
        <v>23</v>
      </c>
      <c r="F713" t="s">
        <v>31</v>
      </c>
      <c r="G713" t="s">
        <v>9</v>
      </c>
      <c r="H713" t="str">
        <f t="shared" si="39"/>
        <v>轻型货车</v>
      </c>
      <c r="I713" t="str">
        <f t="shared" si="40"/>
        <v>Freight LDV</v>
      </c>
      <c r="J713">
        <v>324335</v>
      </c>
    </row>
    <row r="714" spans="1:10" x14ac:dyDescent="0.2">
      <c r="A714">
        <v>713</v>
      </c>
      <c r="B714">
        <v>2017</v>
      </c>
      <c r="C714" t="s">
        <v>10</v>
      </c>
      <c r="D714" t="str">
        <f t="shared" si="38"/>
        <v>diesel vehicle</v>
      </c>
      <c r="E714" t="s">
        <v>23</v>
      </c>
      <c r="F714" t="s">
        <v>31</v>
      </c>
      <c r="G714" t="s">
        <v>9</v>
      </c>
      <c r="H714" t="str">
        <f t="shared" si="39"/>
        <v>轻型货车</v>
      </c>
      <c r="I714" t="str">
        <f t="shared" si="40"/>
        <v>Freight LDV</v>
      </c>
      <c r="J714">
        <v>404272</v>
      </c>
    </row>
    <row r="715" spans="1:10" x14ac:dyDescent="0.2">
      <c r="A715">
        <v>714</v>
      </c>
      <c r="B715">
        <v>2018</v>
      </c>
      <c r="C715" t="s">
        <v>10</v>
      </c>
      <c r="D715" t="str">
        <f t="shared" si="38"/>
        <v>diesel vehicle</v>
      </c>
      <c r="E715" t="s">
        <v>23</v>
      </c>
      <c r="F715" t="s">
        <v>31</v>
      </c>
      <c r="G715" t="s">
        <v>9</v>
      </c>
      <c r="H715" t="str">
        <f t="shared" si="39"/>
        <v>轻型货车</v>
      </c>
      <c r="I715" t="str">
        <f t="shared" si="40"/>
        <v>Freight LDV</v>
      </c>
      <c r="J715">
        <v>383072</v>
      </c>
    </row>
    <row r="716" spans="1:10" x14ac:dyDescent="0.2">
      <c r="A716">
        <v>715</v>
      </c>
      <c r="B716">
        <v>2019</v>
      </c>
      <c r="C716" t="s">
        <v>10</v>
      </c>
      <c r="D716" t="str">
        <f t="shared" si="38"/>
        <v>diesel vehicle</v>
      </c>
      <c r="E716" t="s">
        <v>23</v>
      </c>
      <c r="F716" t="s">
        <v>31</v>
      </c>
      <c r="G716" t="s">
        <v>9</v>
      </c>
      <c r="H716" t="str">
        <f t="shared" si="39"/>
        <v>轻型货车</v>
      </c>
      <c r="I716" t="str">
        <f t="shared" si="40"/>
        <v>Freight LDV</v>
      </c>
      <c r="J716">
        <v>263663</v>
      </c>
    </row>
    <row r="717" spans="1:10" x14ac:dyDescent="0.2">
      <c r="A717">
        <v>716</v>
      </c>
      <c r="B717">
        <v>2020</v>
      </c>
      <c r="C717" t="s">
        <v>10</v>
      </c>
      <c r="D717" t="str">
        <f t="shared" si="38"/>
        <v>diesel vehicle</v>
      </c>
      <c r="E717" t="s">
        <v>23</v>
      </c>
      <c r="F717" t="s">
        <v>31</v>
      </c>
      <c r="G717" t="s">
        <v>9</v>
      </c>
      <c r="H717" t="str">
        <f t="shared" si="39"/>
        <v>轻型货车</v>
      </c>
      <c r="I717" t="str">
        <f t="shared" si="40"/>
        <v>Freight LDV</v>
      </c>
      <c r="J717">
        <v>306799</v>
      </c>
    </row>
    <row r="718" spans="1:10" x14ac:dyDescent="0.2">
      <c r="A718">
        <v>717</v>
      </c>
      <c r="B718">
        <v>2021</v>
      </c>
      <c r="C718" t="s">
        <v>10</v>
      </c>
      <c r="D718" t="str">
        <f t="shared" si="38"/>
        <v>diesel vehicle</v>
      </c>
      <c r="E718" t="s">
        <v>23</v>
      </c>
      <c r="F718" t="s">
        <v>31</v>
      </c>
      <c r="G718" t="s">
        <v>9</v>
      </c>
      <c r="H718" t="str">
        <f t="shared" si="39"/>
        <v>轻型货车</v>
      </c>
      <c r="I718" t="str">
        <f t="shared" si="40"/>
        <v>Freight LDV</v>
      </c>
      <c r="J718">
        <v>257324</v>
      </c>
    </row>
    <row r="719" spans="1:10" x14ac:dyDescent="0.2">
      <c r="A719">
        <v>718</v>
      </c>
      <c r="B719">
        <v>2015</v>
      </c>
      <c r="C719" t="s">
        <v>11</v>
      </c>
      <c r="D719" t="str">
        <f t="shared" si="38"/>
        <v>battery electric vehicle</v>
      </c>
      <c r="E719" t="s">
        <v>23</v>
      </c>
      <c r="F719" t="s">
        <v>31</v>
      </c>
      <c r="G719" t="s">
        <v>9</v>
      </c>
      <c r="H719" t="str">
        <f t="shared" si="39"/>
        <v>轻型货车</v>
      </c>
      <c r="I719" t="str">
        <f t="shared" si="40"/>
        <v>Freight LDV</v>
      </c>
      <c r="J719">
        <v>6722</v>
      </c>
    </row>
    <row r="720" spans="1:10" x14ac:dyDescent="0.2">
      <c r="A720">
        <v>719</v>
      </c>
      <c r="B720">
        <v>2016</v>
      </c>
      <c r="C720" t="s">
        <v>11</v>
      </c>
      <c r="D720" t="str">
        <f t="shared" si="38"/>
        <v>battery electric vehicle</v>
      </c>
      <c r="E720" t="s">
        <v>23</v>
      </c>
      <c r="F720" t="s">
        <v>31</v>
      </c>
      <c r="G720" t="s">
        <v>9</v>
      </c>
      <c r="H720" t="str">
        <f t="shared" si="39"/>
        <v>轻型货车</v>
      </c>
      <c r="I720" t="str">
        <f t="shared" si="40"/>
        <v>Freight LDV</v>
      </c>
      <c r="J720">
        <v>12211</v>
      </c>
    </row>
    <row r="721" spans="1:10" x14ac:dyDescent="0.2">
      <c r="A721">
        <v>720</v>
      </c>
      <c r="B721">
        <v>2017</v>
      </c>
      <c r="C721" t="s">
        <v>11</v>
      </c>
      <c r="D721" t="str">
        <f t="shared" si="38"/>
        <v>battery electric vehicle</v>
      </c>
      <c r="E721" t="s">
        <v>23</v>
      </c>
      <c r="F721" t="s">
        <v>31</v>
      </c>
      <c r="G721" t="s">
        <v>9</v>
      </c>
      <c r="H721" t="str">
        <f t="shared" si="39"/>
        <v>轻型货车</v>
      </c>
      <c r="I721" t="str">
        <f t="shared" si="40"/>
        <v>Freight LDV</v>
      </c>
      <c r="J721">
        <v>41993</v>
      </c>
    </row>
    <row r="722" spans="1:10" x14ac:dyDescent="0.2">
      <c r="A722">
        <v>721</v>
      </c>
      <c r="B722">
        <v>2018</v>
      </c>
      <c r="C722" t="s">
        <v>11</v>
      </c>
      <c r="D722" t="str">
        <f t="shared" si="38"/>
        <v>battery electric vehicle</v>
      </c>
      <c r="E722" t="s">
        <v>23</v>
      </c>
      <c r="F722" t="s">
        <v>31</v>
      </c>
      <c r="G722" t="s">
        <v>9</v>
      </c>
      <c r="H722" t="str">
        <f t="shared" si="39"/>
        <v>轻型货车</v>
      </c>
      <c r="I722" t="str">
        <f t="shared" si="40"/>
        <v>Freight LDV</v>
      </c>
      <c r="J722">
        <v>25505</v>
      </c>
    </row>
    <row r="723" spans="1:10" x14ac:dyDescent="0.2">
      <c r="A723">
        <v>722</v>
      </c>
      <c r="B723">
        <v>2019</v>
      </c>
      <c r="C723" t="s">
        <v>11</v>
      </c>
      <c r="D723" t="str">
        <f t="shared" si="38"/>
        <v>battery electric vehicle</v>
      </c>
      <c r="E723" t="s">
        <v>23</v>
      </c>
      <c r="F723" t="s">
        <v>31</v>
      </c>
      <c r="G723" t="s">
        <v>9</v>
      </c>
      <c r="H723" t="str">
        <f t="shared" si="39"/>
        <v>轻型货车</v>
      </c>
      <c r="I723" t="str">
        <f t="shared" si="40"/>
        <v>Freight LDV</v>
      </c>
      <c r="J723">
        <v>10991</v>
      </c>
    </row>
    <row r="724" spans="1:10" x14ac:dyDescent="0.2">
      <c r="A724">
        <v>723</v>
      </c>
      <c r="B724">
        <v>2020</v>
      </c>
      <c r="C724" t="s">
        <v>11</v>
      </c>
      <c r="D724" t="str">
        <f t="shared" si="38"/>
        <v>battery electric vehicle</v>
      </c>
      <c r="E724" t="s">
        <v>23</v>
      </c>
      <c r="F724" t="s">
        <v>31</v>
      </c>
      <c r="G724" t="s">
        <v>9</v>
      </c>
      <c r="H724" t="str">
        <f t="shared" si="39"/>
        <v>轻型货车</v>
      </c>
      <c r="I724" t="str">
        <f t="shared" si="40"/>
        <v>Freight LDV</v>
      </c>
      <c r="J724">
        <v>9318</v>
      </c>
    </row>
    <row r="725" spans="1:10" x14ac:dyDescent="0.2">
      <c r="A725">
        <v>724</v>
      </c>
      <c r="B725">
        <v>2021</v>
      </c>
      <c r="C725" t="s">
        <v>11</v>
      </c>
      <c r="D725" t="str">
        <f t="shared" si="38"/>
        <v>battery electric vehicle</v>
      </c>
      <c r="E725" t="s">
        <v>23</v>
      </c>
      <c r="F725" t="s">
        <v>31</v>
      </c>
      <c r="G725" t="s">
        <v>9</v>
      </c>
      <c r="H725" t="str">
        <f t="shared" si="39"/>
        <v>轻型货车</v>
      </c>
      <c r="I725" t="str">
        <f t="shared" si="40"/>
        <v>Freight LDV</v>
      </c>
      <c r="J725">
        <v>24556</v>
      </c>
    </row>
    <row r="726" spans="1:10" x14ac:dyDescent="0.2">
      <c r="A726">
        <v>725</v>
      </c>
      <c r="B726">
        <v>2015</v>
      </c>
      <c r="C726" t="s">
        <v>12</v>
      </c>
      <c r="D726" t="str">
        <f t="shared" si="38"/>
        <v>hybrid fuel vehicle</v>
      </c>
      <c r="E726" t="s">
        <v>23</v>
      </c>
      <c r="F726" t="s">
        <v>31</v>
      </c>
      <c r="G726" t="s">
        <v>9</v>
      </c>
      <c r="H726" t="str">
        <f t="shared" si="39"/>
        <v>轻型货车</v>
      </c>
      <c r="I726" t="str">
        <f t="shared" si="40"/>
        <v>Freight LDV</v>
      </c>
      <c r="J726">
        <v>3</v>
      </c>
    </row>
    <row r="727" spans="1:10" x14ac:dyDescent="0.2">
      <c r="A727">
        <v>726</v>
      </c>
      <c r="B727">
        <v>2021</v>
      </c>
      <c r="C727" t="s">
        <v>12</v>
      </c>
      <c r="D727" t="str">
        <f t="shared" si="38"/>
        <v>hybrid fuel vehicle</v>
      </c>
      <c r="E727" t="s">
        <v>23</v>
      </c>
      <c r="F727" t="s">
        <v>31</v>
      </c>
      <c r="G727" t="s">
        <v>9</v>
      </c>
      <c r="H727" t="str">
        <f t="shared" si="39"/>
        <v>轻型货车</v>
      </c>
      <c r="I727" t="str">
        <f t="shared" si="40"/>
        <v>Freight LDV</v>
      </c>
      <c r="J727">
        <v>7</v>
      </c>
    </row>
    <row r="728" spans="1:10" x14ac:dyDescent="0.2">
      <c r="A728">
        <v>727</v>
      </c>
      <c r="B728">
        <v>2015</v>
      </c>
      <c r="C728" t="s">
        <v>13</v>
      </c>
      <c r="D728" t="str">
        <f t="shared" si="38"/>
        <v>gasoline vehicle</v>
      </c>
      <c r="E728" t="s">
        <v>23</v>
      </c>
      <c r="F728" t="s">
        <v>31</v>
      </c>
      <c r="G728" t="s">
        <v>9</v>
      </c>
      <c r="H728" t="str">
        <f t="shared" si="39"/>
        <v>轻型货车</v>
      </c>
      <c r="I728" t="str">
        <f t="shared" si="40"/>
        <v>Freight LDV</v>
      </c>
      <c r="J728">
        <v>153337</v>
      </c>
    </row>
    <row r="729" spans="1:10" x14ac:dyDescent="0.2">
      <c r="A729">
        <v>728</v>
      </c>
      <c r="B729">
        <v>2016</v>
      </c>
      <c r="C729" t="s">
        <v>13</v>
      </c>
      <c r="D729" t="str">
        <f t="shared" si="38"/>
        <v>gasoline vehicle</v>
      </c>
      <c r="E729" t="s">
        <v>23</v>
      </c>
      <c r="F729" t="s">
        <v>31</v>
      </c>
      <c r="G729" t="s">
        <v>9</v>
      </c>
      <c r="H729" t="str">
        <f t="shared" si="39"/>
        <v>轻型货车</v>
      </c>
      <c r="I729" t="str">
        <f t="shared" si="40"/>
        <v>Freight LDV</v>
      </c>
      <c r="J729">
        <v>116941</v>
      </c>
    </row>
    <row r="730" spans="1:10" x14ac:dyDescent="0.2">
      <c r="A730">
        <v>729</v>
      </c>
      <c r="B730">
        <v>2017</v>
      </c>
      <c r="C730" t="s">
        <v>13</v>
      </c>
      <c r="D730" t="str">
        <f t="shared" si="38"/>
        <v>gasoline vehicle</v>
      </c>
      <c r="E730" t="s">
        <v>23</v>
      </c>
      <c r="F730" t="s">
        <v>31</v>
      </c>
      <c r="G730" t="s">
        <v>9</v>
      </c>
      <c r="H730" t="str">
        <f t="shared" si="39"/>
        <v>轻型货车</v>
      </c>
      <c r="I730" t="str">
        <f t="shared" si="40"/>
        <v>Freight LDV</v>
      </c>
      <c r="J730">
        <v>144310</v>
      </c>
    </row>
    <row r="731" spans="1:10" x14ac:dyDescent="0.2">
      <c r="A731">
        <v>730</v>
      </c>
      <c r="B731">
        <v>2018</v>
      </c>
      <c r="C731" t="s">
        <v>13</v>
      </c>
      <c r="D731" t="str">
        <f t="shared" si="38"/>
        <v>gasoline vehicle</v>
      </c>
      <c r="E731" t="s">
        <v>23</v>
      </c>
      <c r="F731" t="s">
        <v>31</v>
      </c>
      <c r="G731" t="s">
        <v>9</v>
      </c>
      <c r="H731" t="str">
        <f t="shared" si="39"/>
        <v>轻型货车</v>
      </c>
      <c r="I731" t="str">
        <f t="shared" si="40"/>
        <v>Freight LDV</v>
      </c>
      <c r="J731">
        <v>85155</v>
      </c>
    </row>
    <row r="732" spans="1:10" x14ac:dyDescent="0.2">
      <c r="A732">
        <v>731</v>
      </c>
      <c r="B732">
        <v>2019</v>
      </c>
      <c r="C732" t="s">
        <v>13</v>
      </c>
      <c r="D732" t="str">
        <f t="shared" si="38"/>
        <v>gasoline vehicle</v>
      </c>
      <c r="E732" t="s">
        <v>23</v>
      </c>
      <c r="F732" t="s">
        <v>31</v>
      </c>
      <c r="G732" t="s">
        <v>9</v>
      </c>
      <c r="H732" t="str">
        <f t="shared" si="39"/>
        <v>轻型货车</v>
      </c>
      <c r="I732" t="str">
        <f t="shared" si="40"/>
        <v>Freight LDV</v>
      </c>
      <c r="J732">
        <v>57981</v>
      </c>
    </row>
    <row r="733" spans="1:10" x14ac:dyDescent="0.2">
      <c r="A733">
        <v>732</v>
      </c>
      <c r="B733">
        <v>2020</v>
      </c>
      <c r="C733" t="s">
        <v>13</v>
      </c>
      <c r="D733" t="str">
        <f t="shared" si="38"/>
        <v>gasoline vehicle</v>
      </c>
      <c r="E733" t="s">
        <v>23</v>
      </c>
      <c r="F733" t="s">
        <v>31</v>
      </c>
      <c r="G733" t="s">
        <v>9</v>
      </c>
      <c r="H733" t="str">
        <f t="shared" si="39"/>
        <v>轻型货车</v>
      </c>
      <c r="I733" t="str">
        <f t="shared" si="40"/>
        <v>Freight LDV</v>
      </c>
      <c r="J733">
        <v>47410</v>
      </c>
    </row>
    <row r="734" spans="1:10" x14ac:dyDescent="0.2">
      <c r="A734">
        <v>733</v>
      </c>
      <c r="B734">
        <v>2021</v>
      </c>
      <c r="C734" t="s">
        <v>13</v>
      </c>
      <c r="D734" t="str">
        <f t="shared" si="38"/>
        <v>gasoline vehicle</v>
      </c>
      <c r="E734" t="s">
        <v>23</v>
      </c>
      <c r="F734" t="s">
        <v>31</v>
      </c>
      <c r="G734" t="s">
        <v>9</v>
      </c>
      <c r="H734" t="str">
        <f t="shared" si="39"/>
        <v>轻型货车</v>
      </c>
      <c r="I734" t="str">
        <f t="shared" si="40"/>
        <v>Freight LDV</v>
      </c>
      <c r="J734">
        <v>45364</v>
      </c>
    </row>
    <row r="735" spans="1:10" x14ac:dyDescent="0.2">
      <c r="A735">
        <v>734</v>
      </c>
      <c r="B735">
        <v>2015</v>
      </c>
      <c r="C735" t="s">
        <v>14</v>
      </c>
      <c r="D735" t="str">
        <f t="shared" si="38"/>
        <v>natural gas vehicle</v>
      </c>
      <c r="E735" t="s">
        <v>23</v>
      </c>
      <c r="F735" t="s">
        <v>31</v>
      </c>
      <c r="G735" t="s">
        <v>9</v>
      </c>
      <c r="H735" t="str">
        <f t="shared" si="39"/>
        <v>轻型货车</v>
      </c>
      <c r="I735" t="str">
        <f t="shared" si="40"/>
        <v>Freight LDV</v>
      </c>
      <c r="J735">
        <v>16286</v>
      </c>
    </row>
    <row r="736" spans="1:10" x14ac:dyDescent="0.2">
      <c r="A736">
        <v>735</v>
      </c>
      <c r="B736">
        <v>2016</v>
      </c>
      <c r="C736" t="s">
        <v>14</v>
      </c>
      <c r="D736" t="str">
        <f t="shared" si="38"/>
        <v>natural gas vehicle</v>
      </c>
      <c r="E736" t="s">
        <v>23</v>
      </c>
      <c r="F736" t="s">
        <v>31</v>
      </c>
      <c r="G736" t="s">
        <v>9</v>
      </c>
      <c r="H736" t="str">
        <f t="shared" si="39"/>
        <v>轻型货车</v>
      </c>
      <c r="I736" t="str">
        <f t="shared" si="40"/>
        <v>Freight LDV</v>
      </c>
      <c r="J736">
        <v>6146</v>
      </c>
    </row>
    <row r="737" spans="1:10" x14ac:dyDescent="0.2">
      <c r="A737">
        <v>736</v>
      </c>
      <c r="B737">
        <v>2017</v>
      </c>
      <c r="C737" t="s">
        <v>14</v>
      </c>
      <c r="D737" t="str">
        <f t="shared" si="38"/>
        <v>natural gas vehicle</v>
      </c>
      <c r="E737" t="s">
        <v>23</v>
      </c>
      <c r="F737" t="s">
        <v>31</v>
      </c>
      <c r="G737" t="s">
        <v>9</v>
      </c>
      <c r="H737" t="str">
        <f t="shared" si="39"/>
        <v>轻型货车</v>
      </c>
      <c r="I737" t="str">
        <f t="shared" si="40"/>
        <v>Freight LDV</v>
      </c>
      <c r="J737">
        <v>7495</v>
      </c>
    </row>
    <row r="738" spans="1:10" x14ac:dyDescent="0.2">
      <c r="A738">
        <v>737</v>
      </c>
      <c r="B738">
        <v>2018</v>
      </c>
      <c r="C738" t="s">
        <v>14</v>
      </c>
      <c r="D738" t="str">
        <f t="shared" si="38"/>
        <v>natural gas vehicle</v>
      </c>
      <c r="E738" t="s">
        <v>23</v>
      </c>
      <c r="F738" t="s">
        <v>31</v>
      </c>
      <c r="G738" t="s">
        <v>9</v>
      </c>
      <c r="H738" t="str">
        <f t="shared" si="39"/>
        <v>轻型货车</v>
      </c>
      <c r="I738" t="str">
        <f t="shared" si="40"/>
        <v>Freight LDV</v>
      </c>
      <c r="J738">
        <v>7931</v>
      </c>
    </row>
    <row r="739" spans="1:10" x14ac:dyDescent="0.2">
      <c r="A739">
        <v>738</v>
      </c>
      <c r="B739">
        <v>2019</v>
      </c>
      <c r="C739" t="s">
        <v>14</v>
      </c>
      <c r="D739" t="str">
        <f t="shared" si="38"/>
        <v>natural gas vehicle</v>
      </c>
      <c r="E739" t="s">
        <v>23</v>
      </c>
      <c r="F739" t="s">
        <v>31</v>
      </c>
      <c r="G739" t="s">
        <v>9</v>
      </c>
      <c r="H739" t="str">
        <f t="shared" si="39"/>
        <v>轻型货车</v>
      </c>
      <c r="I739" t="str">
        <f t="shared" si="40"/>
        <v>Freight LDV</v>
      </c>
      <c r="J739">
        <v>6501</v>
      </c>
    </row>
    <row r="740" spans="1:10" x14ac:dyDescent="0.2">
      <c r="A740">
        <v>739</v>
      </c>
      <c r="B740">
        <v>2020</v>
      </c>
      <c r="C740" t="s">
        <v>14</v>
      </c>
      <c r="D740" t="str">
        <f t="shared" si="38"/>
        <v>natural gas vehicle</v>
      </c>
      <c r="E740" t="s">
        <v>23</v>
      </c>
      <c r="F740" t="s">
        <v>31</v>
      </c>
      <c r="G740" t="s">
        <v>9</v>
      </c>
      <c r="H740" t="str">
        <f t="shared" si="39"/>
        <v>轻型货车</v>
      </c>
      <c r="I740" t="str">
        <f t="shared" si="40"/>
        <v>Freight LDV</v>
      </c>
      <c r="J740">
        <v>1488</v>
      </c>
    </row>
    <row r="741" spans="1:10" x14ac:dyDescent="0.2">
      <c r="A741">
        <v>740</v>
      </c>
      <c r="B741">
        <v>2021</v>
      </c>
      <c r="C741" t="s">
        <v>14</v>
      </c>
      <c r="D741" t="str">
        <f t="shared" si="38"/>
        <v>natural gas vehicle</v>
      </c>
      <c r="E741" t="s">
        <v>23</v>
      </c>
      <c r="F741" t="s">
        <v>31</v>
      </c>
      <c r="G741" t="s">
        <v>9</v>
      </c>
      <c r="H741" t="str">
        <f t="shared" si="39"/>
        <v>轻型货车</v>
      </c>
      <c r="I741" t="str">
        <f t="shared" si="40"/>
        <v>Freight LDV</v>
      </c>
      <c r="J741">
        <v>11</v>
      </c>
    </row>
    <row r="742" spans="1:10" x14ac:dyDescent="0.2">
      <c r="A742">
        <v>741</v>
      </c>
      <c r="B742">
        <v>2021</v>
      </c>
      <c r="C742" t="s">
        <v>15</v>
      </c>
      <c r="D742" t="str">
        <f t="shared" si="38"/>
        <v>hydrogen vehicle</v>
      </c>
      <c r="E742" t="s">
        <v>23</v>
      </c>
      <c r="F742" t="s">
        <v>31</v>
      </c>
      <c r="G742" t="s">
        <v>9</v>
      </c>
      <c r="H742" t="str">
        <f t="shared" si="39"/>
        <v>轻型货车</v>
      </c>
      <c r="I742" t="str">
        <f t="shared" si="40"/>
        <v>Freight LDV</v>
      </c>
      <c r="J742">
        <v>3</v>
      </c>
    </row>
    <row r="743" spans="1:10" x14ac:dyDescent="0.2">
      <c r="A743">
        <v>742</v>
      </c>
      <c r="B743">
        <v>2015</v>
      </c>
      <c r="C743" t="s">
        <v>16</v>
      </c>
      <c r="D743" t="str">
        <f t="shared" si="38"/>
        <v>natural gas vehicle</v>
      </c>
      <c r="E743" t="s">
        <v>23</v>
      </c>
      <c r="F743" t="s">
        <v>31</v>
      </c>
      <c r="G743" t="s">
        <v>9</v>
      </c>
      <c r="H743" t="str">
        <f t="shared" si="39"/>
        <v>轻型货车</v>
      </c>
      <c r="I743" t="str">
        <f t="shared" si="40"/>
        <v>Freight LDV</v>
      </c>
      <c r="J743">
        <v>232</v>
      </c>
    </row>
    <row r="744" spans="1:10" x14ac:dyDescent="0.2">
      <c r="A744">
        <v>743</v>
      </c>
      <c r="B744">
        <v>2016</v>
      </c>
      <c r="C744" t="s">
        <v>16</v>
      </c>
      <c r="D744" t="str">
        <f t="shared" si="38"/>
        <v>natural gas vehicle</v>
      </c>
      <c r="E744" t="s">
        <v>23</v>
      </c>
      <c r="F744" t="s">
        <v>31</v>
      </c>
      <c r="G744" t="s">
        <v>9</v>
      </c>
      <c r="H744" t="str">
        <f t="shared" si="39"/>
        <v>轻型货车</v>
      </c>
      <c r="I744" t="str">
        <f t="shared" si="40"/>
        <v>Freight LDV</v>
      </c>
      <c r="J744">
        <v>709</v>
      </c>
    </row>
    <row r="745" spans="1:10" x14ac:dyDescent="0.2">
      <c r="A745">
        <v>744</v>
      </c>
      <c r="B745">
        <v>2017</v>
      </c>
      <c r="C745" t="s">
        <v>16</v>
      </c>
      <c r="D745" t="str">
        <f t="shared" si="38"/>
        <v>natural gas vehicle</v>
      </c>
      <c r="E745" t="s">
        <v>23</v>
      </c>
      <c r="F745" t="s">
        <v>31</v>
      </c>
      <c r="G745" t="s">
        <v>9</v>
      </c>
      <c r="H745" t="str">
        <f t="shared" si="39"/>
        <v>轻型货车</v>
      </c>
      <c r="I745" t="str">
        <f t="shared" si="40"/>
        <v>Freight LDV</v>
      </c>
      <c r="J745">
        <v>189</v>
      </c>
    </row>
    <row r="746" spans="1:10" x14ac:dyDescent="0.2">
      <c r="A746">
        <v>745</v>
      </c>
      <c r="B746">
        <v>2018</v>
      </c>
      <c r="C746" t="s">
        <v>16</v>
      </c>
      <c r="D746" t="str">
        <f t="shared" si="38"/>
        <v>natural gas vehicle</v>
      </c>
      <c r="E746" t="s">
        <v>23</v>
      </c>
      <c r="F746" t="s">
        <v>31</v>
      </c>
      <c r="G746" t="s">
        <v>9</v>
      </c>
      <c r="H746" t="str">
        <f t="shared" si="39"/>
        <v>轻型货车</v>
      </c>
      <c r="I746" t="str">
        <f t="shared" si="40"/>
        <v>Freight LDV</v>
      </c>
      <c r="J746">
        <v>806</v>
      </c>
    </row>
    <row r="747" spans="1:10" x14ac:dyDescent="0.2">
      <c r="A747">
        <v>746</v>
      </c>
      <c r="B747">
        <v>2019</v>
      </c>
      <c r="C747" t="s">
        <v>16</v>
      </c>
      <c r="D747" t="str">
        <f t="shared" si="38"/>
        <v>natural gas vehicle</v>
      </c>
      <c r="E747" t="s">
        <v>23</v>
      </c>
      <c r="F747" t="s">
        <v>31</v>
      </c>
      <c r="G747" t="s">
        <v>9</v>
      </c>
      <c r="H747" t="str">
        <f t="shared" si="39"/>
        <v>轻型货车</v>
      </c>
      <c r="I747" t="str">
        <f t="shared" si="40"/>
        <v>Freight LDV</v>
      </c>
      <c r="J747">
        <v>548</v>
      </c>
    </row>
    <row r="748" spans="1:10" x14ac:dyDescent="0.2">
      <c r="A748">
        <v>747</v>
      </c>
      <c r="B748">
        <v>2020</v>
      </c>
      <c r="C748" t="s">
        <v>16</v>
      </c>
      <c r="D748" t="str">
        <f t="shared" si="38"/>
        <v>natural gas vehicle</v>
      </c>
      <c r="E748" t="s">
        <v>23</v>
      </c>
      <c r="F748" t="s">
        <v>31</v>
      </c>
      <c r="G748" t="s">
        <v>9</v>
      </c>
      <c r="H748" t="str">
        <f t="shared" si="39"/>
        <v>轻型货车</v>
      </c>
      <c r="I748" t="str">
        <f t="shared" si="40"/>
        <v>Freight LDV</v>
      </c>
      <c r="J748">
        <v>1582</v>
      </c>
    </row>
    <row r="749" spans="1:10" x14ac:dyDescent="0.2">
      <c r="A749">
        <v>748</v>
      </c>
      <c r="B749">
        <v>2021</v>
      </c>
      <c r="C749" t="s">
        <v>16</v>
      </c>
      <c r="D749" t="str">
        <f t="shared" si="38"/>
        <v>natural gas vehicle</v>
      </c>
      <c r="E749" t="s">
        <v>23</v>
      </c>
      <c r="F749" t="s">
        <v>31</v>
      </c>
      <c r="G749" t="s">
        <v>9</v>
      </c>
      <c r="H749" t="str">
        <f t="shared" si="39"/>
        <v>轻型货车</v>
      </c>
      <c r="I749" t="str">
        <f t="shared" si="40"/>
        <v>Freight LDV</v>
      </c>
      <c r="J749">
        <v>2883</v>
      </c>
    </row>
    <row r="750" spans="1:10" x14ac:dyDescent="0.2">
      <c r="A750">
        <v>749</v>
      </c>
      <c r="B750">
        <v>2016</v>
      </c>
      <c r="C750" t="s">
        <v>10</v>
      </c>
      <c r="D750" t="str">
        <f t="shared" si="38"/>
        <v>diesel vehicle</v>
      </c>
      <c r="E750" t="s">
        <v>27</v>
      </c>
      <c r="F750" t="s">
        <v>31</v>
      </c>
      <c r="G750" t="s">
        <v>9</v>
      </c>
      <c r="H750" t="str">
        <f t="shared" si="39"/>
        <v>轻型货车</v>
      </c>
      <c r="I750" t="str">
        <f t="shared" si="40"/>
        <v>Freight LDV</v>
      </c>
      <c r="J750">
        <v>68</v>
      </c>
    </row>
    <row r="751" spans="1:10" x14ac:dyDescent="0.2">
      <c r="A751">
        <v>750</v>
      </c>
      <c r="B751">
        <v>2017</v>
      </c>
      <c r="C751" t="s">
        <v>10</v>
      </c>
      <c r="D751" t="str">
        <f t="shared" si="38"/>
        <v>diesel vehicle</v>
      </c>
      <c r="E751" t="s">
        <v>27</v>
      </c>
      <c r="F751" t="s">
        <v>31</v>
      </c>
      <c r="G751" t="s">
        <v>9</v>
      </c>
      <c r="H751" t="str">
        <f t="shared" si="39"/>
        <v>轻型货车</v>
      </c>
      <c r="I751" t="str">
        <f t="shared" si="40"/>
        <v>Freight LDV</v>
      </c>
      <c r="J751">
        <v>14</v>
      </c>
    </row>
    <row r="752" spans="1:10" x14ac:dyDescent="0.2">
      <c r="A752">
        <v>751</v>
      </c>
      <c r="B752">
        <v>2015</v>
      </c>
      <c r="C752" t="s">
        <v>11</v>
      </c>
      <c r="D752" t="str">
        <f t="shared" si="38"/>
        <v>battery electric vehicle</v>
      </c>
      <c r="E752" t="s">
        <v>27</v>
      </c>
      <c r="F752" t="s">
        <v>31</v>
      </c>
      <c r="G752" t="s">
        <v>9</v>
      </c>
      <c r="H752" t="str">
        <f t="shared" si="39"/>
        <v>轻型货车</v>
      </c>
      <c r="I752" t="str">
        <f t="shared" si="40"/>
        <v>Freight LDV</v>
      </c>
      <c r="J752">
        <v>4</v>
      </c>
    </row>
    <row r="753" spans="1:10" x14ac:dyDescent="0.2">
      <c r="A753">
        <v>752</v>
      </c>
      <c r="B753">
        <v>2020</v>
      </c>
      <c r="C753" t="s">
        <v>11</v>
      </c>
      <c r="D753" t="str">
        <f t="shared" si="38"/>
        <v>battery electric vehicle</v>
      </c>
      <c r="E753" t="s">
        <v>27</v>
      </c>
      <c r="F753" t="s">
        <v>31</v>
      </c>
      <c r="G753" t="s">
        <v>9</v>
      </c>
      <c r="H753" t="str">
        <f t="shared" si="39"/>
        <v>轻型货车</v>
      </c>
      <c r="I753" t="str">
        <f t="shared" si="40"/>
        <v>Freight LDV</v>
      </c>
      <c r="J753">
        <v>5</v>
      </c>
    </row>
    <row r="754" spans="1:10" x14ac:dyDescent="0.2">
      <c r="A754">
        <v>753</v>
      </c>
      <c r="B754">
        <v>2017</v>
      </c>
      <c r="C754" t="s">
        <v>10</v>
      </c>
      <c r="D754" t="str">
        <f t="shared" si="38"/>
        <v>diesel vehicle</v>
      </c>
      <c r="E754" t="s">
        <v>28</v>
      </c>
      <c r="F754" t="s">
        <v>31</v>
      </c>
      <c r="G754" t="s">
        <v>9</v>
      </c>
      <c r="H754" t="str">
        <f t="shared" si="39"/>
        <v>出租车</v>
      </c>
      <c r="I754" t="str">
        <f t="shared" si="40"/>
        <v>Passenger LDV</v>
      </c>
      <c r="J754">
        <v>2</v>
      </c>
    </row>
    <row r="755" spans="1:10" x14ac:dyDescent="0.2">
      <c r="A755">
        <v>754</v>
      </c>
      <c r="B755">
        <v>2015</v>
      </c>
      <c r="C755" t="s">
        <v>10</v>
      </c>
      <c r="D755" t="str">
        <f t="shared" si="38"/>
        <v>diesel vehicle</v>
      </c>
      <c r="E755" t="s">
        <v>17</v>
      </c>
      <c r="F755" t="s">
        <v>31</v>
      </c>
      <c r="G755" t="s">
        <v>9</v>
      </c>
      <c r="H755" t="str">
        <f t="shared" si="39"/>
        <v>Unknown</v>
      </c>
      <c r="I755" t="str">
        <f t="shared" si="40"/>
        <v>Unknown</v>
      </c>
      <c r="J755">
        <v>11</v>
      </c>
    </row>
    <row r="756" spans="1:10" x14ac:dyDescent="0.2">
      <c r="A756">
        <v>755</v>
      </c>
      <c r="B756">
        <v>2015</v>
      </c>
      <c r="C756" t="s">
        <v>13</v>
      </c>
      <c r="D756" t="str">
        <f t="shared" si="38"/>
        <v>gasoline vehicle</v>
      </c>
      <c r="E756" t="s">
        <v>17</v>
      </c>
      <c r="F756" t="s">
        <v>31</v>
      </c>
      <c r="G756" t="s">
        <v>9</v>
      </c>
      <c r="H756" t="str">
        <f t="shared" si="39"/>
        <v>Unknown</v>
      </c>
      <c r="I756" t="str">
        <f t="shared" si="40"/>
        <v>Unknown</v>
      </c>
      <c r="J756">
        <v>876</v>
      </c>
    </row>
    <row r="757" spans="1:10" x14ac:dyDescent="0.2">
      <c r="A757">
        <v>756</v>
      </c>
      <c r="B757">
        <v>2015</v>
      </c>
      <c r="C757" t="s">
        <v>24</v>
      </c>
      <c r="D757" t="str">
        <f t="shared" si="38"/>
        <v>unknown</v>
      </c>
      <c r="E757" t="s">
        <v>17</v>
      </c>
      <c r="F757" t="s">
        <v>31</v>
      </c>
      <c r="G757" t="s">
        <v>9</v>
      </c>
      <c r="H757" t="str">
        <f t="shared" si="39"/>
        <v>Unknown</v>
      </c>
      <c r="I757" t="str">
        <f t="shared" si="40"/>
        <v>Unknown</v>
      </c>
      <c r="J757">
        <v>190485</v>
      </c>
    </row>
    <row r="758" spans="1:10" x14ac:dyDescent="0.2">
      <c r="A758">
        <v>757</v>
      </c>
      <c r="B758">
        <v>2016</v>
      </c>
      <c r="C758" t="s">
        <v>10</v>
      </c>
      <c r="D758" t="str">
        <f t="shared" si="38"/>
        <v>diesel vehicle</v>
      </c>
      <c r="E758" t="s">
        <v>18</v>
      </c>
      <c r="F758" t="s">
        <v>31</v>
      </c>
      <c r="G758" t="s">
        <v>9</v>
      </c>
      <c r="H758" t="str">
        <f t="shared" si="39"/>
        <v>出租车</v>
      </c>
      <c r="I758" t="str">
        <f t="shared" si="40"/>
        <v>Passenger LDV</v>
      </c>
      <c r="J758">
        <v>6430</v>
      </c>
    </row>
    <row r="759" spans="1:10" x14ac:dyDescent="0.2">
      <c r="A759">
        <v>758</v>
      </c>
      <c r="B759">
        <v>2017</v>
      </c>
      <c r="C759" t="s">
        <v>10</v>
      </c>
      <c r="D759" t="str">
        <f t="shared" si="38"/>
        <v>diesel vehicle</v>
      </c>
      <c r="E759" t="s">
        <v>18</v>
      </c>
      <c r="F759" t="s">
        <v>31</v>
      </c>
      <c r="G759" t="s">
        <v>9</v>
      </c>
      <c r="H759" t="str">
        <f t="shared" si="39"/>
        <v>出租车</v>
      </c>
      <c r="I759" t="str">
        <f t="shared" si="40"/>
        <v>Passenger LDV</v>
      </c>
      <c r="J759">
        <v>6383</v>
      </c>
    </row>
    <row r="760" spans="1:10" x14ac:dyDescent="0.2">
      <c r="A760">
        <v>759</v>
      </c>
      <c r="B760">
        <v>2018</v>
      </c>
      <c r="C760" t="s">
        <v>10</v>
      </c>
      <c r="D760" t="str">
        <f t="shared" si="38"/>
        <v>diesel vehicle</v>
      </c>
      <c r="E760" t="s">
        <v>18</v>
      </c>
      <c r="F760" t="s">
        <v>31</v>
      </c>
      <c r="G760" t="s">
        <v>9</v>
      </c>
      <c r="H760" t="str">
        <f t="shared" si="39"/>
        <v>出租车</v>
      </c>
      <c r="I760" t="str">
        <f t="shared" si="40"/>
        <v>Passenger LDV</v>
      </c>
      <c r="J760">
        <v>6387</v>
      </c>
    </row>
    <row r="761" spans="1:10" x14ac:dyDescent="0.2">
      <c r="A761">
        <v>760</v>
      </c>
      <c r="B761">
        <v>2019</v>
      </c>
      <c r="C761" t="s">
        <v>10</v>
      </c>
      <c r="D761" t="str">
        <f t="shared" si="38"/>
        <v>diesel vehicle</v>
      </c>
      <c r="E761" t="s">
        <v>18</v>
      </c>
      <c r="F761" t="s">
        <v>31</v>
      </c>
      <c r="G761" t="s">
        <v>9</v>
      </c>
      <c r="H761" t="str">
        <f t="shared" si="39"/>
        <v>出租车</v>
      </c>
      <c r="I761" t="str">
        <f t="shared" si="40"/>
        <v>Passenger LDV</v>
      </c>
      <c r="J761">
        <v>4119</v>
      </c>
    </row>
    <row r="762" spans="1:10" x14ac:dyDescent="0.2">
      <c r="A762">
        <v>761</v>
      </c>
      <c r="B762">
        <v>2020</v>
      </c>
      <c r="C762" t="s">
        <v>10</v>
      </c>
      <c r="D762" t="str">
        <f t="shared" si="38"/>
        <v>diesel vehicle</v>
      </c>
      <c r="E762" t="s">
        <v>18</v>
      </c>
      <c r="F762" t="s">
        <v>31</v>
      </c>
      <c r="G762" t="s">
        <v>9</v>
      </c>
      <c r="H762" t="str">
        <f t="shared" si="39"/>
        <v>出租车</v>
      </c>
      <c r="I762" t="str">
        <f t="shared" si="40"/>
        <v>Passenger LDV</v>
      </c>
      <c r="J762">
        <v>3732</v>
      </c>
    </row>
    <row r="763" spans="1:10" x14ac:dyDescent="0.2">
      <c r="A763">
        <v>762</v>
      </c>
      <c r="B763">
        <v>2021</v>
      </c>
      <c r="C763" t="s">
        <v>10</v>
      </c>
      <c r="D763" t="str">
        <f t="shared" si="38"/>
        <v>diesel vehicle</v>
      </c>
      <c r="E763" t="s">
        <v>18</v>
      </c>
      <c r="F763" t="s">
        <v>31</v>
      </c>
      <c r="G763" t="s">
        <v>9</v>
      </c>
      <c r="H763" t="str">
        <f t="shared" si="39"/>
        <v>出租车</v>
      </c>
      <c r="I763" t="str">
        <f t="shared" si="40"/>
        <v>Passenger LDV</v>
      </c>
      <c r="J763">
        <v>2960</v>
      </c>
    </row>
    <row r="764" spans="1:10" x14ac:dyDescent="0.2">
      <c r="A764">
        <v>763</v>
      </c>
      <c r="B764">
        <v>2016</v>
      </c>
      <c r="C764" t="s">
        <v>11</v>
      </c>
      <c r="D764" t="str">
        <f t="shared" si="38"/>
        <v>battery electric vehicle</v>
      </c>
      <c r="E764" t="s">
        <v>18</v>
      </c>
      <c r="F764" t="s">
        <v>31</v>
      </c>
      <c r="G764" t="s">
        <v>9</v>
      </c>
      <c r="H764" t="str">
        <f t="shared" si="39"/>
        <v>出租车</v>
      </c>
      <c r="I764" t="str">
        <f t="shared" si="40"/>
        <v>Passenger LDV</v>
      </c>
      <c r="J764">
        <v>1321</v>
      </c>
    </row>
    <row r="765" spans="1:10" x14ac:dyDescent="0.2">
      <c r="A765">
        <v>764</v>
      </c>
      <c r="B765">
        <v>2017</v>
      </c>
      <c r="C765" t="s">
        <v>11</v>
      </c>
      <c r="D765" t="str">
        <f t="shared" si="38"/>
        <v>battery electric vehicle</v>
      </c>
      <c r="E765" t="s">
        <v>18</v>
      </c>
      <c r="F765" t="s">
        <v>31</v>
      </c>
      <c r="G765" t="s">
        <v>9</v>
      </c>
      <c r="H765" t="str">
        <f t="shared" si="39"/>
        <v>出租车</v>
      </c>
      <c r="I765" t="str">
        <f t="shared" si="40"/>
        <v>Passenger LDV</v>
      </c>
      <c r="J765">
        <v>11282</v>
      </c>
    </row>
    <row r="766" spans="1:10" x14ac:dyDescent="0.2">
      <c r="A766">
        <v>765</v>
      </c>
      <c r="B766">
        <v>2018</v>
      </c>
      <c r="C766" t="s">
        <v>11</v>
      </c>
      <c r="D766" t="str">
        <f t="shared" si="38"/>
        <v>battery electric vehicle</v>
      </c>
      <c r="E766" t="s">
        <v>18</v>
      </c>
      <c r="F766" t="s">
        <v>31</v>
      </c>
      <c r="G766" t="s">
        <v>9</v>
      </c>
      <c r="H766" t="str">
        <f t="shared" si="39"/>
        <v>出租车</v>
      </c>
      <c r="I766" t="str">
        <f t="shared" si="40"/>
        <v>Passenger LDV</v>
      </c>
      <c r="J766">
        <v>11722</v>
      </c>
    </row>
    <row r="767" spans="1:10" x14ac:dyDescent="0.2">
      <c r="A767">
        <v>766</v>
      </c>
      <c r="B767">
        <v>2019</v>
      </c>
      <c r="C767" t="s">
        <v>11</v>
      </c>
      <c r="D767" t="str">
        <f t="shared" si="38"/>
        <v>battery electric vehicle</v>
      </c>
      <c r="E767" t="s">
        <v>18</v>
      </c>
      <c r="F767" t="s">
        <v>31</v>
      </c>
      <c r="G767" t="s">
        <v>9</v>
      </c>
      <c r="H767" t="str">
        <f t="shared" si="39"/>
        <v>出租车</v>
      </c>
      <c r="I767" t="str">
        <f t="shared" si="40"/>
        <v>Passenger LDV</v>
      </c>
      <c r="J767">
        <v>7777</v>
      </c>
    </row>
    <row r="768" spans="1:10" x14ac:dyDescent="0.2">
      <c r="A768">
        <v>767</v>
      </c>
      <c r="B768">
        <v>2020</v>
      </c>
      <c r="C768" t="s">
        <v>11</v>
      </c>
      <c r="D768" t="str">
        <f t="shared" si="38"/>
        <v>battery electric vehicle</v>
      </c>
      <c r="E768" t="s">
        <v>18</v>
      </c>
      <c r="F768" t="s">
        <v>31</v>
      </c>
      <c r="G768" t="s">
        <v>9</v>
      </c>
      <c r="H768" t="str">
        <f t="shared" si="39"/>
        <v>出租车</v>
      </c>
      <c r="I768" t="str">
        <f t="shared" si="40"/>
        <v>Passenger LDV</v>
      </c>
      <c r="J768">
        <v>8234</v>
      </c>
    </row>
    <row r="769" spans="1:10" x14ac:dyDescent="0.2">
      <c r="A769">
        <v>768</v>
      </c>
      <c r="B769">
        <v>2021</v>
      </c>
      <c r="C769" t="s">
        <v>11</v>
      </c>
      <c r="D769" t="str">
        <f t="shared" si="38"/>
        <v>battery electric vehicle</v>
      </c>
      <c r="E769" t="s">
        <v>18</v>
      </c>
      <c r="F769" t="s">
        <v>31</v>
      </c>
      <c r="G769" t="s">
        <v>9</v>
      </c>
      <c r="H769" t="str">
        <f t="shared" si="39"/>
        <v>出租车</v>
      </c>
      <c r="I769" t="str">
        <f t="shared" si="40"/>
        <v>Passenger LDV</v>
      </c>
      <c r="J769">
        <v>17443</v>
      </c>
    </row>
    <row r="770" spans="1:10" x14ac:dyDescent="0.2">
      <c r="A770">
        <v>769</v>
      </c>
      <c r="B770">
        <v>2016</v>
      </c>
      <c r="C770" t="s">
        <v>13</v>
      </c>
      <c r="D770" t="str">
        <f t="shared" ref="D770:D833" si="41">VLOOKUP(C770,M$3:N$16,2,FALSE)</f>
        <v>gasoline vehicle</v>
      </c>
      <c r="E770" t="s">
        <v>18</v>
      </c>
      <c r="F770" t="s">
        <v>31</v>
      </c>
      <c r="G770" t="s">
        <v>9</v>
      </c>
      <c r="H770" t="str">
        <f t="shared" si="39"/>
        <v>出租车</v>
      </c>
      <c r="I770" t="str">
        <f t="shared" si="40"/>
        <v>Passenger LDV</v>
      </c>
      <c r="J770">
        <v>8777</v>
      </c>
    </row>
    <row r="771" spans="1:10" x14ac:dyDescent="0.2">
      <c r="A771">
        <v>770</v>
      </c>
      <c r="B771">
        <v>2017</v>
      </c>
      <c r="C771" t="s">
        <v>13</v>
      </c>
      <c r="D771" t="str">
        <f t="shared" si="41"/>
        <v>gasoline vehicle</v>
      </c>
      <c r="E771" t="s">
        <v>18</v>
      </c>
      <c r="F771" t="s">
        <v>31</v>
      </c>
      <c r="G771" t="s">
        <v>9</v>
      </c>
      <c r="H771" t="str">
        <f t="shared" ref="H771:H834" si="42">VLOOKUP(E771&amp;F771&amp;G771,$S$3:$U$68,2,FALSE)</f>
        <v>出租车</v>
      </c>
      <c r="I771" t="str">
        <f t="shared" ref="I771:I834" si="43">VLOOKUP(E771&amp;F771&amp;G771,$S$3:$U$68,3,FALSE)</f>
        <v>Passenger LDV</v>
      </c>
      <c r="J771">
        <v>10703</v>
      </c>
    </row>
    <row r="772" spans="1:10" x14ac:dyDescent="0.2">
      <c r="A772">
        <v>771</v>
      </c>
      <c r="B772">
        <v>2018</v>
      </c>
      <c r="C772" t="s">
        <v>13</v>
      </c>
      <c r="D772" t="str">
        <f t="shared" si="41"/>
        <v>gasoline vehicle</v>
      </c>
      <c r="E772" t="s">
        <v>18</v>
      </c>
      <c r="F772" t="s">
        <v>31</v>
      </c>
      <c r="G772" t="s">
        <v>9</v>
      </c>
      <c r="H772" t="str">
        <f t="shared" si="42"/>
        <v>出租车</v>
      </c>
      <c r="I772" t="str">
        <f t="shared" si="43"/>
        <v>Passenger LDV</v>
      </c>
      <c r="J772">
        <v>10708</v>
      </c>
    </row>
    <row r="773" spans="1:10" x14ac:dyDescent="0.2">
      <c r="A773">
        <v>772</v>
      </c>
      <c r="B773">
        <v>2019</v>
      </c>
      <c r="C773" t="s">
        <v>13</v>
      </c>
      <c r="D773" t="str">
        <f t="shared" si="41"/>
        <v>gasoline vehicle</v>
      </c>
      <c r="E773" t="s">
        <v>18</v>
      </c>
      <c r="F773" t="s">
        <v>31</v>
      </c>
      <c r="G773" t="s">
        <v>9</v>
      </c>
      <c r="H773" t="str">
        <f t="shared" si="42"/>
        <v>出租车</v>
      </c>
      <c r="I773" t="str">
        <f t="shared" si="43"/>
        <v>Passenger LDV</v>
      </c>
      <c r="J773">
        <v>11800</v>
      </c>
    </row>
    <row r="774" spans="1:10" x14ac:dyDescent="0.2">
      <c r="A774">
        <v>773</v>
      </c>
      <c r="B774">
        <v>2020</v>
      </c>
      <c r="C774" t="s">
        <v>13</v>
      </c>
      <c r="D774" t="str">
        <f t="shared" si="41"/>
        <v>gasoline vehicle</v>
      </c>
      <c r="E774" t="s">
        <v>18</v>
      </c>
      <c r="F774" t="s">
        <v>31</v>
      </c>
      <c r="G774" t="s">
        <v>9</v>
      </c>
      <c r="H774" t="str">
        <f t="shared" si="42"/>
        <v>出租车</v>
      </c>
      <c r="I774" t="str">
        <f t="shared" si="43"/>
        <v>Passenger LDV</v>
      </c>
      <c r="J774">
        <v>8867</v>
      </c>
    </row>
    <row r="775" spans="1:10" x14ac:dyDescent="0.2">
      <c r="A775">
        <v>774</v>
      </c>
      <c r="B775">
        <v>2021</v>
      </c>
      <c r="C775" t="s">
        <v>13</v>
      </c>
      <c r="D775" t="str">
        <f t="shared" si="41"/>
        <v>gasoline vehicle</v>
      </c>
      <c r="E775" t="s">
        <v>18</v>
      </c>
      <c r="F775" t="s">
        <v>31</v>
      </c>
      <c r="G775" t="s">
        <v>9</v>
      </c>
      <c r="H775" t="str">
        <f t="shared" si="42"/>
        <v>出租车</v>
      </c>
      <c r="I775" t="str">
        <f t="shared" si="43"/>
        <v>Passenger LDV</v>
      </c>
      <c r="J775">
        <v>4556</v>
      </c>
    </row>
    <row r="776" spans="1:10" x14ac:dyDescent="0.2">
      <c r="A776">
        <v>775</v>
      </c>
      <c r="B776">
        <v>2016</v>
      </c>
      <c r="C776" t="s">
        <v>14</v>
      </c>
      <c r="D776" t="str">
        <f t="shared" si="41"/>
        <v>natural gas vehicle</v>
      </c>
      <c r="E776" t="s">
        <v>18</v>
      </c>
      <c r="F776" t="s">
        <v>31</v>
      </c>
      <c r="G776" t="s">
        <v>9</v>
      </c>
      <c r="H776" t="str">
        <f t="shared" si="42"/>
        <v>出租车</v>
      </c>
      <c r="I776" t="str">
        <f t="shared" si="43"/>
        <v>Passenger LDV</v>
      </c>
      <c r="J776">
        <v>320</v>
      </c>
    </row>
    <row r="777" spans="1:10" x14ac:dyDescent="0.2">
      <c r="A777">
        <v>776</v>
      </c>
      <c r="B777">
        <v>2017</v>
      </c>
      <c r="C777" t="s">
        <v>14</v>
      </c>
      <c r="D777" t="str">
        <f t="shared" si="41"/>
        <v>natural gas vehicle</v>
      </c>
      <c r="E777" t="s">
        <v>18</v>
      </c>
      <c r="F777" t="s">
        <v>31</v>
      </c>
      <c r="G777" t="s">
        <v>9</v>
      </c>
      <c r="H777" t="str">
        <f t="shared" si="42"/>
        <v>出租车</v>
      </c>
      <c r="I777" t="str">
        <f t="shared" si="43"/>
        <v>Passenger LDV</v>
      </c>
      <c r="J777">
        <v>249</v>
      </c>
    </row>
    <row r="778" spans="1:10" x14ac:dyDescent="0.2">
      <c r="A778">
        <v>777</v>
      </c>
      <c r="B778">
        <v>2018</v>
      </c>
      <c r="C778" t="s">
        <v>14</v>
      </c>
      <c r="D778" t="str">
        <f t="shared" si="41"/>
        <v>natural gas vehicle</v>
      </c>
      <c r="E778" t="s">
        <v>18</v>
      </c>
      <c r="F778" t="s">
        <v>31</v>
      </c>
      <c r="G778" t="s">
        <v>9</v>
      </c>
      <c r="H778" t="str">
        <f t="shared" si="42"/>
        <v>出租车</v>
      </c>
      <c r="I778" t="str">
        <f t="shared" si="43"/>
        <v>Passenger LDV</v>
      </c>
      <c r="J778">
        <v>263</v>
      </c>
    </row>
    <row r="779" spans="1:10" x14ac:dyDescent="0.2">
      <c r="A779">
        <v>778</v>
      </c>
      <c r="B779">
        <v>2019</v>
      </c>
      <c r="C779" t="s">
        <v>14</v>
      </c>
      <c r="D779" t="str">
        <f t="shared" si="41"/>
        <v>natural gas vehicle</v>
      </c>
      <c r="E779" t="s">
        <v>18</v>
      </c>
      <c r="F779" t="s">
        <v>31</v>
      </c>
      <c r="G779" t="s">
        <v>9</v>
      </c>
      <c r="H779" t="str">
        <f t="shared" si="42"/>
        <v>出租车</v>
      </c>
      <c r="I779" t="str">
        <f t="shared" si="43"/>
        <v>Passenger LDV</v>
      </c>
      <c r="J779">
        <v>239</v>
      </c>
    </row>
    <row r="780" spans="1:10" x14ac:dyDescent="0.2">
      <c r="A780">
        <v>779</v>
      </c>
      <c r="B780">
        <v>2020</v>
      </c>
      <c r="C780" t="s">
        <v>14</v>
      </c>
      <c r="D780" t="str">
        <f t="shared" si="41"/>
        <v>natural gas vehicle</v>
      </c>
      <c r="E780" t="s">
        <v>18</v>
      </c>
      <c r="F780" t="s">
        <v>31</v>
      </c>
      <c r="G780" t="s">
        <v>9</v>
      </c>
      <c r="H780" t="str">
        <f t="shared" si="42"/>
        <v>出租车</v>
      </c>
      <c r="I780" t="str">
        <f t="shared" si="43"/>
        <v>Passenger LDV</v>
      </c>
      <c r="J780">
        <v>18</v>
      </c>
    </row>
    <row r="781" spans="1:10" x14ac:dyDescent="0.2">
      <c r="A781">
        <v>780</v>
      </c>
      <c r="B781">
        <v>2021</v>
      </c>
      <c r="C781" t="s">
        <v>15</v>
      </c>
      <c r="D781" t="str">
        <f t="shared" si="41"/>
        <v>hydrogen vehicle</v>
      </c>
      <c r="E781" t="s">
        <v>18</v>
      </c>
      <c r="F781" t="s">
        <v>31</v>
      </c>
      <c r="G781" t="s">
        <v>9</v>
      </c>
      <c r="H781" t="str">
        <f t="shared" si="42"/>
        <v>出租车</v>
      </c>
      <c r="I781" t="str">
        <f t="shared" si="43"/>
        <v>Passenger LDV</v>
      </c>
      <c r="J781">
        <v>1</v>
      </c>
    </row>
    <row r="782" spans="1:10" x14ac:dyDescent="0.2">
      <c r="A782">
        <v>781</v>
      </c>
      <c r="B782">
        <v>2016</v>
      </c>
      <c r="C782" t="s">
        <v>16</v>
      </c>
      <c r="D782" t="str">
        <f t="shared" si="41"/>
        <v>natural gas vehicle</v>
      </c>
      <c r="E782" t="s">
        <v>18</v>
      </c>
      <c r="F782" t="s">
        <v>31</v>
      </c>
      <c r="G782" t="s">
        <v>9</v>
      </c>
      <c r="H782" t="str">
        <f t="shared" si="42"/>
        <v>出租车</v>
      </c>
      <c r="I782" t="str">
        <f t="shared" si="43"/>
        <v>Passenger LDV</v>
      </c>
      <c r="J782">
        <v>33</v>
      </c>
    </row>
    <row r="783" spans="1:10" x14ac:dyDescent="0.2">
      <c r="A783">
        <v>782</v>
      </c>
      <c r="B783">
        <v>2018</v>
      </c>
      <c r="C783" t="s">
        <v>16</v>
      </c>
      <c r="D783" t="str">
        <f t="shared" si="41"/>
        <v>natural gas vehicle</v>
      </c>
      <c r="E783" t="s">
        <v>18</v>
      </c>
      <c r="F783" t="s">
        <v>31</v>
      </c>
      <c r="G783" t="s">
        <v>9</v>
      </c>
      <c r="H783" t="str">
        <f t="shared" si="42"/>
        <v>出租车</v>
      </c>
      <c r="I783" t="str">
        <f t="shared" si="43"/>
        <v>Passenger LDV</v>
      </c>
      <c r="J783">
        <v>2</v>
      </c>
    </row>
    <row r="784" spans="1:10" x14ac:dyDescent="0.2">
      <c r="A784">
        <v>783</v>
      </c>
      <c r="B784">
        <v>2019</v>
      </c>
      <c r="C784" t="s">
        <v>16</v>
      </c>
      <c r="D784" t="str">
        <f t="shared" si="41"/>
        <v>natural gas vehicle</v>
      </c>
      <c r="E784" t="s">
        <v>18</v>
      </c>
      <c r="F784" t="s">
        <v>31</v>
      </c>
      <c r="G784" t="s">
        <v>9</v>
      </c>
      <c r="H784" t="str">
        <f t="shared" si="42"/>
        <v>出租车</v>
      </c>
      <c r="I784" t="str">
        <f t="shared" si="43"/>
        <v>Passenger LDV</v>
      </c>
      <c r="J784">
        <v>1</v>
      </c>
    </row>
    <row r="785" spans="1:10" x14ac:dyDescent="0.2">
      <c r="A785">
        <v>784</v>
      </c>
      <c r="B785">
        <v>2020</v>
      </c>
      <c r="C785" t="s">
        <v>16</v>
      </c>
      <c r="D785" t="str">
        <f t="shared" si="41"/>
        <v>natural gas vehicle</v>
      </c>
      <c r="E785" t="s">
        <v>18</v>
      </c>
      <c r="F785" t="s">
        <v>31</v>
      </c>
      <c r="G785" t="s">
        <v>9</v>
      </c>
      <c r="H785" t="str">
        <f t="shared" si="42"/>
        <v>出租车</v>
      </c>
      <c r="I785" t="str">
        <f t="shared" si="43"/>
        <v>Passenger LDV</v>
      </c>
      <c r="J785">
        <v>25</v>
      </c>
    </row>
    <row r="786" spans="1:10" x14ac:dyDescent="0.2">
      <c r="A786">
        <v>785</v>
      </c>
      <c r="B786">
        <v>2021</v>
      </c>
      <c r="C786" t="s">
        <v>16</v>
      </c>
      <c r="D786" t="str">
        <f t="shared" si="41"/>
        <v>natural gas vehicle</v>
      </c>
      <c r="E786" t="s">
        <v>18</v>
      </c>
      <c r="F786" t="s">
        <v>31</v>
      </c>
      <c r="G786" t="s">
        <v>9</v>
      </c>
      <c r="H786" t="str">
        <f t="shared" si="42"/>
        <v>出租车</v>
      </c>
      <c r="I786" t="str">
        <f t="shared" si="43"/>
        <v>Passenger LDV</v>
      </c>
      <c r="J786">
        <v>341</v>
      </c>
    </row>
    <row r="787" spans="1:10" x14ac:dyDescent="0.2">
      <c r="A787">
        <v>786</v>
      </c>
      <c r="B787">
        <v>2020</v>
      </c>
      <c r="C787" t="s">
        <v>6</v>
      </c>
      <c r="D787" t="str">
        <f t="shared" si="41"/>
        <v>plugin hybrid vehicle</v>
      </c>
      <c r="E787" t="s">
        <v>19</v>
      </c>
      <c r="F787" t="s">
        <v>31</v>
      </c>
      <c r="G787" t="s">
        <v>9</v>
      </c>
      <c r="H787" t="str">
        <f t="shared" si="42"/>
        <v>中重型货车</v>
      </c>
      <c r="I787" t="str">
        <f t="shared" si="43"/>
        <v>Freight HDV</v>
      </c>
      <c r="J787">
        <v>2</v>
      </c>
    </row>
    <row r="788" spans="1:10" x14ac:dyDescent="0.2">
      <c r="A788">
        <v>787</v>
      </c>
      <c r="B788">
        <v>2015</v>
      </c>
      <c r="C788" t="s">
        <v>10</v>
      </c>
      <c r="D788" t="str">
        <f t="shared" si="41"/>
        <v>diesel vehicle</v>
      </c>
      <c r="E788" t="s">
        <v>19</v>
      </c>
      <c r="F788" t="s">
        <v>31</v>
      </c>
      <c r="G788" t="s">
        <v>9</v>
      </c>
      <c r="H788" t="str">
        <f t="shared" si="42"/>
        <v>中重型货车</v>
      </c>
      <c r="I788" t="str">
        <f t="shared" si="43"/>
        <v>Freight HDV</v>
      </c>
      <c r="J788">
        <v>46832</v>
      </c>
    </row>
    <row r="789" spans="1:10" x14ac:dyDescent="0.2">
      <c r="A789">
        <v>788</v>
      </c>
      <c r="B789">
        <v>2016</v>
      </c>
      <c r="C789" t="s">
        <v>10</v>
      </c>
      <c r="D789" t="str">
        <f t="shared" si="41"/>
        <v>diesel vehicle</v>
      </c>
      <c r="E789" t="s">
        <v>19</v>
      </c>
      <c r="F789" t="s">
        <v>31</v>
      </c>
      <c r="G789" t="s">
        <v>9</v>
      </c>
      <c r="H789" t="str">
        <f t="shared" si="42"/>
        <v>中重型货车</v>
      </c>
      <c r="I789" t="str">
        <f t="shared" si="43"/>
        <v>Freight HDV</v>
      </c>
      <c r="J789">
        <v>43654</v>
      </c>
    </row>
    <row r="790" spans="1:10" x14ac:dyDescent="0.2">
      <c r="A790">
        <v>789</v>
      </c>
      <c r="B790">
        <v>2017</v>
      </c>
      <c r="C790" t="s">
        <v>10</v>
      </c>
      <c r="D790" t="str">
        <f t="shared" si="41"/>
        <v>diesel vehicle</v>
      </c>
      <c r="E790" t="s">
        <v>19</v>
      </c>
      <c r="F790" t="s">
        <v>31</v>
      </c>
      <c r="G790" t="s">
        <v>9</v>
      </c>
      <c r="H790" t="str">
        <f t="shared" si="42"/>
        <v>中重型货车</v>
      </c>
      <c r="I790" t="str">
        <f t="shared" si="43"/>
        <v>Freight HDV</v>
      </c>
      <c r="J790">
        <v>37766</v>
      </c>
    </row>
    <row r="791" spans="1:10" x14ac:dyDescent="0.2">
      <c r="A791">
        <v>790</v>
      </c>
      <c r="B791">
        <v>2018</v>
      </c>
      <c r="C791" t="s">
        <v>10</v>
      </c>
      <c r="D791" t="str">
        <f t="shared" si="41"/>
        <v>diesel vehicle</v>
      </c>
      <c r="E791" t="s">
        <v>19</v>
      </c>
      <c r="F791" t="s">
        <v>31</v>
      </c>
      <c r="G791" t="s">
        <v>9</v>
      </c>
      <c r="H791" t="str">
        <f t="shared" si="42"/>
        <v>中重型货车</v>
      </c>
      <c r="I791" t="str">
        <f t="shared" si="43"/>
        <v>Freight HDV</v>
      </c>
      <c r="J791">
        <v>27681</v>
      </c>
    </row>
    <row r="792" spans="1:10" x14ac:dyDescent="0.2">
      <c r="A792">
        <v>791</v>
      </c>
      <c r="B792">
        <v>2019</v>
      </c>
      <c r="C792" t="s">
        <v>10</v>
      </c>
      <c r="D792" t="str">
        <f t="shared" si="41"/>
        <v>diesel vehicle</v>
      </c>
      <c r="E792" t="s">
        <v>19</v>
      </c>
      <c r="F792" t="s">
        <v>31</v>
      </c>
      <c r="G792" t="s">
        <v>9</v>
      </c>
      <c r="H792" t="str">
        <f t="shared" si="42"/>
        <v>中重型货车</v>
      </c>
      <c r="I792" t="str">
        <f t="shared" si="43"/>
        <v>Freight HDV</v>
      </c>
      <c r="J792">
        <v>33534</v>
      </c>
    </row>
    <row r="793" spans="1:10" x14ac:dyDescent="0.2">
      <c r="A793">
        <v>792</v>
      </c>
      <c r="B793">
        <v>2020</v>
      </c>
      <c r="C793" t="s">
        <v>10</v>
      </c>
      <c r="D793" t="str">
        <f t="shared" si="41"/>
        <v>diesel vehicle</v>
      </c>
      <c r="E793" t="s">
        <v>19</v>
      </c>
      <c r="F793" t="s">
        <v>31</v>
      </c>
      <c r="G793" t="s">
        <v>9</v>
      </c>
      <c r="H793" t="str">
        <f t="shared" si="42"/>
        <v>中重型货车</v>
      </c>
      <c r="I793" t="str">
        <f t="shared" si="43"/>
        <v>Freight HDV</v>
      </c>
      <c r="J793">
        <v>38255</v>
      </c>
    </row>
    <row r="794" spans="1:10" x14ac:dyDescent="0.2">
      <c r="A794">
        <v>793</v>
      </c>
      <c r="B794">
        <v>2021</v>
      </c>
      <c r="C794" t="s">
        <v>10</v>
      </c>
      <c r="D794" t="str">
        <f t="shared" si="41"/>
        <v>diesel vehicle</v>
      </c>
      <c r="E794" t="s">
        <v>19</v>
      </c>
      <c r="F794" t="s">
        <v>31</v>
      </c>
      <c r="G794" t="s">
        <v>9</v>
      </c>
      <c r="H794" t="str">
        <f t="shared" si="42"/>
        <v>中重型货车</v>
      </c>
      <c r="I794" t="str">
        <f t="shared" si="43"/>
        <v>Freight HDV</v>
      </c>
      <c r="J794">
        <v>43304</v>
      </c>
    </row>
    <row r="795" spans="1:10" x14ac:dyDescent="0.2">
      <c r="A795">
        <v>794</v>
      </c>
      <c r="B795">
        <v>2015</v>
      </c>
      <c r="C795" t="s">
        <v>11</v>
      </c>
      <c r="D795" t="str">
        <f t="shared" si="41"/>
        <v>battery electric vehicle</v>
      </c>
      <c r="E795" t="s">
        <v>19</v>
      </c>
      <c r="F795" t="s">
        <v>31</v>
      </c>
      <c r="G795" t="s">
        <v>9</v>
      </c>
      <c r="H795" t="str">
        <f t="shared" si="42"/>
        <v>中重型货车</v>
      </c>
      <c r="I795" t="str">
        <f t="shared" si="43"/>
        <v>Freight HDV</v>
      </c>
      <c r="J795">
        <v>5660</v>
      </c>
    </row>
    <row r="796" spans="1:10" x14ac:dyDescent="0.2">
      <c r="A796">
        <v>795</v>
      </c>
      <c r="B796">
        <v>2016</v>
      </c>
      <c r="C796" t="s">
        <v>11</v>
      </c>
      <c r="D796" t="str">
        <f t="shared" si="41"/>
        <v>battery electric vehicle</v>
      </c>
      <c r="E796" t="s">
        <v>19</v>
      </c>
      <c r="F796" t="s">
        <v>31</v>
      </c>
      <c r="G796" t="s">
        <v>9</v>
      </c>
      <c r="H796" t="str">
        <f t="shared" si="42"/>
        <v>中重型货车</v>
      </c>
      <c r="I796" t="str">
        <f t="shared" si="43"/>
        <v>Freight HDV</v>
      </c>
      <c r="J796">
        <v>3928</v>
      </c>
    </row>
    <row r="797" spans="1:10" x14ac:dyDescent="0.2">
      <c r="A797">
        <v>796</v>
      </c>
      <c r="B797">
        <v>2017</v>
      </c>
      <c r="C797" t="s">
        <v>11</v>
      </c>
      <c r="D797" t="str">
        <f t="shared" si="41"/>
        <v>battery electric vehicle</v>
      </c>
      <c r="E797" t="s">
        <v>19</v>
      </c>
      <c r="F797" t="s">
        <v>31</v>
      </c>
      <c r="G797" t="s">
        <v>9</v>
      </c>
      <c r="H797" t="str">
        <f t="shared" si="42"/>
        <v>中重型货车</v>
      </c>
      <c r="I797" t="str">
        <f t="shared" si="43"/>
        <v>Freight HDV</v>
      </c>
      <c r="J797">
        <v>1608</v>
      </c>
    </row>
    <row r="798" spans="1:10" x14ac:dyDescent="0.2">
      <c r="A798">
        <v>797</v>
      </c>
      <c r="B798">
        <v>2018</v>
      </c>
      <c r="C798" t="s">
        <v>11</v>
      </c>
      <c r="D798" t="str">
        <f t="shared" si="41"/>
        <v>battery electric vehicle</v>
      </c>
      <c r="E798" t="s">
        <v>19</v>
      </c>
      <c r="F798" t="s">
        <v>31</v>
      </c>
      <c r="G798" t="s">
        <v>9</v>
      </c>
      <c r="H798" t="str">
        <f t="shared" si="42"/>
        <v>中重型货车</v>
      </c>
      <c r="I798" t="str">
        <f t="shared" si="43"/>
        <v>Freight HDV</v>
      </c>
      <c r="J798">
        <v>101</v>
      </c>
    </row>
    <row r="799" spans="1:10" x14ac:dyDescent="0.2">
      <c r="A799">
        <v>798</v>
      </c>
      <c r="B799">
        <v>2019</v>
      </c>
      <c r="C799" t="s">
        <v>11</v>
      </c>
      <c r="D799" t="str">
        <f t="shared" si="41"/>
        <v>battery electric vehicle</v>
      </c>
      <c r="E799" t="s">
        <v>19</v>
      </c>
      <c r="F799" t="s">
        <v>31</v>
      </c>
      <c r="G799" t="s">
        <v>9</v>
      </c>
      <c r="H799" t="str">
        <f t="shared" si="42"/>
        <v>中重型货车</v>
      </c>
      <c r="I799" t="str">
        <f t="shared" si="43"/>
        <v>Freight HDV</v>
      </c>
      <c r="J799">
        <v>20</v>
      </c>
    </row>
    <row r="800" spans="1:10" x14ac:dyDescent="0.2">
      <c r="A800">
        <v>799</v>
      </c>
      <c r="B800">
        <v>2020</v>
      </c>
      <c r="C800" t="s">
        <v>11</v>
      </c>
      <c r="D800" t="str">
        <f t="shared" si="41"/>
        <v>battery electric vehicle</v>
      </c>
      <c r="E800" t="s">
        <v>19</v>
      </c>
      <c r="F800" t="s">
        <v>31</v>
      </c>
      <c r="G800" t="s">
        <v>9</v>
      </c>
      <c r="H800" t="str">
        <f t="shared" si="42"/>
        <v>中重型货车</v>
      </c>
      <c r="I800" t="str">
        <f t="shared" si="43"/>
        <v>Freight HDV</v>
      </c>
      <c r="J800">
        <v>74</v>
      </c>
    </row>
    <row r="801" spans="1:10" x14ac:dyDescent="0.2">
      <c r="A801">
        <v>800</v>
      </c>
      <c r="B801">
        <v>2021</v>
      </c>
      <c r="C801" t="s">
        <v>11</v>
      </c>
      <c r="D801" t="str">
        <f t="shared" si="41"/>
        <v>battery electric vehicle</v>
      </c>
      <c r="E801" t="s">
        <v>19</v>
      </c>
      <c r="F801" t="s">
        <v>31</v>
      </c>
      <c r="G801" t="s">
        <v>9</v>
      </c>
      <c r="H801" t="str">
        <f t="shared" si="42"/>
        <v>中重型货车</v>
      </c>
      <c r="I801" t="str">
        <f t="shared" si="43"/>
        <v>Freight HDV</v>
      </c>
      <c r="J801">
        <v>141</v>
      </c>
    </row>
    <row r="802" spans="1:10" x14ac:dyDescent="0.2">
      <c r="A802">
        <v>801</v>
      </c>
      <c r="B802">
        <v>2018</v>
      </c>
      <c r="C802" t="s">
        <v>13</v>
      </c>
      <c r="D802" t="str">
        <f t="shared" si="41"/>
        <v>gasoline vehicle</v>
      </c>
      <c r="E802" t="s">
        <v>19</v>
      </c>
      <c r="F802" t="s">
        <v>31</v>
      </c>
      <c r="G802" t="s">
        <v>9</v>
      </c>
      <c r="H802" t="str">
        <f t="shared" si="42"/>
        <v>中重型货车</v>
      </c>
      <c r="I802" t="str">
        <f t="shared" si="43"/>
        <v>Freight HDV</v>
      </c>
      <c r="J802">
        <v>3</v>
      </c>
    </row>
    <row r="803" spans="1:10" x14ac:dyDescent="0.2">
      <c r="A803">
        <v>802</v>
      </c>
      <c r="B803">
        <v>2021</v>
      </c>
      <c r="C803" t="s">
        <v>13</v>
      </c>
      <c r="D803" t="str">
        <f t="shared" si="41"/>
        <v>gasoline vehicle</v>
      </c>
      <c r="E803" t="s">
        <v>19</v>
      </c>
      <c r="F803" t="s">
        <v>31</v>
      </c>
      <c r="G803" t="s">
        <v>9</v>
      </c>
      <c r="H803" t="str">
        <f t="shared" si="42"/>
        <v>中重型货车</v>
      </c>
      <c r="I803" t="str">
        <f t="shared" si="43"/>
        <v>Freight HDV</v>
      </c>
      <c r="J803">
        <v>1</v>
      </c>
    </row>
    <row r="804" spans="1:10" x14ac:dyDescent="0.2">
      <c r="A804">
        <v>803</v>
      </c>
      <c r="B804">
        <v>2015</v>
      </c>
      <c r="C804" t="s">
        <v>14</v>
      </c>
      <c r="D804" t="str">
        <f t="shared" si="41"/>
        <v>natural gas vehicle</v>
      </c>
      <c r="E804" t="s">
        <v>19</v>
      </c>
      <c r="F804" t="s">
        <v>31</v>
      </c>
      <c r="G804" t="s">
        <v>9</v>
      </c>
      <c r="H804" t="str">
        <f t="shared" si="42"/>
        <v>中重型货车</v>
      </c>
      <c r="I804" t="str">
        <f t="shared" si="43"/>
        <v>Freight HDV</v>
      </c>
      <c r="J804">
        <v>35</v>
      </c>
    </row>
    <row r="805" spans="1:10" x14ac:dyDescent="0.2">
      <c r="A805">
        <v>804</v>
      </c>
      <c r="B805">
        <v>2017</v>
      </c>
      <c r="C805" t="s">
        <v>15</v>
      </c>
      <c r="D805" t="str">
        <f t="shared" si="41"/>
        <v>hydrogen vehicle</v>
      </c>
      <c r="E805" t="s">
        <v>19</v>
      </c>
      <c r="F805" t="s">
        <v>31</v>
      </c>
      <c r="G805" t="s">
        <v>9</v>
      </c>
      <c r="H805" t="str">
        <f t="shared" si="42"/>
        <v>中重型货车</v>
      </c>
      <c r="I805" t="str">
        <f t="shared" si="43"/>
        <v>Freight HDV</v>
      </c>
      <c r="J805">
        <v>401</v>
      </c>
    </row>
    <row r="806" spans="1:10" x14ac:dyDescent="0.2">
      <c r="A806">
        <v>805</v>
      </c>
      <c r="B806">
        <v>2018</v>
      </c>
      <c r="C806" t="s">
        <v>15</v>
      </c>
      <c r="D806" t="str">
        <f t="shared" si="41"/>
        <v>hydrogen vehicle</v>
      </c>
      <c r="E806" t="s">
        <v>19</v>
      </c>
      <c r="F806" t="s">
        <v>31</v>
      </c>
      <c r="G806" t="s">
        <v>9</v>
      </c>
      <c r="H806" t="str">
        <f t="shared" si="42"/>
        <v>中重型货车</v>
      </c>
      <c r="I806" t="str">
        <f t="shared" si="43"/>
        <v>Freight HDV</v>
      </c>
      <c r="J806">
        <v>402</v>
      </c>
    </row>
    <row r="807" spans="1:10" x14ac:dyDescent="0.2">
      <c r="A807">
        <v>806</v>
      </c>
      <c r="B807">
        <v>2019</v>
      </c>
      <c r="C807" t="s">
        <v>15</v>
      </c>
      <c r="D807" t="str">
        <f t="shared" si="41"/>
        <v>hydrogen vehicle</v>
      </c>
      <c r="E807" t="s">
        <v>19</v>
      </c>
      <c r="F807" t="s">
        <v>31</v>
      </c>
      <c r="G807" t="s">
        <v>9</v>
      </c>
      <c r="H807" t="str">
        <f t="shared" si="42"/>
        <v>中重型货车</v>
      </c>
      <c r="I807" t="str">
        <f t="shared" si="43"/>
        <v>Freight HDV</v>
      </c>
      <c r="J807">
        <v>1518</v>
      </c>
    </row>
    <row r="808" spans="1:10" x14ac:dyDescent="0.2">
      <c r="A808">
        <v>807</v>
      </c>
      <c r="B808">
        <v>2020</v>
      </c>
      <c r="C808" t="s">
        <v>15</v>
      </c>
      <c r="D808" t="str">
        <f t="shared" si="41"/>
        <v>hydrogen vehicle</v>
      </c>
      <c r="E808" t="s">
        <v>19</v>
      </c>
      <c r="F808" t="s">
        <v>31</v>
      </c>
      <c r="G808" t="s">
        <v>9</v>
      </c>
      <c r="H808" t="str">
        <f t="shared" si="42"/>
        <v>中重型货车</v>
      </c>
      <c r="I808" t="str">
        <f t="shared" si="43"/>
        <v>Freight HDV</v>
      </c>
      <c r="J808">
        <v>64</v>
      </c>
    </row>
    <row r="809" spans="1:10" x14ac:dyDescent="0.2">
      <c r="A809">
        <v>808</v>
      </c>
      <c r="B809">
        <v>2021</v>
      </c>
      <c r="C809" t="s">
        <v>15</v>
      </c>
      <c r="D809" t="str">
        <f t="shared" si="41"/>
        <v>hydrogen vehicle</v>
      </c>
      <c r="E809" t="s">
        <v>19</v>
      </c>
      <c r="F809" t="s">
        <v>31</v>
      </c>
      <c r="G809" t="s">
        <v>9</v>
      </c>
      <c r="H809" t="str">
        <f t="shared" si="42"/>
        <v>中重型货车</v>
      </c>
      <c r="I809" t="str">
        <f t="shared" si="43"/>
        <v>Freight HDV</v>
      </c>
      <c r="J809">
        <v>32</v>
      </c>
    </row>
    <row r="810" spans="1:10" x14ac:dyDescent="0.2">
      <c r="A810">
        <v>809</v>
      </c>
      <c r="B810">
        <v>2015</v>
      </c>
      <c r="C810" t="s">
        <v>16</v>
      </c>
      <c r="D810" t="str">
        <f t="shared" si="41"/>
        <v>natural gas vehicle</v>
      </c>
      <c r="E810" t="s">
        <v>19</v>
      </c>
      <c r="F810" t="s">
        <v>31</v>
      </c>
      <c r="G810" t="s">
        <v>9</v>
      </c>
      <c r="H810" t="str">
        <f t="shared" si="42"/>
        <v>中重型货车</v>
      </c>
      <c r="I810" t="str">
        <f t="shared" si="43"/>
        <v>Freight HDV</v>
      </c>
      <c r="J810">
        <v>60</v>
      </c>
    </row>
    <row r="811" spans="1:10" x14ac:dyDescent="0.2">
      <c r="A811">
        <v>810</v>
      </c>
      <c r="B811">
        <v>2016</v>
      </c>
      <c r="C811" t="s">
        <v>16</v>
      </c>
      <c r="D811" t="str">
        <f t="shared" si="41"/>
        <v>natural gas vehicle</v>
      </c>
      <c r="E811" t="s">
        <v>19</v>
      </c>
      <c r="F811" t="s">
        <v>31</v>
      </c>
      <c r="G811" t="s">
        <v>9</v>
      </c>
      <c r="H811" t="str">
        <f t="shared" si="42"/>
        <v>中重型货车</v>
      </c>
      <c r="I811" t="str">
        <f t="shared" si="43"/>
        <v>Freight HDV</v>
      </c>
      <c r="J811">
        <v>9</v>
      </c>
    </row>
    <row r="812" spans="1:10" x14ac:dyDescent="0.2">
      <c r="A812">
        <v>811</v>
      </c>
      <c r="B812">
        <v>2017</v>
      </c>
      <c r="C812" t="s">
        <v>16</v>
      </c>
      <c r="D812" t="str">
        <f t="shared" si="41"/>
        <v>natural gas vehicle</v>
      </c>
      <c r="E812" t="s">
        <v>19</v>
      </c>
      <c r="F812" t="s">
        <v>31</v>
      </c>
      <c r="G812" t="s">
        <v>9</v>
      </c>
      <c r="H812" t="str">
        <f t="shared" si="42"/>
        <v>中重型货车</v>
      </c>
      <c r="I812" t="str">
        <f t="shared" si="43"/>
        <v>Freight HDV</v>
      </c>
      <c r="J812">
        <v>8</v>
      </c>
    </row>
    <row r="813" spans="1:10" x14ac:dyDescent="0.2">
      <c r="A813">
        <v>812</v>
      </c>
      <c r="B813">
        <v>2018</v>
      </c>
      <c r="C813" t="s">
        <v>16</v>
      </c>
      <c r="D813" t="str">
        <f t="shared" si="41"/>
        <v>natural gas vehicle</v>
      </c>
      <c r="E813" t="s">
        <v>19</v>
      </c>
      <c r="F813" t="s">
        <v>31</v>
      </c>
      <c r="G813" t="s">
        <v>9</v>
      </c>
      <c r="H813" t="str">
        <f t="shared" si="42"/>
        <v>中重型货车</v>
      </c>
      <c r="I813" t="str">
        <f t="shared" si="43"/>
        <v>Freight HDV</v>
      </c>
      <c r="J813">
        <v>31</v>
      </c>
    </row>
    <row r="814" spans="1:10" x14ac:dyDescent="0.2">
      <c r="A814">
        <v>813</v>
      </c>
      <c r="B814">
        <v>2019</v>
      </c>
      <c r="C814" t="s">
        <v>16</v>
      </c>
      <c r="D814" t="str">
        <f t="shared" si="41"/>
        <v>natural gas vehicle</v>
      </c>
      <c r="E814" t="s">
        <v>19</v>
      </c>
      <c r="F814" t="s">
        <v>31</v>
      </c>
      <c r="G814" t="s">
        <v>9</v>
      </c>
      <c r="H814" t="str">
        <f t="shared" si="42"/>
        <v>中重型货车</v>
      </c>
      <c r="I814" t="str">
        <f t="shared" si="43"/>
        <v>Freight HDV</v>
      </c>
      <c r="J814">
        <v>12</v>
      </c>
    </row>
    <row r="815" spans="1:10" x14ac:dyDescent="0.2">
      <c r="A815">
        <v>814</v>
      </c>
      <c r="B815">
        <v>2020</v>
      </c>
      <c r="C815" t="s">
        <v>16</v>
      </c>
      <c r="D815" t="str">
        <f t="shared" si="41"/>
        <v>natural gas vehicle</v>
      </c>
      <c r="E815" t="s">
        <v>19</v>
      </c>
      <c r="F815" t="s">
        <v>31</v>
      </c>
      <c r="G815" t="s">
        <v>9</v>
      </c>
      <c r="H815" t="str">
        <f t="shared" si="42"/>
        <v>中重型货车</v>
      </c>
      <c r="I815" t="str">
        <f t="shared" si="43"/>
        <v>Freight HDV</v>
      </c>
      <c r="J815">
        <v>62</v>
      </c>
    </row>
    <row r="816" spans="1:10" x14ac:dyDescent="0.2">
      <c r="A816">
        <v>815</v>
      </c>
      <c r="B816">
        <v>2021</v>
      </c>
      <c r="C816" t="s">
        <v>16</v>
      </c>
      <c r="D816" t="str">
        <f t="shared" si="41"/>
        <v>natural gas vehicle</v>
      </c>
      <c r="E816" t="s">
        <v>19</v>
      </c>
      <c r="F816" t="s">
        <v>31</v>
      </c>
      <c r="G816" t="s">
        <v>9</v>
      </c>
      <c r="H816" t="str">
        <f t="shared" si="42"/>
        <v>中重型货车</v>
      </c>
      <c r="I816" t="str">
        <f t="shared" si="43"/>
        <v>Freight HDV</v>
      </c>
      <c r="J816">
        <v>39</v>
      </c>
    </row>
    <row r="817" spans="1:10" x14ac:dyDescent="0.2">
      <c r="A817">
        <v>816</v>
      </c>
      <c r="B817">
        <v>2015</v>
      </c>
      <c r="C817" t="s">
        <v>10</v>
      </c>
      <c r="D817" t="str">
        <f t="shared" si="41"/>
        <v>diesel vehicle</v>
      </c>
      <c r="E817" t="s">
        <v>20</v>
      </c>
      <c r="F817" t="s">
        <v>31</v>
      </c>
      <c r="G817" t="s">
        <v>9</v>
      </c>
      <c r="H817" t="str">
        <f t="shared" si="42"/>
        <v>道路客车</v>
      </c>
      <c r="I817" t="str">
        <f t="shared" si="43"/>
        <v>Passenger HDV</v>
      </c>
      <c r="J817">
        <v>107</v>
      </c>
    </row>
    <row r="818" spans="1:10" x14ac:dyDescent="0.2">
      <c r="A818">
        <v>817</v>
      </c>
      <c r="B818">
        <v>2016</v>
      </c>
      <c r="C818" t="s">
        <v>10</v>
      </c>
      <c r="D818" t="str">
        <f t="shared" si="41"/>
        <v>diesel vehicle</v>
      </c>
      <c r="E818" t="s">
        <v>20</v>
      </c>
      <c r="F818" t="s">
        <v>31</v>
      </c>
      <c r="G818" t="s">
        <v>9</v>
      </c>
      <c r="H818" t="str">
        <f t="shared" si="42"/>
        <v>道路客车</v>
      </c>
      <c r="I818" t="str">
        <f t="shared" si="43"/>
        <v>Passenger HDV</v>
      </c>
      <c r="J818">
        <v>162</v>
      </c>
    </row>
    <row r="819" spans="1:10" x14ac:dyDescent="0.2">
      <c r="A819">
        <v>818</v>
      </c>
      <c r="B819">
        <v>2017</v>
      </c>
      <c r="C819" t="s">
        <v>10</v>
      </c>
      <c r="D819" t="str">
        <f t="shared" si="41"/>
        <v>diesel vehicle</v>
      </c>
      <c r="E819" t="s">
        <v>20</v>
      </c>
      <c r="F819" t="s">
        <v>31</v>
      </c>
      <c r="G819" t="s">
        <v>9</v>
      </c>
      <c r="H819" t="str">
        <f t="shared" si="42"/>
        <v>道路客车</v>
      </c>
      <c r="I819" t="str">
        <f t="shared" si="43"/>
        <v>Passenger HDV</v>
      </c>
      <c r="J819">
        <v>385</v>
      </c>
    </row>
    <row r="820" spans="1:10" x14ac:dyDescent="0.2">
      <c r="A820">
        <v>819</v>
      </c>
      <c r="B820">
        <v>2018</v>
      </c>
      <c r="C820" t="s">
        <v>10</v>
      </c>
      <c r="D820" t="str">
        <f t="shared" si="41"/>
        <v>diesel vehicle</v>
      </c>
      <c r="E820" t="s">
        <v>20</v>
      </c>
      <c r="F820" t="s">
        <v>31</v>
      </c>
      <c r="G820" t="s">
        <v>9</v>
      </c>
      <c r="H820" t="str">
        <f t="shared" si="42"/>
        <v>道路客车</v>
      </c>
      <c r="I820" t="str">
        <f t="shared" si="43"/>
        <v>Passenger HDV</v>
      </c>
      <c r="J820">
        <v>114</v>
      </c>
    </row>
    <row r="821" spans="1:10" x14ac:dyDescent="0.2">
      <c r="A821">
        <v>820</v>
      </c>
      <c r="B821">
        <v>2019</v>
      </c>
      <c r="C821" t="s">
        <v>10</v>
      </c>
      <c r="D821" t="str">
        <f t="shared" si="41"/>
        <v>diesel vehicle</v>
      </c>
      <c r="E821" t="s">
        <v>20</v>
      </c>
      <c r="F821" t="s">
        <v>31</v>
      </c>
      <c r="G821" t="s">
        <v>9</v>
      </c>
      <c r="H821" t="str">
        <f t="shared" si="42"/>
        <v>道路客车</v>
      </c>
      <c r="I821" t="str">
        <f t="shared" si="43"/>
        <v>Passenger HDV</v>
      </c>
      <c r="J821">
        <v>108</v>
      </c>
    </row>
    <row r="822" spans="1:10" x14ac:dyDescent="0.2">
      <c r="A822">
        <v>821</v>
      </c>
      <c r="B822">
        <v>2020</v>
      </c>
      <c r="C822" t="s">
        <v>10</v>
      </c>
      <c r="D822" t="str">
        <f t="shared" si="41"/>
        <v>diesel vehicle</v>
      </c>
      <c r="E822" t="s">
        <v>20</v>
      </c>
      <c r="F822" t="s">
        <v>31</v>
      </c>
      <c r="G822" t="s">
        <v>9</v>
      </c>
      <c r="H822" t="str">
        <f t="shared" si="42"/>
        <v>道路客车</v>
      </c>
      <c r="I822" t="str">
        <f t="shared" si="43"/>
        <v>Passenger HDV</v>
      </c>
      <c r="J822">
        <v>47</v>
      </c>
    </row>
    <row r="823" spans="1:10" x14ac:dyDescent="0.2">
      <c r="A823">
        <v>822</v>
      </c>
      <c r="B823">
        <v>2021</v>
      </c>
      <c r="C823" t="s">
        <v>10</v>
      </c>
      <c r="D823" t="str">
        <f t="shared" si="41"/>
        <v>diesel vehicle</v>
      </c>
      <c r="E823" t="s">
        <v>20</v>
      </c>
      <c r="F823" t="s">
        <v>31</v>
      </c>
      <c r="G823" t="s">
        <v>9</v>
      </c>
      <c r="H823" t="str">
        <f t="shared" si="42"/>
        <v>道路客车</v>
      </c>
      <c r="I823" t="str">
        <f t="shared" si="43"/>
        <v>Passenger HDV</v>
      </c>
      <c r="J823">
        <v>110</v>
      </c>
    </row>
    <row r="824" spans="1:10" x14ac:dyDescent="0.2">
      <c r="A824">
        <v>823</v>
      </c>
      <c r="B824">
        <v>2021</v>
      </c>
      <c r="C824" t="s">
        <v>11</v>
      </c>
      <c r="D824" t="str">
        <f t="shared" si="41"/>
        <v>battery electric vehicle</v>
      </c>
      <c r="E824" t="s">
        <v>20</v>
      </c>
      <c r="F824" t="s">
        <v>31</v>
      </c>
      <c r="G824" t="s">
        <v>9</v>
      </c>
      <c r="H824" t="str">
        <f t="shared" si="42"/>
        <v>道路客车</v>
      </c>
      <c r="I824" t="str">
        <f t="shared" si="43"/>
        <v>Passenger HDV</v>
      </c>
      <c r="J824">
        <v>53</v>
      </c>
    </row>
    <row r="825" spans="1:10" x14ac:dyDescent="0.2">
      <c r="A825">
        <v>824</v>
      </c>
      <c r="B825">
        <v>2016</v>
      </c>
      <c r="C825" t="s">
        <v>13</v>
      </c>
      <c r="D825" t="str">
        <f t="shared" si="41"/>
        <v>gasoline vehicle</v>
      </c>
      <c r="E825" t="s">
        <v>20</v>
      </c>
      <c r="F825" t="s">
        <v>31</v>
      </c>
      <c r="G825" t="s">
        <v>9</v>
      </c>
      <c r="H825" t="str">
        <f t="shared" si="42"/>
        <v>道路客车</v>
      </c>
      <c r="I825" t="str">
        <f t="shared" si="43"/>
        <v>Passenger HDV</v>
      </c>
      <c r="J825">
        <v>379</v>
      </c>
    </row>
    <row r="826" spans="1:10" x14ac:dyDescent="0.2">
      <c r="A826">
        <v>825</v>
      </c>
      <c r="B826">
        <v>2017</v>
      </c>
      <c r="C826" t="s">
        <v>13</v>
      </c>
      <c r="D826" t="str">
        <f t="shared" si="41"/>
        <v>gasoline vehicle</v>
      </c>
      <c r="E826" t="s">
        <v>20</v>
      </c>
      <c r="F826" t="s">
        <v>31</v>
      </c>
      <c r="G826" t="s">
        <v>9</v>
      </c>
      <c r="H826" t="str">
        <f t="shared" si="42"/>
        <v>道路客车</v>
      </c>
      <c r="I826" t="str">
        <f t="shared" si="43"/>
        <v>Passenger HDV</v>
      </c>
      <c r="J826">
        <v>76</v>
      </c>
    </row>
    <row r="827" spans="1:10" x14ac:dyDescent="0.2">
      <c r="A827">
        <v>826</v>
      </c>
      <c r="B827">
        <v>2018</v>
      </c>
      <c r="C827" t="s">
        <v>13</v>
      </c>
      <c r="D827" t="str">
        <f t="shared" si="41"/>
        <v>gasoline vehicle</v>
      </c>
      <c r="E827" t="s">
        <v>20</v>
      </c>
      <c r="F827" t="s">
        <v>31</v>
      </c>
      <c r="G827" t="s">
        <v>9</v>
      </c>
      <c r="H827" t="str">
        <f t="shared" si="42"/>
        <v>道路客车</v>
      </c>
      <c r="I827" t="str">
        <f t="shared" si="43"/>
        <v>Passenger HDV</v>
      </c>
      <c r="J827">
        <v>3</v>
      </c>
    </row>
    <row r="828" spans="1:10" x14ac:dyDescent="0.2">
      <c r="A828">
        <v>827</v>
      </c>
      <c r="B828">
        <v>2019</v>
      </c>
      <c r="C828" t="s">
        <v>13</v>
      </c>
      <c r="D828" t="str">
        <f t="shared" si="41"/>
        <v>gasoline vehicle</v>
      </c>
      <c r="E828" t="s">
        <v>20</v>
      </c>
      <c r="F828" t="s">
        <v>31</v>
      </c>
      <c r="G828" t="s">
        <v>9</v>
      </c>
      <c r="H828" t="str">
        <f t="shared" si="42"/>
        <v>道路客车</v>
      </c>
      <c r="I828" t="str">
        <f t="shared" si="43"/>
        <v>Passenger HDV</v>
      </c>
      <c r="J828">
        <v>3</v>
      </c>
    </row>
    <row r="829" spans="1:10" x14ac:dyDescent="0.2">
      <c r="A829">
        <v>828</v>
      </c>
      <c r="B829">
        <v>2020</v>
      </c>
      <c r="C829" t="s">
        <v>13</v>
      </c>
      <c r="D829" t="str">
        <f t="shared" si="41"/>
        <v>gasoline vehicle</v>
      </c>
      <c r="E829" t="s">
        <v>20</v>
      </c>
      <c r="F829" t="s">
        <v>31</v>
      </c>
      <c r="G829" t="s">
        <v>9</v>
      </c>
      <c r="H829" t="str">
        <f t="shared" si="42"/>
        <v>道路客车</v>
      </c>
      <c r="I829" t="str">
        <f t="shared" si="43"/>
        <v>Passenger HDV</v>
      </c>
      <c r="J829">
        <v>1</v>
      </c>
    </row>
    <row r="830" spans="1:10" x14ac:dyDescent="0.2">
      <c r="A830">
        <v>829</v>
      </c>
      <c r="B830">
        <v>2021</v>
      </c>
      <c r="C830" t="s">
        <v>13</v>
      </c>
      <c r="D830" t="str">
        <f t="shared" si="41"/>
        <v>gasoline vehicle</v>
      </c>
      <c r="E830" t="s">
        <v>20</v>
      </c>
      <c r="F830" t="s">
        <v>31</v>
      </c>
      <c r="G830" t="s">
        <v>9</v>
      </c>
      <c r="H830" t="str">
        <f t="shared" si="42"/>
        <v>道路客车</v>
      </c>
      <c r="I830" t="str">
        <f t="shared" si="43"/>
        <v>Passenger HDV</v>
      </c>
      <c r="J830">
        <v>6</v>
      </c>
    </row>
    <row r="831" spans="1:10" x14ac:dyDescent="0.2">
      <c r="A831">
        <v>830</v>
      </c>
      <c r="B831">
        <v>2015</v>
      </c>
      <c r="C831" t="s">
        <v>14</v>
      </c>
      <c r="D831" t="str">
        <f t="shared" si="41"/>
        <v>natural gas vehicle</v>
      </c>
      <c r="E831" t="s">
        <v>20</v>
      </c>
      <c r="F831" t="s">
        <v>31</v>
      </c>
      <c r="G831" t="s">
        <v>9</v>
      </c>
      <c r="H831" t="str">
        <f t="shared" si="42"/>
        <v>道路客车</v>
      </c>
      <c r="I831" t="str">
        <f t="shared" si="43"/>
        <v>Passenger HDV</v>
      </c>
      <c r="J831">
        <v>1</v>
      </c>
    </row>
    <row r="832" spans="1:10" x14ac:dyDescent="0.2">
      <c r="A832">
        <v>831</v>
      </c>
      <c r="B832">
        <v>2016</v>
      </c>
      <c r="C832" t="s">
        <v>14</v>
      </c>
      <c r="D832" t="str">
        <f t="shared" si="41"/>
        <v>natural gas vehicle</v>
      </c>
      <c r="E832" t="s">
        <v>20</v>
      </c>
      <c r="F832" t="s">
        <v>31</v>
      </c>
      <c r="G832" t="s">
        <v>9</v>
      </c>
      <c r="H832" t="str">
        <f t="shared" si="42"/>
        <v>道路客车</v>
      </c>
      <c r="I832" t="str">
        <f t="shared" si="43"/>
        <v>Passenger HDV</v>
      </c>
      <c r="J832">
        <v>4</v>
      </c>
    </row>
    <row r="833" spans="1:10" x14ac:dyDescent="0.2">
      <c r="A833">
        <v>832</v>
      </c>
      <c r="B833">
        <v>2015</v>
      </c>
      <c r="C833" t="s">
        <v>16</v>
      </c>
      <c r="D833" t="str">
        <f t="shared" si="41"/>
        <v>natural gas vehicle</v>
      </c>
      <c r="E833" t="s">
        <v>20</v>
      </c>
      <c r="F833" t="s">
        <v>31</v>
      </c>
      <c r="G833" t="s">
        <v>9</v>
      </c>
      <c r="H833" t="str">
        <f t="shared" si="42"/>
        <v>道路客车</v>
      </c>
      <c r="I833" t="str">
        <f t="shared" si="43"/>
        <v>Passenger HDV</v>
      </c>
      <c r="J833">
        <v>2</v>
      </c>
    </row>
    <row r="834" spans="1:10" x14ac:dyDescent="0.2">
      <c r="A834">
        <v>833</v>
      </c>
      <c r="B834">
        <v>2021</v>
      </c>
      <c r="C834" t="s">
        <v>6</v>
      </c>
      <c r="D834" t="str">
        <f t="shared" ref="D834:D897" si="44">VLOOKUP(C834,M$3:N$16,2,FALSE)</f>
        <v>plugin hybrid vehicle</v>
      </c>
      <c r="E834" t="s">
        <v>21</v>
      </c>
      <c r="F834" t="s">
        <v>31</v>
      </c>
      <c r="G834" t="s">
        <v>9</v>
      </c>
      <c r="H834" t="str">
        <f t="shared" si="42"/>
        <v>中重型货车</v>
      </c>
      <c r="I834" t="str">
        <f t="shared" si="43"/>
        <v>Freight HDV</v>
      </c>
      <c r="J834">
        <v>1</v>
      </c>
    </row>
    <row r="835" spans="1:10" x14ac:dyDescent="0.2">
      <c r="A835">
        <v>834</v>
      </c>
      <c r="B835">
        <v>2015</v>
      </c>
      <c r="C835" t="s">
        <v>10</v>
      </c>
      <c r="D835" t="str">
        <f t="shared" si="44"/>
        <v>diesel vehicle</v>
      </c>
      <c r="E835" t="s">
        <v>21</v>
      </c>
      <c r="F835" t="s">
        <v>31</v>
      </c>
      <c r="G835" t="s">
        <v>9</v>
      </c>
      <c r="H835" t="str">
        <f t="shared" ref="H835:H898" si="45">VLOOKUP(E835&amp;F835&amp;G835,$S$3:$U$68,2,FALSE)</f>
        <v>中重型货车</v>
      </c>
      <c r="I835" t="str">
        <f t="shared" ref="I835:I898" si="46">VLOOKUP(E835&amp;F835&amp;G835,$S$3:$U$68,3,FALSE)</f>
        <v>Freight HDV</v>
      </c>
      <c r="J835">
        <v>394817</v>
      </c>
    </row>
    <row r="836" spans="1:10" x14ac:dyDescent="0.2">
      <c r="A836">
        <v>835</v>
      </c>
      <c r="B836">
        <v>2016</v>
      </c>
      <c r="C836" t="s">
        <v>10</v>
      </c>
      <c r="D836" t="str">
        <f t="shared" si="44"/>
        <v>diesel vehicle</v>
      </c>
      <c r="E836" t="s">
        <v>21</v>
      </c>
      <c r="F836" t="s">
        <v>31</v>
      </c>
      <c r="G836" t="s">
        <v>9</v>
      </c>
      <c r="H836" t="str">
        <f t="shared" si="45"/>
        <v>中重型货车</v>
      </c>
      <c r="I836" t="str">
        <f t="shared" si="46"/>
        <v>Freight HDV</v>
      </c>
      <c r="J836">
        <v>536287</v>
      </c>
    </row>
    <row r="837" spans="1:10" x14ac:dyDescent="0.2">
      <c r="A837">
        <v>836</v>
      </c>
      <c r="B837">
        <v>2017</v>
      </c>
      <c r="C837" t="s">
        <v>10</v>
      </c>
      <c r="D837" t="str">
        <f t="shared" si="44"/>
        <v>diesel vehicle</v>
      </c>
      <c r="E837" t="s">
        <v>21</v>
      </c>
      <c r="F837" t="s">
        <v>31</v>
      </c>
      <c r="G837" t="s">
        <v>9</v>
      </c>
      <c r="H837" t="str">
        <f t="shared" si="45"/>
        <v>中重型货车</v>
      </c>
      <c r="I837" t="str">
        <f t="shared" si="46"/>
        <v>Freight HDV</v>
      </c>
      <c r="J837">
        <v>794595</v>
      </c>
    </row>
    <row r="838" spans="1:10" x14ac:dyDescent="0.2">
      <c r="A838">
        <v>837</v>
      </c>
      <c r="B838">
        <v>2018</v>
      </c>
      <c r="C838" t="s">
        <v>10</v>
      </c>
      <c r="D838" t="str">
        <f t="shared" si="44"/>
        <v>diesel vehicle</v>
      </c>
      <c r="E838" t="s">
        <v>21</v>
      </c>
      <c r="F838" t="s">
        <v>31</v>
      </c>
      <c r="G838" t="s">
        <v>9</v>
      </c>
      <c r="H838" t="str">
        <f t="shared" si="45"/>
        <v>中重型货车</v>
      </c>
      <c r="I838" t="str">
        <f t="shared" si="46"/>
        <v>Freight HDV</v>
      </c>
      <c r="J838">
        <v>793306</v>
      </c>
    </row>
    <row r="839" spans="1:10" x14ac:dyDescent="0.2">
      <c r="A839">
        <v>838</v>
      </c>
      <c r="B839">
        <v>2019</v>
      </c>
      <c r="C839" t="s">
        <v>10</v>
      </c>
      <c r="D839" t="str">
        <f t="shared" si="44"/>
        <v>diesel vehicle</v>
      </c>
      <c r="E839" t="s">
        <v>21</v>
      </c>
      <c r="F839" t="s">
        <v>31</v>
      </c>
      <c r="G839" t="s">
        <v>9</v>
      </c>
      <c r="H839" t="str">
        <f t="shared" si="45"/>
        <v>中重型货车</v>
      </c>
      <c r="I839" t="str">
        <f t="shared" si="46"/>
        <v>Freight HDV</v>
      </c>
      <c r="J839">
        <v>858043</v>
      </c>
    </row>
    <row r="840" spans="1:10" x14ac:dyDescent="0.2">
      <c r="A840">
        <v>839</v>
      </c>
      <c r="B840">
        <v>2020</v>
      </c>
      <c r="C840" t="s">
        <v>10</v>
      </c>
      <c r="D840" t="str">
        <f t="shared" si="44"/>
        <v>diesel vehicle</v>
      </c>
      <c r="E840" t="s">
        <v>21</v>
      </c>
      <c r="F840" t="s">
        <v>31</v>
      </c>
      <c r="G840" t="s">
        <v>9</v>
      </c>
      <c r="H840" t="str">
        <f t="shared" si="45"/>
        <v>中重型货车</v>
      </c>
      <c r="I840" t="str">
        <f t="shared" si="46"/>
        <v>Freight HDV</v>
      </c>
      <c r="J840">
        <v>1247024</v>
      </c>
    </row>
    <row r="841" spans="1:10" x14ac:dyDescent="0.2">
      <c r="A841">
        <v>840</v>
      </c>
      <c r="B841">
        <v>2021</v>
      </c>
      <c r="C841" t="s">
        <v>10</v>
      </c>
      <c r="D841" t="str">
        <f t="shared" si="44"/>
        <v>diesel vehicle</v>
      </c>
      <c r="E841" t="s">
        <v>21</v>
      </c>
      <c r="F841" t="s">
        <v>31</v>
      </c>
      <c r="G841" t="s">
        <v>9</v>
      </c>
      <c r="H841" t="str">
        <f t="shared" si="45"/>
        <v>中重型货车</v>
      </c>
      <c r="I841" t="str">
        <f t="shared" si="46"/>
        <v>Freight HDV</v>
      </c>
      <c r="J841">
        <v>1178385</v>
      </c>
    </row>
    <row r="842" spans="1:10" x14ac:dyDescent="0.2">
      <c r="A842">
        <v>841</v>
      </c>
      <c r="B842">
        <v>2016</v>
      </c>
      <c r="C842" t="s">
        <v>32</v>
      </c>
      <c r="D842" t="str">
        <f t="shared" si="44"/>
        <v>hybrid fuel vehicle</v>
      </c>
      <c r="E842" t="s">
        <v>21</v>
      </c>
      <c r="F842" t="s">
        <v>31</v>
      </c>
      <c r="G842" t="s">
        <v>9</v>
      </c>
      <c r="H842" t="str">
        <f t="shared" si="45"/>
        <v>中重型货车</v>
      </c>
      <c r="I842" t="str">
        <f t="shared" si="46"/>
        <v>Freight HDV</v>
      </c>
      <c r="J842">
        <v>1</v>
      </c>
    </row>
    <row r="843" spans="1:10" x14ac:dyDescent="0.2">
      <c r="A843">
        <v>842</v>
      </c>
      <c r="B843">
        <v>2015</v>
      </c>
      <c r="C843" t="s">
        <v>29</v>
      </c>
      <c r="D843" t="str">
        <f t="shared" si="44"/>
        <v>natural gas vehicle</v>
      </c>
      <c r="E843" t="s">
        <v>21</v>
      </c>
      <c r="F843" t="s">
        <v>31</v>
      </c>
      <c r="G843" t="s">
        <v>9</v>
      </c>
      <c r="H843" t="str">
        <f t="shared" si="45"/>
        <v>中重型货车</v>
      </c>
      <c r="I843" t="str">
        <f t="shared" si="46"/>
        <v>Freight HDV</v>
      </c>
      <c r="J843">
        <v>16</v>
      </c>
    </row>
    <row r="844" spans="1:10" x14ac:dyDescent="0.2">
      <c r="A844">
        <v>843</v>
      </c>
      <c r="B844">
        <v>2016</v>
      </c>
      <c r="C844" t="s">
        <v>29</v>
      </c>
      <c r="D844" t="str">
        <f t="shared" si="44"/>
        <v>natural gas vehicle</v>
      </c>
      <c r="E844" t="s">
        <v>21</v>
      </c>
      <c r="F844" t="s">
        <v>31</v>
      </c>
      <c r="G844" t="s">
        <v>9</v>
      </c>
      <c r="H844" t="str">
        <f t="shared" si="45"/>
        <v>中重型货车</v>
      </c>
      <c r="I844" t="str">
        <f t="shared" si="46"/>
        <v>Freight HDV</v>
      </c>
      <c r="J844">
        <v>28</v>
      </c>
    </row>
    <row r="845" spans="1:10" x14ac:dyDescent="0.2">
      <c r="A845">
        <v>844</v>
      </c>
      <c r="B845">
        <v>2017</v>
      </c>
      <c r="C845" t="s">
        <v>29</v>
      </c>
      <c r="D845" t="str">
        <f t="shared" si="44"/>
        <v>natural gas vehicle</v>
      </c>
      <c r="E845" t="s">
        <v>21</v>
      </c>
      <c r="F845" t="s">
        <v>31</v>
      </c>
      <c r="G845" t="s">
        <v>9</v>
      </c>
      <c r="H845" t="str">
        <f t="shared" si="45"/>
        <v>中重型货车</v>
      </c>
      <c r="I845" t="str">
        <f t="shared" si="46"/>
        <v>Freight HDV</v>
      </c>
      <c r="J845">
        <v>10</v>
      </c>
    </row>
    <row r="846" spans="1:10" x14ac:dyDescent="0.2">
      <c r="A846">
        <v>845</v>
      </c>
      <c r="B846">
        <v>2018</v>
      </c>
      <c r="C846" t="s">
        <v>29</v>
      </c>
      <c r="D846" t="str">
        <f t="shared" si="44"/>
        <v>natural gas vehicle</v>
      </c>
      <c r="E846" t="s">
        <v>21</v>
      </c>
      <c r="F846" t="s">
        <v>31</v>
      </c>
      <c r="G846" t="s">
        <v>9</v>
      </c>
      <c r="H846" t="str">
        <f t="shared" si="45"/>
        <v>中重型货车</v>
      </c>
      <c r="I846" t="str">
        <f t="shared" si="46"/>
        <v>Freight HDV</v>
      </c>
      <c r="J846">
        <v>1</v>
      </c>
    </row>
    <row r="847" spans="1:10" x14ac:dyDescent="0.2">
      <c r="A847">
        <v>846</v>
      </c>
      <c r="B847">
        <v>2020</v>
      </c>
      <c r="C847" t="s">
        <v>29</v>
      </c>
      <c r="D847" t="str">
        <f t="shared" si="44"/>
        <v>natural gas vehicle</v>
      </c>
      <c r="E847" t="s">
        <v>21</v>
      </c>
      <c r="F847" t="s">
        <v>31</v>
      </c>
      <c r="G847" t="s">
        <v>9</v>
      </c>
      <c r="H847" t="str">
        <f t="shared" si="45"/>
        <v>中重型货车</v>
      </c>
      <c r="I847" t="str">
        <f t="shared" si="46"/>
        <v>Freight HDV</v>
      </c>
      <c r="J847">
        <v>1</v>
      </c>
    </row>
    <row r="848" spans="1:10" x14ac:dyDescent="0.2">
      <c r="A848">
        <v>847</v>
      </c>
      <c r="B848">
        <v>2021</v>
      </c>
      <c r="C848" t="s">
        <v>29</v>
      </c>
      <c r="D848" t="str">
        <f t="shared" si="44"/>
        <v>natural gas vehicle</v>
      </c>
      <c r="E848" t="s">
        <v>21</v>
      </c>
      <c r="F848" t="s">
        <v>31</v>
      </c>
      <c r="G848" t="s">
        <v>9</v>
      </c>
      <c r="H848" t="str">
        <f t="shared" si="45"/>
        <v>中重型货车</v>
      </c>
      <c r="I848" t="str">
        <f t="shared" si="46"/>
        <v>Freight HDV</v>
      </c>
      <c r="J848">
        <v>2</v>
      </c>
    </row>
    <row r="849" spans="1:10" x14ac:dyDescent="0.2">
      <c r="A849">
        <v>848</v>
      </c>
      <c r="B849">
        <v>2017</v>
      </c>
      <c r="C849" t="s">
        <v>11</v>
      </c>
      <c r="D849" t="str">
        <f t="shared" si="44"/>
        <v>battery electric vehicle</v>
      </c>
      <c r="E849" t="s">
        <v>21</v>
      </c>
      <c r="F849" t="s">
        <v>31</v>
      </c>
      <c r="G849" t="s">
        <v>9</v>
      </c>
      <c r="H849" t="str">
        <f t="shared" si="45"/>
        <v>中重型货车</v>
      </c>
      <c r="I849" t="str">
        <f t="shared" si="46"/>
        <v>Freight HDV</v>
      </c>
      <c r="J849">
        <v>11</v>
      </c>
    </row>
    <row r="850" spans="1:10" x14ac:dyDescent="0.2">
      <c r="A850">
        <v>849</v>
      </c>
      <c r="B850">
        <v>2018</v>
      </c>
      <c r="C850" t="s">
        <v>11</v>
      </c>
      <c r="D850" t="str">
        <f t="shared" si="44"/>
        <v>battery electric vehicle</v>
      </c>
      <c r="E850" t="s">
        <v>21</v>
      </c>
      <c r="F850" t="s">
        <v>31</v>
      </c>
      <c r="G850" t="s">
        <v>9</v>
      </c>
      <c r="H850" t="str">
        <f t="shared" si="45"/>
        <v>中重型货车</v>
      </c>
      <c r="I850" t="str">
        <f t="shared" si="46"/>
        <v>Freight HDV</v>
      </c>
      <c r="J850">
        <v>301</v>
      </c>
    </row>
    <row r="851" spans="1:10" x14ac:dyDescent="0.2">
      <c r="A851">
        <v>850</v>
      </c>
      <c r="B851">
        <v>2019</v>
      </c>
      <c r="C851" t="s">
        <v>11</v>
      </c>
      <c r="D851" t="str">
        <f t="shared" si="44"/>
        <v>battery electric vehicle</v>
      </c>
      <c r="E851" t="s">
        <v>21</v>
      </c>
      <c r="F851" t="s">
        <v>31</v>
      </c>
      <c r="G851" t="s">
        <v>9</v>
      </c>
      <c r="H851" t="str">
        <f t="shared" si="45"/>
        <v>中重型货车</v>
      </c>
      <c r="I851" t="str">
        <f t="shared" si="46"/>
        <v>Freight HDV</v>
      </c>
      <c r="J851">
        <v>3588</v>
      </c>
    </row>
    <row r="852" spans="1:10" x14ac:dyDescent="0.2">
      <c r="A852">
        <v>851</v>
      </c>
      <c r="B852">
        <v>2020</v>
      </c>
      <c r="C852" t="s">
        <v>11</v>
      </c>
      <c r="D852" t="str">
        <f t="shared" si="44"/>
        <v>battery electric vehicle</v>
      </c>
      <c r="E852" t="s">
        <v>21</v>
      </c>
      <c r="F852" t="s">
        <v>31</v>
      </c>
      <c r="G852" t="s">
        <v>9</v>
      </c>
      <c r="H852" t="str">
        <f t="shared" si="45"/>
        <v>中重型货车</v>
      </c>
      <c r="I852" t="str">
        <f t="shared" si="46"/>
        <v>Freight HDV</v>
      </c>
      <c r="J852">
        <v>929</v>
      </c>
    </row>
    <row r="853" spans="1:10" x14ac:dyDescent="0.2">
      <c r="A853">
        <v>852</v>
      </c>
      <c r="B853">
        <v>2021</v>
      </c>
      <c r="C853" t="s">
        <v>11</v>
      </c>
      <c r="D853" t="str">
        <f t="shared" si="44"/>
        <v>battery electric vehicle</v>
      </c>
      <c r="E853" t="s">
        <v>21</v>
      </c>
      <c r="F853" t="s">
        <v>31</v>
      </c>
      <c r="G853" t="s">
        <v>9</v>
      </c>
      <c r="H853" t="str">
        <f t="shared" si="45"/>
        <v>中重型货车</v>
      </c>
      <c r="I853" t="str">
        <f t="shared" si="46"/>
        <v>Freight HDV</v>
      </c>
      <c r="J853">
        <v>6939</v>
      </c>
    </row>
    <row r="854" spans="1:10" x14ac:dyDescent="0.2">
      <c r="A854">
        <v>853</v>
      </c>
      <c r="B854">
        <v>2018</v>
      </c>
      <c r="C854" t="s">
        <v>12</v>
      </c>
      <c r="D854" t="str">
        <f t="shared" si="44"/>
        <v>hybrid fuel vehicle</v>
      </c>
      <c r="E854" t="s">
        <v>21</v>
      </c>
      <c r="F854" t="s">
        <v>31</v>
      </c>
      <c r="G854" t="s">
        <v>9</v>
      </c>
      <c r="H854" t="str">
        <f t="shared" si="45"/>
        <v>中重型货车</v>
      </c>
      <c r="I854" t="str">
        <f t="shared" si="46"/>
        <v>Freight HDV</v>
      </c>
      <c r="J854">
        <v>2</v>
      </c>
    </row>
    <row r="855" spans="1:10" x14ac:dyDescent="0.2">
      <c r="A855">
        <v>854</v>
      </c>
      <c r="B855">
        <v>2020</v>
      </c>
      <c r="C855" t="s">
        <v>12</v>
      </c>
      <c r="D855" t="str">
        <f t="shared" si="44"/>
        <v>hybrid fuel vehicle</v>
      </c>
      <c r="E855" t="s">
        <v>21</v>
      </c>
      <c r="F855" t="s">
        <v>31</v>
      </c>
      <c r="G855" t="s">
        <v>9</v>
      </c>
      <c r="H855" t="str">
        <f t="shared" si="45"/>
        <v>中重型货车</v>
      </c>
      <c r="I855" t="str">
        <f t="shared" si="46"/>
        <v>Freight HDV</v>
      </c>
      <c r="J855">
        <v>16</v>
      </c>
    </row>
    <row r="856" spans="1:10" x14ac:dyDescent="0.2">
      <c r="A856">
        <v>855</v>
      </c>
      <c r="B856">
        <v>2021</v>
      </c>
      <c r="C856" t="s">
        <v>12</v>
      </c>
      <c r="D856" t="str">
        <f t="shared" si="44"/>
        <v>hybrid fuel vehicle</v>
      </c>
      <c r="E856" t="s">
        <v>21</v>
      </c>
      <c r="F856" t="s">
        <v>31</v>
      </c>
      <c r="G856" t="s">
        <v>9</v>
      </c>
      <c r="H856" t="str">
        <f t="shared" si="45"/>
        <v>中重型货车</v>
      </c>
      <c r="I856" t="str">
        <f t="shared" si="46"/>
        <v>Freight HDV</v>
      </c>
      <c r="J856">
        <v>18</v>
      </c>
    </row>
    <row r="857" spans="1:10" x14ac:dyDescent="0.2">
      <c r="A857">
        <v>856</v>
      </c>
      <c r="B857">
        <v>2019</v>
      </c>
      <c r="C857" t="s">
        <v>26</v>
      </c>
      <c r="D857" t="str">
        <f t="shared" si="44"/>
        <v>other fuel vehicle</v>
      </c>
      <c r="E857" t="s">
        <v>21</v>
      </c>
      <c r="F857" t="s">
        <v>31</v>
      </c>
      <c r="G857" t="s">
        <v>9</v>
      </c>
      <c r="H857" t="str">
        <f t="shared" si="45"/>
        <v>中重型货车</v>
      </c>
      <c r="I857" t="str">
        <f t="shared" si="46"/>
        <v>Freight HDV</v>
      </c>
      <c r="J857">
        <v>13</v>
      </c>
    </row>
    <row r="858" spans="1:10" x14ac:dyDescent="0.2">
      <c r="A858">
        <v>857</v>
      </c>
      <c r="B858">
        <v>2020</v>
      </c>
      <c r="C858" t="s">
        <v>26</v>
      </c>
      <c r="D858" t="str">
        <f t="shared" si="44"/>
        <v>other fuel vehicle</v>
      </c>
      <c r="E858" t="s">
        <v>21</v>
      </c>
      <c r="F858" t="s">
        <v>31</v>
      </c>
      <c r="G858" t="s">
        <v>9</v>
      </c>
      <c r="H858" t="str">
        <f t="shared" si="45"/>
        <v>中重型货车</v>
      </c>
      <c r="I858" t="str">
        <f t="shared" si="46"/>
        <v>Freight HDV</v>
      </c>
      <c r="J858">
        <v>14</v>
      </c>
    </row>
    <row r="859" spans="1:10" x14ac:dyDescent="0.2">
      <c r="A859">
        <v>858</v>
      </c>
      <c r="B859">
        <v>2021</v>
      </c>
      <c r="C859" t="s">
        <v>26</v>
      </c>
      <c r="D859" t="str">
        <f t="shared" si="44"/>
        <v>other fuel vehicle</v>
      </c>
      <c r="E859" t="s">
        <v>21</v>
      </c>
      <c r="F859" t="s">
        <v>31</v>
      </c>
      <c r="G859" t="s">
        <v>9</v>
      </c>
      <c r="H859" t="str">
        <f t="shared" si="45"/>
        <v>中重型货车</v>
      </c>
      <c r="I859" t="str">
        <f t="shared" si="46"/>
        <v>Freight HDV</v>
      </c>
      <c r="J859">
        <v>90</v>
      </c>
    </row>
    <row r="860" spans="1:10" x14ac:dyDescent="0.2">
      <c r="A860">
        <v>859</v>
      </c>
      <c r="B860">
        <v>2015</v>
      </c>
      <c r="C860" t="s">
        <v>13</v>
      </c>
      <c r="D860" t="str">
        <f t="shared" si="44"/>
        <v>gasoline vehicle</v>
      </c>
      <c r="E860" t="s">
        <v>21</v>
      </c>
      <c r="F860" t="s">
        <v>31</v>
      </c>
      <c r="G860" t="s">
        <v>9</v>
      </c>
      <c r="H860" t="str">
        <f t="shared" si="45"/>
        <v>中重型货车</v>
      </c>
      <c r="I860" t="str">
        <f t="shared" si="46"/>
        <v>Freight HDV</v>
      </c>
      <c r="J860">
        <v>32</v>
      </c>
    </row>
    <row r="861" spans="1:10" x14ac:dyDescent="0.2">
      <c r="A861">
        <v>860</v>
      </c>
      <c r="B861">
        <v>2016</v>
      </c>
      <c r="C861" t="s">
        <v>13</v>
      </c>
      <c r="D861" t="str">
        <f t="shared" si="44"/>
        <v>gasoline vehicle</v>
      </c>
      <c r="E861" t="s">
        <v>21</v>
      </c>
      <c r="F861" t="s">
        <v>31</v>
      </c>
      <c r="G861" t="s">
        <v>9</v>
      </c>
      <c r="H861" t="str">
        <f t="shared" si="45"/>
        <v>中重型货车</v>
      </c>
      <c r="I861" t="str">
        <f t="shared" si="46"/>
        <v>Freight HDV</v>
      </c>
      <c r="J861">
        <v>7</v>
      </c>
    </row>
    <row r="862" spans="1:10" x14ac:dyDescent="0.2">
      <c r="A862">
        <v>861</v>
      </c>
      <c r="B862">
        <v>2018</v>
      </c>
      <c r="C862" t="s">
        <v>13</v>
      </c>
      <c r="D862" t="str">
        <f t="shared" si="44"/>
        <v>gasoline vehicle</v>
      </c>
      <c r="E862" t="s">
        <v>21</v>
      </c>
      <c r="F862" t="s">
        <v>31</v>
      </c>
      <c r="G862" t="s">
        <v>9</v>
      </c>
      <c r="H862" t="str">
        <f t="shared" si="45"/>
        <v>中重型货车</v>
      </c>
      <c r="I862" t="str">
        <f t="shared" si="46"/>
        <v>Freight HDV</v>
      </c>
      <c r="J862">
        <v>1</v>
      </c>
    </row>
    <row r="863" spans="1:10" x14ac:dyDescent="0.2">
      <c r="A863">
        <v>862</v>
      </c>
      <c r="B863">
        <v>2020</v>
      </c>
      <c r="C863" t="s">
        <v>15</v>
      </c>
      <c r="D863" t="str">
        <f t="shared" si="44"/>
        <v>hydrogen vehicle</v>
      </c>
      <c r="E863" t="s">
        <v>21</v>
      </c>
      <c r="F863" t="s">
        <v>31</v>
      </c>
      <c r="G863" t="s">
        <v>9</v>
      </c>
      <c r="H863" t="str">
        <f t="shared" si="45"/>
        <v>中重型货车</v>
      </c>
      <c r="I863" t="str">
        <f t="shared" si="46"/>
        <v>Freight HDV</v>
      </c>
      <c r="J863">
        <v>17</v>
      </c>
    </row>
    <row r="864" spans="1:10" x14ac:dyDescent="0.2">
      <c r="A864">
        <v>863</v>
      </c>
      <c r="B864">
        <v>2021</v>
      </c>
      <c r="C864" t="s">
        <v>15</v>
      </c>
      <c r="D864" t="str">
        <f t="shared" si="44"/>
        <v>hydrogen vehicle</v>
      </c>
      <c r="E864" t="s">
        <v>21</v>
      </c>
      <c r="F864" t="s">
        <v>31</v>
      </c>
      <c r="G864" t="s">
        <v>9</v>
      </c>
      <c r="H864" t="str">
        <f t="shared" si="45"/>
        <v>中重型货车</v>
      </c>
      <c r="I864" t="str">
        <f t="shared" si="46"/>
        <v>Freight HDV</v>
      </c>
      <c r="J864">
        <v>763</v>
      </c>
    </row>
    <row r="865" spans="1:10" x14ac:dyDescent="0.2">
      <c r="A865">
        <v>864</v>
      </c>
      <c r="B865">
        <v>2015</v>
      </c>
      <c r="C865" t="s">
        <v>16</v>
      </c>
      <c r="D865" t="str">
        <f t="shared" si="44"/>
        <v>natural gas vehicle</v>
      </c>
      <c r="E865" t="s">
        <v>21</v>
      </c>
      <c r="F865" t="s">
        <v>31</v>
      </c>
      <c r="G865" t="s">
        <v>9</v>
      </c>
      <c r="H865" t="str">
        <f t="shared" si="45"/>
        <v>中重型货车</v>
      </c>
      <c r="I865" t="str">
        <f t="shared" si="46"/>
        <v>Freight HDV</v>
      </c>
      <c r="J865">
        <v>13220</v>
      </c>
    </row>
    <row r="866" spans="1:10" x14ac:dyDescent="0.2">
      <c r="A866">
        <v>865</v>
      </c>
      <c r="B866">
        <v>2016</v>
      </c>
      <c r="C866" t="s">
        <v>16</v>
      </c>
      <c r="D866" t="str">
        <f t="shared" si="44"/>
        <v>natural gas vehicle</v>
      </c>
      <c r="E866" t="s">
        <v>21</v>
      </c>
      <c r="F866" t="s">
        <v>31</v>
      </c>
      <c r="G866" t="s">
        <v>9</v>
      </c>
      <c r="H866" t="str">
        <f t="shared" si="45"/>
        <v>中重型货车</v>
      </c>
      <c r="I866" t="str">
        <f t="shared" si="46"/>
        <v>Freight HDV</v>
      </c>
      <c r="J866">
        <v>13347</v>
      </c>
    </row>
    <row r="867" spans="1:10" x14ac:dyDescent="0.2">
      <c r="A867">
        <v>866</v>
      </c>
      <c r="B867">
        <v>2017</v>
      </c>
      <c r="C867" t="s">
        <v>16</v>
      </c>
      <c r="D867" t="str">
        <f t="shared" si="44"/>
        <v>natural gas vehicle</v>
      </c>
      <c r="E867" t="s">
        <v>21</v>
      </c>
      <c r="F867" t="s">
        <v>31</v>
      </c>
      <c r="G867" t="s">
        <v>9</v>
      </c>
      <c r="H867" t="str">
        <f t="shared" si="45"/>
        <v>中重型货车</v>
      </c>
      <c r="I867" t="str">
        <f t="shared" si="46"/>
        <v>Freight HDV</v>
      </c>
      <c r="J867">
        <v>65677</v>
      </c>
    </row>
    <row r="868" spans="1:10" x14ac:dyDescent="0.2">
      <c r="A868">
        <v>867</v>
      </c>
      <c r="B868">
        <v>2018</v>
      </c>
      <c r="C868" t="s">
        <v>16</v>
      </c>
      <c r="D868" t="str">
        <f t="shared" si="44"/>
        <v>natural gas vehicle</v>
      </c>
      <c r="E868" t="s">
        <v>21</v>
      </c>
      <c r="F868" t="s">
        <v>31</v>
      </c>
      <c r="G868" t="s">
        <v>9</v>
      </c>
      <c r="H868" t="str">
        <f t="shared" si="45"/>
        <v>中重型货车</v>
      </c>
      <c r="I868" t="str">
        <f t="shared" si="46"/>
        <v>Freight HDV</v>
      </c>
      <c r="J868">
        <v>59208</v>
      </c>
    </row>
    <row r="869" spans="1:10" x14ac:dyDescent="0.2">
      <c r="A869">
        <v>868</v>
      </c>
      <c r="B869">
        <v>2019</v>
      </c>
      <c r="C869" t="s">
        <v>16</v>
      </c>
      <c r="D869" t="str">
        <f t="shared" si="44"/>
        <v>natural gas vehicle</v>
      </c>
      <c r="E869" t="s">
        <v>21</v>
      </c>
      <c r="F869" t="s">
        <v>31</v>
      </c>
      <c r="G869" t="s">
        <v>9</v>
      </c>
      <c r="H869" t="str">
        <f t="shared" si="45"/>
        <v>中重型货车</v>
      </c>
      <c r="I869" t="str">
        <f t="shared" si="46"/>
        <v>Freight HDV</v>
      </c>
      <c r="J869">
        <v>111397</v>
      </c>
    </row>
    <row r="870" spans="1:10" x14ac:dyDescent="0.2">
      <c r="A870">
        <v>869</v>
      </c>
      <c r="B870">
        <v>2020</v>
      </c>
      <c r="C870" t="s">
        <v>16</v>
      </c>
      <c r="D870" t="str">
        <f t="shared" si="44"/>
        <v>natural gas vehicle</v>
      </c>
      <c r="E870" t="s">
        <v>21</v>
      </c>
      <c r="F870" t="s">
        <v>31</v>
      </c>
      <c r="G870" t="s">
        <v>9</v>
      </c>
      <c r="H870" t="str">
        <f t="shared" si="45"/>
        <v>中重型货车</v>
      </c>
      <c r="I870" t="str">
        <f t="shared" si="46"/>
        <v>Freight HDV</v>
      </c>
      <c r="J870">
        <v>139063</v>
      </c>
    </row>
    <row r="871" spans="1:10" x14ac:dyDescent="0.2">
      <c r="A871">
        <v>870</v>
      </c>
      <c r="B871">
        <v>2021</v>
      </c>
      <c r="C871" t="s">
        <v>16</v>
      </c>
      <c r="D871" t="str">
        <f t="shared" si="44"/>
        <v>natural gas vehicle</v>
      </c>
      <c r="E871" t="s">
        <v>21</v>
      </c>
      <c r="F871" t="s">
        <v>31</v>
      </c>
      <c r="G871" t="s">
        <v>9</v>
      </c>
      <c r="H871" t="str">
        <f t="shared" si="45"/>
        <v>中重型货车</v>
      </c>
      <c r="I871" t="str">
        <f t="shared" si="46"/>
        <v>Freight HDV</v>
      </c>
      <c r="J871">
        <v>56813</v>
      </c>
    </row>
    <row r="872" spans="1:10" x14ac:dyDescent="0.2">
      <c r="A872">
        <v>871</v>
      </c>
      <c r="B872">
        <v>2015</v>
      </c>
      <c r="C872" t="s">
        <v>10</v>
      </c>
      <c r="D872" t="str">
        <f t="shared" si="44"/>
        <v>diesel vehicle</v>
      </c>
      <c r="E872" t="s">
        <v>7</v>
      </c>
      <c r="F872" t="s">
        <v>8</v>
      </c>
      <c r="G872" t="s">
        <v>33</v>
      </c>
      <c r="H872" t="str">
        <f t="shared" si="45"/>
        <v>公交车</v>
      </c>
      <c r="I872" t="str">
        <f t="shared" si="46"/>
        <v>Passenger HDV</v>
      </c>
      <c r="J872">
        <v>3</v>
      </c>
    </row>
    <row r="873" spans="1:10" x14ac:dyDescent="0.2">
      <c r="A873">
        <v>872</v>
      </c>
      <c r="B873">
        <v>2015</v>
      </c>
      <c r="C873" t="s">
        <v>10</v>
      </c>
      <c r="D873" t="str">
        <f t="shared" si="44"/>
        <v>diesel vehicle</v>
      </c>
      <c r="E873" t="s">
        <v>18</v>
      </c>
      <c r="F873" t="s">
        <v>8</v>
      </c>
      <c r="G873" t="s">
        <v>33</v>
      </c>
      <c r="H873" t="str">
        <f t="shared" si="45"/>
        <v>公交车</v>
      </c>
      <c r="I873" t="str">
        <f t="shared" si="46"/>
        <v>Passenger LDV</v>
      </c>
      <c r="J873">
        <v>10</v>
      </c>
    </row>
    <row r="874" spans="1:10" x14ac:dyDescent="0.2">
      <c r="A874">
        <v>873</v>
      </c>
      <c r="B874">
        <v>2018</v>
      </c>
      <c r="C874" t="s">
        <v>10</v>
      </c>
      <c r="D874" t="str">
        <f t="shared" si="44"/>
        <v>diesel vehicle</v>
      </c>
      <c r="E874" t="s">
        <v>18</v>
      </c>
      <c r="F874" t="s">
        <v>8</v>
      </c>
      <c r="G874" t="s">
        <v>33</v>
      </c>
      <c r="H874" t="str">
        <f t="shared" si="45"/>
        <v>公交车</v>
      </c>
      <c r="I874" t="str">
        <f t="shared" si="46"/>
        <v>Passenger LDV</v>
      </c>
      <c r="J874">
        <v>12</v>
      </c>
    </row>
    <row r="875" spans="1:10" x14ac:dyDescent="0.2">
      <c r="A875">
        <v>874</v>
      </c>
      <c r="B875">
        <v>2019</v>
      </c>
      <c r="C875" t="s">
        <v>10</v>
      </c>
      <c r="D875" t="str">
        <f t="shared" si="44"/>
        <v>diesel vehicle</v>
      </c>
      <c r="E875" t="s">
        <v>18</v>
      </c>
      <c r="F875" t="s">
        <v>8</v>
      </c>
      <c r="G875" t="s">
        <v>33</v>
      </c>
      <c r="H875" t="str">
        <f t="shared" si="45"/>
        <v>公交车</v>
      </c>
      <c r="I875" t="str">
        <f t="shared" si="46"/>
        <v>Passenger LDV</v>
      </c>
      <c r="J875">
        <v>1</v>
      </c>
    </row>
    <row r="876" spans="1:10" x14ac:dyDescent="0.2">
      <c r="A876">
        <v>875</v>
      </c>
      <c r="B876">
        <v>2020</v>
      </c>
      <c r="C876" t="s">
        <v>10</v>
      </c>
      <c r="D876" t="str">
        <f t="shared" si="44"/>
        <v>diesel vehicle</v>
      </c>
      <c r="E876" t="s">
        <v>18</v>
      </c>
      <c r="F876" t="s">
        <v>8</v>
      </c>
      <c r="G876" t="s">
        <v>33</v>
      </c>
      <c r="H876" t="str">
        <f t="shared" si="45"/>
        <v>公交车</v>
      </c>
      <c r="I876" t="str">
        <f t="shared" si="46"/>
        <v>Passenger LDV</v>
      </c>
      <c r="J876">
        <v>4</v>
      </c>
    </row>
    <row r="877" spans="1:10" x14ac:dyDescent="0.2">
      <c r="A877">
        <v>876</v>
      </c>
      <c r="B877">
        <v>2015</v>
      </c>
      <c r="C877" t="s">
        <v>11</v>
      </c>
      <c r="D877" t="str">
        <f t="shared" si="44"/>
        <v>battery electric vehicle</v>
      </c>
      <c r="E877" t="s">
        <v>18</v>
      </c>
      <c r="F877" t="s">
        <v>8</v>
      </c>
      <c r="G877" t="s">
        <v>33</v>
      </c>
      <c r="H877" t="str">
        <f t="shared" si="45"/>
        <v>公交车</v>
      </c>
      <c r="I877" t="str">
        <f t="shared" si="46"/>
        <v>Passenger LDV</v>
      </c>
      <c r="J877">
        <v>150</v>
      </c>
    </row>
    <row r="878" spans="1:10" x14ac:dyDescent="0.2">
      <c r="A878">
        <v>877</v>
      </c>
      <c r="B878">
        <v>2017</v>
      </c>
      <c r="C878" t="s">
        <v>11</v>
      </c>
      <c r="D878" t="str">
        <f t="shared" si="44"/>
        <v>battery electric vehicle</v>
      </c>
      <c r="E878" t="s">
        <v>18</v>
      </c>
      <c r="F878" t="s">
        <v>8</v>
      </c>
      <c r="G878" t="s">
        <v>33</v>
      </c>
      <c r="H878" t="str">
        <f t="shared" si="45"/>
        <v>公交车</v>
      </c>
      <c r="I878" t="str">
        <f t="shared" si="46"/>
        <v>Passenger LDV</v>
      </c>
      <c r="J878">
        <v>30</v>
      </c>
    </row>
    <row r="879" spans="1:10" x14ac:dyDescent="0.2">
      <c r="A879">
        <v>878</v>
      </c>
      <c r="B879">
        <v>2018</v>
      </c>
      <c r="C879" t="s">
        <v>11</v>
      </c>
      <c r="D879" t="str">
        <f t="shared" si="44"/>
        <v>battery electric vehicle</v>
      </c>
      <c r="E879" t="s">
        <v>18</v>
      </c>
      <c r="F879" t="s">
        <v>8</v>
      </c>
      <c r="G879" t="s">
        <v>33</v>
      </c>
      <c r="H879" t="str">
        <f t="shared" si="45"/>
        <v>公交车</v>
      </c>
      <c r="I879" t="str">
        <f t="shared" si="46"/>
        <v>Passenger LDV</v>
      </c>
      <c r="J879">
        <v>13</v>
      </c>
    </row>
    <row r="880" spans="1:10" x14ac:dyDescent="0.2">
      <c r="A880">
        <v>879</v>
      </c>
      <c r="B880">
        <v>2019</v>
      </c>
      <c r="C880" t="s">
        <v>11</v>
      </c>
      <c r="D880" t="str">
        <f t="shared" si="44"/>
        <v>battery electric vehicle</v>
      </c>
      <c r="E880" t="s">
        <v>18</v>
      </c>
      <c r="F880" t="s">
        <v>8</v>
      </c>
      <c r="G880" t="s">
        <v>33</v>
      </c>
      <c r="H880" t="str">
        <f t="shared" si="45"/>
        <v>公交车</v>
      </c>
      <c r="I880" t="str">
        <f t="shared" si="46"/>
        <v>Passenger LDV</v>
      </c>
      <c r="J880">
        <v>31</v>
      </c>
    </row>
    <row r="881" spans="1:10" x14ac:dyDescent="0.2">
      <c r="A881">
        <v>880</v>
      </c>
      <c r="B881">
        <v>2020</v>
      </c>
      <c r="C881" t="s">
        <v>11</v>
      </c>
      <c r="D881" t="str">
        <f t="shared" si="44"/>
        <v>battery electric vehicle</v>
      </c>
      <c r="E881" t="s">
        <v>18</v>
      </c>
      <c r="F881" t="s">
        <v>8</v>
      </c>
      <c r="G881" t="s">
        <v>33</v>
      </c>
      <c r="H881" t="str">
        <f t="shared" si="45"/>
        <v>公交车</v>
      </c>
      <c r="I881" t="str">
        <f t="shared" si="46"/>
        <v>Passenger LDV</v>
      </c>
      <c r="J881">
        <v>53</v>
      </c>
    </row>
    <row r="882" spans="1:10" x14ac:dyDescent="0.2">
      <c r="A882">
        <v>881</v>
      </c>
      <c r="B882">
        <v>2021</v>
      </c>
      <c r="C882" t="s">
        <v>11</v>
      </c>
      <c r="D882" t="str">
        <f t="shared" si="44"/>
        <v>battery electric vehicle</v>
      </c>
      <c r="E882" t="s">
        <v>18</v>
      </c>
      <c r="F882" t="s">
        <v>8</v>
      </c>
      <c r="G882" t="s">
        <v>33</v>
      </c>
      <c r="H882" t="str">
        <f t="shared" si="45"/>
        <v>公交车</v>
      </c>
      <c r="I882" t="str">
        <f t="shared" si="46"/>
        <v>Passenger LDV</v>
      </c>
      <c r="J882">
        <v>63</v>
      </c>
    </row>
    <row r="883" spans="1:10" x14ac:dyDescent="0.2">
      <c r="A883">
        <v>882</v>
      </c>
      <c r="B883">
        <v>2015</v>
      </c>
      <c r="C883" t="s">
        <v>13</v>
      </c>
      <c r="D883" t="str">
        <f t="shared" si="44"/>
        <v>gasoline vehicle</v>
      </c>
      <c r="E883" t="s">
        <v>18</v>
      </c>
      <c r="F883" t="s">
        <v>8</v>
      </c>
      <c r="G883" t="s">
        <v>33</v>
      </c>
      <c r="H883" t="str">
        <f t="shared" si="45"/>
        <v>公交车</v>
      </c>
      <c r="I883" t="str">
        <f t="shared" si="46"/>
        <v>Passenger LDV</v>
      </c>
      <c r="J883">
        <v>434</v>
      </c>
    </row>
    <row r="884" spans="1:10" x14ac:dyDescent="0.2">
      <c r="A884">
        <v>883</v>
      </c>
      <c r="B884">
        <v>2016</v>
      </c>
      <c r="C884" t="s">
        <v>13</v>
      </c>
      <c r="D884" t="str">
        <f t="shared" si="44"/>
        <v>gasoline vehicle</v>
      </c>
      <c r="E884" t="s">
        <v>18</v>
      </c>
      <c r="F884" t="s">
        <v>8</v>
      </c>
      <c r="G884" t="s">
        <v>33</v>
      </c>
      <c r="H884" t="str">
        <f t="shared" si="45"/>
        <v>公交车</v>
      </c>
      <c r="I884" t="str">
        <f t="shared" si="46"/>
        <v>Passenger LDV</v>
      </c>
      <c r="J884">
        <v>62</v>
      </c>
    </row>
    <row r="885" spans="1:10" x14ac:dyDescent="0.2">
      <c r="A885">
        <v>884</v>
      </c>
      <c r="B885">
        <v>2017</v>
      </c>
      <c r="C885" t="s">
        <v>13</v>
      </c>
      <c r="D885" t="str">
        <f t="shared" si="44"/>
        <v>gasoline vehicle</v>
      </c>
      <c r="E885" t="s">
        <v>18</v>
      </c>
      <c r="F885" t="s">
        <v>8</v>
      </c>
      <c r="G885" t="s">
        <v>33</v>
      </c>
      <c r="H885" t="str">
        <f t="shared" si="45"/>
        <v>公交车</v>
      </c>
      <c r="I885" t="str">
        <f t="shared" si="46"/>
        <v>Passenger LDV</v>
      </c>
      <c r="J885">
        <v>837</v>
      </c>
    </row>
    <row r="886" spans="1:10" x14ac:dyDescent="0.2">
      <c r="A886">
        <v>885</v>
      </c>
      <c r="B886">
        <v>2018</v>
      </c>
      <c r="C886" t="s">
        <v>13</v>
      </c>
      <c r="D886" t="str">
        <f t="shared" si="44"/>
        <v>gasoline vehicle</v>
      </c>
      <c r="E886" t="s">
        <v>18</v>
      </c>
      <c r="F886" t="s">
        <v>8</v>
      </c>
      <c r="G886" t="s">
        <v>33</v>
      </c>
      <c r="H886" t="str">
        <f t="shared" si="45"/>
        <v>公交车</v>
      </c>
      <c r="I886" t="str">
        <f t="shared" si="46"/>
        <v>Passenger LDV</v>
      </c>
      <c r="J886">
        <v>162</v>
      </c>
    </row>
    <row r="887" spans="1:10" x14ac:dyDescent="0.2">
      <c r="A887">
        <v>886</v>
      </c>
      <c r="B887">
        <v>2019</v>
      </c>
      <c r="C887" t="s">
        <v>13</v>
      </c>
      <c r="D887" t="str">
        <f t="shared" si="44"/>
        <v>gasoline vehicle</v>
      </c>
      <c r="E887" t="s">
        <v>18</v>
      </c>
      <c r="F887" t="s">
        <v>8</v>
      </c>
      <c r="G887" t="s">
        <v>33</v>
      </c>
      <c r="H887" t="str">
        <f t="shared" si="45"/>
        <v>公交车</v>
      </c>
      <c r="I887" t="str">
        <f t="shared" si="46"/>
        <v>Passenger LDV</v>
      </c>
      <c r="J887">
        <v>205</v>
      </c>
    </row>
    <row r="888" spans="1:10" x14ac:dyDescent="0.2">
      <c r="A888">
        <v>887</v>
      </c>
      <c r="B888">
        <v>2020</v>
      </c>
      <c r="C888" t="s">
        <v>13</v>
      </c>
      <c r="D888" t="str">
        <f t="shared" si="44"/>
        <v>gasoline vehicle</v>
      </c>
      <c r="E888" t="s">
        <v>18</v>
      </c>
      <c r="F888" t="s">
        <v>8</v>
      </c>
      <c r="G888" t="s">
        <v>33</v>
      </c>
      <c r="H888" t="str">
        <f t="shared" si="45"/>
        <v>公交车</v>
      </c>
      <c r="I888" t="str">
        <f t="shared" si="46"/>
        <v>Passenger LDV</v>
      </c>
      <c r="J888">
        <v>324</v>
      </c>
    </row>
    <row r="889" spans="1:10" x14ac:dyDescent="0.2">
      <c r="A889">
        <v>888</v>
      </c>
      <c r="B889">
        <v>2021</v>
      </c>
      <c r="C889" t="s">
        <v>13</v>
      </c>
      <c r="D889" t="str">
        <f t="shared" si="44"/>
        <v>gasoline vehicle</v>
      </c>
      <c r="E889" t="s">
        <v>18</v>
      </c>
      <c r="F889" t="s">
        <v>8</v>
      </c>
      <c r="G889" t="s">
        <v>33</v>
      </c>
      <c r="H889" t="str">
        <f t="shared" si="45"/>
        <v>公交车</v>
      </c>
      <c r="I889" t="str">
        <f t="shared" si="46"/>
        <v>Passenger LDV</v>
      </c>
      <c r="J889">
        <v>95</v>
      </c>
    </row>
    <row r="890" spans="1:10" x14ac:dyDescent="0.2">
      <c r="A890">
        <v>889</v>
      </c>
      <c r="B890">
        <v>2015</v>
      </c>
      <c r="C890" t="s">
        <v>14</v>
      </c>
      <c r="D890" t="str">
        <f t="shared" si="44"/>
        <v>natural gas vehicle</v>
      </c>
      <c r="E890" t="s">
        <v>18</v>
      </c>
      <c r="F890" t="s">
        <v>8</v>
      </c>
      <c r="G890" t="s">
        <v>33</v>
      </c>
      <c r="H890" t="str">
        <f t="shared" si="45"/>
        <v>公交车</v>
      </c>
      <c r="I890" t="str">
        <f t="shared" si="46"/>
        <v>Passenger LDV</v>
      </c>
      <c r="J890">
        <v>86</v>
      </c>
    </row>
    <row r="891" spans="1:10" x14ac:dyDescent="0.2">
      <c r="A891">
        <v>890</v>
      </c>
      <c r="B891">
        <v>2020</v>
      </c>
      <c r="C891" t="s">
        <v>16</v>
      </c>
      <c r="D891" t="str">
        <f t="shared" si="44"/>
        <v>natural gas vehicle</v>
      </c>
      <c r="E891" t="s">
        <v>18</v>
      </c>
      <c r="F891" t="s">
        <v>8</v>
      </c>
      <c r="G891" t="s">
        <v>33</v>
      </c>
      <c r="H891" t="str">
        <f t="shared" si="45"/>
        <v>公交车</v>
      </c>
      <c r="I891" t="str">
        <f t="shared" si="46"/>
        <v>Passenger LDV</v>
      </c>
      <c r="J891">
        <v>1</v>
      </c>
    </row>
    <row r="892" spans="1:10" x14ac:dyDescent="0.2">
      <c r="A892">
        <v>891</v>
      </c>
      <c r="B892">
        <v>2021</v>
      </c>
      <c r="C892" t="s">
        <v>6</v>
      </c>
      <c r="D892" t="str">
        <f t="shared" si="44"/>
        <v>plugin hybrid vehicle</v>
      </c>
      <c r="E892" t="s">
        <v>34</v>
      </c>
      <c r="F892" t="s">
        <v>22</v>
      </c>
      <c r="G892" t="s">
        <v>33</v>
      </c>
      <c r="H892" t="str">
        <f t="shared" si="45"/>
        <v>出租车</v>
      </c>
      <c r="I892" t="str">
        <f t="shared" si="46"/>
        <v>Unknown</v>
      </c>
      <c r="J892">
        <v>1</v>
      </c>
    </row>
    <row r="893" spans="1:10" x14ac:dyDescent="0.2">
      <c r="A893">
        <v>892</v>
      </c>
      <c r="B893">
        <v>2021</v>
      </c>
      <c r="C893" t="s">
        <v>10</v>
      </c>
      <c r="D893" t="str">
        <f t="shared" si="44"/>
        <v>diesel vehicle</v>
      </c>
      <c r="E893" t="s">
        <v>34</v>
      </c>
      <c r="F893" t="s">
        <v>22</v>
      </c>
      <c r="G893" t="s">
        <v>33</v>
      </c>
      <c r="H893" t="str">
        <f t="shared" si="45"/>
        <v>出租车</v>
      </c>
      <c r="I893" t="str">
        <f t="shared" si="46"/>
        <v>Unknown</v>
      </c>
      <c r="J893">
        <v>1</v>
      </c>
    </row>
    <row r="894" spans="1:10" x14ac:dyDescent="0.2">
      <c r="A894">
        <v>893</v>
      </c>
      <c r="B894">
        <v>2021</v>
      </c>
      <c r="C894" t="s">
        <v>11</v>
      </c>
      <c r="D894" t="str">
        <f t="shared" si="44"/>
        <v>battery electric vehicle</v>
      </c>
      <c r="E894" t="s">
        <v>34</v>
      </c>
      <c r="F894" t="s">
        <v>22</v>
      </c>
      <c r="G894" t="s">
        <v>33</v>
      </c>
      <c r="H894" t="str">
        <f t="shared" si="45"/>
        <v>出租车</v>
      </c>
      <c r="I894" t="str">
        <f t="shared" si="46"/>
        <v>Unknown</v>
      </c>
      <c r="J894">
        <v>1</v>
      </c>
    </row>
    <row r="895" spans="1:10" x14ac:dyDescent="0.2">
      <c r="A895">
        <v>894</v>
      </c>
      <c r="B895">
        <v>2021</v>
      </c>
      <c r="C895" t="s">
        <v>13</v>
      </c>
      <c r="D895" t="str">
        <f t="shared" si="44"/>
        <v>gasoline vehicle</v>
      </c>
      <c r="E895" t="s">
        <v>34</v>
      </c>
      <c r="F895" t="s">
        <v>22</v>
      </c>
      <c r="G895" t="s">
        <v>33</v>
      </c>
      <c r="H895" t="str">
        <f t="shared" si="45"/>
        <v>出租车</v>
      </c>
      <c r="I895" t="str">
        <f t="shared" si="46"/>
        <v>Unknown</v>
      </c>
      <c r="J895">
        <v>61</v>
      </c>
    </row>
    <row r="896" spans="1:10" x14ac:dyDescent="0.2">
      <c r="A896">
        <v>895</v>
      </c>
      <c r="B896">
        <v>2015</v>
      </c>
      <c r="C896" t="s">
        <v>11</v>
      </c>
      <c r="D896" t="str">
        <f t="shared" si="44"/>
        <v>battery electric vehicle</v>
      </c>
      <c r="E896" t="s">
        <v>28</v>
      </c>
      <c r="F896" t="s">
        <v>22</v>
      </c>
      <c r="G896" t="s">
        <v>33</v>
      </c>
      <c r="H896" t="str">
        <f t="shared" si="45"/>
        <v>出租车</v>
      </c>
      <c r="I896" t="str">
        <f t="shared" si="46"/>
        <v>Passenger LDV</v>
      </c>
      <c r="J896">
        <v>6066</v>
      </c>
    </row>
    <row r="897" spans="1:10" x14ac:dyDescent="0.2">
      <c r="A897">
        <v>896</v>
      </c>
      <c r="B897">
        <v>2016</v>
      </c>
      <c r="C897" t="s">
        <v>11</v>
      </c>
      <c r="D897" t="str">
        <f t="shared" si="44"/>
        <v>battery electric vehicle</v>
      </c>
      <c r="E897" t="s">
        <v>28</v>
      </c>
      <c r="F897" t="s">
        <v>22</v>
      </c>
      <c r="G897" t="s">
        <v>33</v>
      </c>
      <c r="H897" t="str">
        <f t="shared" si="45"/>
        <v>出租车</v>
      </c>
      <c r="I897" t="str">
        <f t="shared" si="46"/>
        <v>Passenger LDV</v>
      </c>
      <c r="J897">
        <v>1517</v>
      </c>
    </row>
    <row r="898" spans="1:10" x14ac:dyDescent="0.2">
      <c r="A898">
        <v>897</v>
      </c>
      <c r="B898">
        <v>2017</v>
      </c>
      <c r="C898" t="s">
        <v>11</v>
      </c>
      <c r="D898" t="str">
        <f t="shared" ref="D898:D961" si="47">VLOOKUP(C898,M$3:N$16,2,FALSE)</f>
        <v>battery electric vehicle</v>
      </c>
      <c r="E898" t="s">
        <v>28</v>
      </c>
      <c r="F898" t="s">
        <v>22</v>
      </c>
      <c r="G898" t="s">
        <v>33</v>
      </c>
      <c r="H898" t="str">
        <f t="shared" si="45"/>
        <v>出租车</v>
      </c>
      <c r="I898" t="str">
        <f t="shared" si="46"/>
        <v>Passenger LDV</v>
      </c>
      <c r="J898">
        <v>7545</v>
      </c>
    </row>
    <row r="899" spans="1:10" x14ac:dyDescent="0.2">
      <c r="A899">
        <v>898</v>
      </c>
      <c r="B899">
        <v>2018</v>
      </c>
      <c r="C899" t="s">
        <v>11</v>
      </c>
      <c r="D899" t="str">
        <f t="shared" si="47"/>
        <v>battery electric vehicle</v>
      </c>
      <c r="E899" t="s">
        <v>28</v>
      </c>
      <c r="F899" t="s">
        <v>22</v>
      </c>
      <c r="G899" t="s">
        <v>33</v>
      </c>
      <c r="H899" t="str">
        <f t="shared" ref="H899:H962" si="48">VLOOKUP(E899&amp;F899&amp;G899,$S$3:$U$68,2,FALSE)</f>
        <v>出租车</v>
      </c>
      <c r="I899" t="str">
        <f t="shared" ref="I899:I962" si="49">VLOOKUP(E899&amp;F899&amp;G899,$S$3:$U$68,3,FALSE)</f>
        <v>Passenger LDV</v>
      </c>
      <c r="J899">
        <v>7942</v>
      </c>
    </row>
    <row r="900" spans="1:10" x14ac:dyDescent="0.2">
      <c r="A900">
        <v>899</v>
      </c>
      <c r="B900">
        <v>2019</v>
      </c>
      <c r="C900" t="s">
        <v>11</v>
      </c>
      <c r="D900" t="str">
        <f t="shared" si="47"/>
        <v>battery electric vehicle</v>
      </c>
      <c r="E900" t="s">
        <v>28</v>
      </c>
      <c r="F900" t="s">
        <v>22</v>
      </c>
      <c r="G900" t="s">
        <v>33</v>
      </c>
      <c r="H900" t="str">
        <f t="shared" si="48"/>
        <v>出租车</v>
      </c>
      <c r="I900" t="str">
        <f t="shared" si="49"/>
        <v>Passenger LDV</v>
      </c>
      <c r="J900">
        <v>1971</v>
      </c>
    </row>
    <row r="901" spans="1:10" x14ac:dyDescent="0.2">
      <c r="A901">
        <v>900</v>
      </c>
      <c r="B901">
        <v>2020</v>
      </c>
      <c r="C901" t="s">
        <v>11</v>
      </c>
      <c r="D901" t="str">
        <f t="shared" si="47"/>
        <v>battery electric vehicle</v>
      </c>
      <c r="E901" t="s">
        <v>28</v>
      </c>
      <c r="F901" t="s">
        <v>22</v>
      </c>
      <c r="G901" t="s">
        <v>33</v>
      </c>
      <c r="H901" t="str">
        <f t="shared" si="48"/>
        <v>出租车</v>
      </c>
      <c r="I901" t="str">
        <f t="shared" si="49"/>
        <v>Passenger LDV</v>
      </c>
      <c r="J901">
        <v>20</v>
      </c>
    </row>
    <row r="902" spans="1:10" x14ac:dyDescent="0.2">
      <c r="A902">
        <v>901</v>
      </c>
      <c r="B902">
        <v>2021</v>
      </c>
      <c r="C902" t="s">
        <v>11</v>
      </c>
      <c r="D902" t="str">
        <f t="shared" si="47"/>
        <v>battery electric vehicle</v>
      </c>
      <c r="E902" t="s">
        <v>28</v>
      </c>
      <c r="F902" t="s">
        <v>22</v>
      </c>
      <c r="G902" t="s">
        <v>33</v>
      </c>
      <c r="H902" t="str">
        <f t="shared" si="48"/>
        <v>出租车</v>
      </c>
      <c r="I902" t="str">
        <f t="shared" si="49"/>
        <v>Passenger LDV</v>
      </c>
      <c r="J902">
        <v>79</v>
      </c>
    </row>
    <row r="903" spans="1:10" x14ac:dyDescent="0.2">
      <c r="A903">
        <v>902</v>
      </c>
      <c r="B903">
        <v>2015</v>
      </c>
      <c r="C903" t="s">
        <v>13</v>
      </c>
      <c r="D903" t="str">
        <f t="shared" si="47"/>
        <v>gasoline vehicle</v>
      </c>
      <c r="E903" t="s">
        <v>28</v>
      </c>
      <c r="F903" t="s">
        <v>22</v>
      </c>
      <c r="G903" t="s">
        <v>33</v>
      </c>
      <c r="H903" t="str">
        <f t="shared" si="48"/>
        <v>出租车</v>
      </c>
      <c r="I903" t="str">
        <f t="shared" si="49"/>
        <v>Passenger LDV</v>
      </c>
      <c r="J903">
        <v>32</v>
      </c>
    </row>
    <row r="904" spans="1:10" x14ac:dyDescent="0.2">
      <c r="A904">
        <v>903</v>
      </c>
      <c r="B904">
        <v>2016</v>
      </c>
      <c r="C904" t="s">
        <v>13</v>
      </c>
      <c r="D904" t="str">
        <f t="shared" si="47"/>
        <v>gasoline vehicle</v>
      </c>
      <c r="E904" t="s">
        <v>28</v>
      </c>
      <c r="F904" t="s">
        <v>22</v>
      </c>
      <c r="G904" t="s">
        <v>33</v>
      </c>
      <c r="H904" t="str">
        <f t="shared" si="48"/>
        <v>出租车</v>
      </c>
      <c r="I904" t="str">
        <f t="shared" si="49"/>
        <v>Passenger LDV</v>
      </c>
      <c r="J904">
        <v>5</v>
      </c>
    </row>
    <row r="905" spans="1:10" x14ac:dyDescent="0.2">
      <c r="A905">
        <v>904</v>
      </c>
      <c r="B905">
        <v>2017</v>
      </c>
      <c r="C905" t="s">
        <v>13</v>
      </c>
      <c r="D905" t="str">
        <f t="shared" si="47"/>
        <v>gasoline vehicle</v>
      </c>
      <c r="E905" t="s">
        <v>28</v>
      </c>
      <c r="F905" t="s">
        <v>22</v>
      </c>
      <c r="G905" t="s">
        <v>33</v>
      </c>
      <c r="H905" t="str">
        <f t="shared" si="48"/>
        <v>出租车</v>
      </c>
      <c r="I905" t="str">
        <f t="shared" si="49"/>
        <v>Passenger LDV</v>
      </c>
      <c r="J905">
        <v>8</v>
      </c>
    </row>
    <row r="906" spans="1:10" x14ac:dyDescent="0.2">
      <c r="A906">
        <v>905</v>
      </c>
      <c r="B906">
        <v>2019</v>
      </c>
      <c r="C906" t="s">
        <v>13</v>
      </c>
      <c r="D906" t="str">
        <f t="shared" si="47"/>
        <v>gasoline vehicle</v>
      </c>
      <c r="E906" t="s">
        <v>28</v>
      </c>
      <c r="F906" t="s">
        <v>22</v>
      </c>
      <c r="G906" t="s">
        <v>33</v>
      </c>
      <c r="H906" t="str">
        <f t="shared" si="48"/>
        <v>出租车</v>
      </c>
      <c r="I906" t="str">
        <f t="shared" si="49"/>
        <v>Passenger LDV</v>
      </c>
      <c r="J906">
        <v>1</v>
      </c>
    </row>
    <row r="907" spans="1:10" x14ac:dyDescent="0.2">
      <c r="A907">
        <v>906</v>
      </c>
      <c r="B907">
        <v>2015</v>
      </c>
      <c r="C907" t="s">
        <v>6</v>
      </c>
      <c r="D907" t="str">
        <f t="shared" si="47"/>
        <v>plugin hybrid vehicle</v>
      </c>
      <c r="E907" t="s">
        <v>18</v>
      </c>
      <c r="F907" t="s">
        <v>22</v>
      </c>
      <c r="G907" t="s">
        <v>33</v>
      </c>
      <c r="H907" t="str">
        <f t="shared" si="48"/>
        <v>出租车</v>
      </c>
      <c r="I907" t="str">
        <f t="shared" si="49"/>
        <v>Passenger LDV</v>
      </c>
      <c r="J907">
        <v>2629</v>
      </c>
    </row>
    <row r="908" spans="1:10" x14ac:dyDescent="0.2">
      <c r="A908">
        <v>907</v>
      </c>
      <c r="B908">
        <v>2016</v>
      </c>
      <c r="C908" t="s">
        <v>6</v>
      </c>
      <c r="D908" t="str">
        <f t="shared" si="47"/>
        <v>plugin hybrid vehicle</v>
      </c>
      <c r="E908" t="s">
        <v>18</v>
      </c>
      <c r="F908" t="s">
        <v>22</v>
      </c>
      <c r="G908" t="s">
        <v>33</v>
      </c>
      <c r="H908" t="str">
        <f t="shared" si="48"/>
        <v>出租车</v>
      </c>
      <c r="I908" t="str">
        <f t="shared" si="49"/>
        <v>Passenger LDV</v>
      </c>
      <c r="J908">
        <v>2785</v>
      </c>
    </row>
    <row r="909" spans="1:10" x14ac:dyDescent="0.2">
      <c r="A909">
        <v>908</v>
      </c>
      <c r="B909">
        <v>2017</v>
      </c>
      <c r="C909" t="s">
        <v>6</v>
      </c>
      <c r="D909" t="str">
        <f t="shared" si="47"/>
        <v>plugin hybrid vehicle</v>
      </c>
      <c r="E909" t="s">
        <v>18</v>
      </c>
      <c r="F909" t="s">
        <v>22</v>
      </c>
      <c r="G909" t="s">
        <v>33</v>
      </c>
      <c r="H909" t="str">
        <f t="shared" si="48"/>
        <v>出租车</v>
      </c>
      <c r="I909" t="str">
        <f t="shared" si="49"/>
        <v>Passenger LDV</v>
      </c>
      <c r="J909">
        <v>4329</v>
      </c>
    </row>
    <row r="910" spans="1:10" x14ac:dyDescent="0.2">
      <c r="A910">
        <v>909</v>
      </c>
      <c r="B910">
        <v>2018</v>
      </c>
      <c r="C910" t="s">
        <v>6</v>
      </c>
      <c r="D910" t="str">
        <f t="shared" si="47"/>
        <v>plugin hybrid vehicle</v>
      </c>
      <c r="E910" t="s">
        <v>18</v>
      </c>
      <c r="F910" t="s">
        <v>22</v>
      </c>
      <c r="G910" t="s">
        <v>33</v>
      </c>
      <c r="H910" t="str">
        <f t="shared" si="48"/>
        <v>出租车</v>
      </c>
      <c r="I910" t="str">
        <f t="shared" si="49"/>
        <v>Passenger LDV</v>
      </c>
      <c r="J910">
        <v>10304</v>
      </c>
    </row>
    <row r="911" spans="1:10" x14ac:dyDescent="0.2">
      <c r="A911">
        <v>910</v>
      </c>
      <c r="B911">
        <v>2019</v>
      </c>
      <c r="C911" t="s">
        <v>6</v>
      </c>
      <c r="D911" t="str">
        <f t="shared" si="47"/>
        <v>plugin hybrid vehicle</v>
      </c>
      <c r="E911" t="s">
        <v>18</v>
      </c>
      <c r="F911" t="s">
        <v>22</v>
      </c>
      <c r="G911" t="s">
        <v>33</v>
      </c>
      <c r="H911" t="str">
        <f t="shared" si="48"/>
        <v>出租车</v>
      </c>
      <c r="I911" t="str">
        <f t="shared" si="49"/>
        <v>Passenger LDV</v>
      </c>
      <c r="J911">
        <v>16904</v>
      </c>
    </row>
    <row r="912" spans="1:10" x14ac:dyDescent="0.2">
      <c r="A912">
        <v>911</v>
      </c>
      <c r="B912">
        <v>2020</v>
      </c>
      <c r="C912" t="s">
        <v>6</v>
      </c>
      <c r="D912" t="str">
        <f t="shared" si="47"/>
        <v>plugin hybrid vehicle</v>
      </c>
      <c r="E912" t="s">
        <v>18</v>
      </c>
      <c r="F912" t="s">
        <v>22</v>
      </c>
      <c r="G912" t="s">
        <v>33</v>
      </c>
      <c r="H912" t="str">
        <f t="shared" si="48"/>
        <v>出租车</v>
      </c>
      <c r="I912" t="str">
        <f t="shared" si="49"/>
        <v>Passenger LDV</v>
      </c>
      <c r="J912">
        <v>12718</v>
      </c>
    </row>
    <row r="913" spans="1:10" x14ac:dyDescent="0.2">
      <c r="A913">
        <v>912</v>
      </c>
      <c r="B913">
        <v>2021</v>
      </c>
      <c r="C913" t="s">
        <v>6</v>
      </c>
      <c r="D913" t="str">
        <f t="shared" si="47"/>
        <v>plugin hybrid vehicle</v>
      </c>
      <c r="E913" t="s">
        <v>18</v>
      </c>
      <c r="F913" t="s">
        <v>22</v>
      </c>
      <c r="G913" t="s">
        <v>33</v>
      </c>
      <c r="H913" t="str">
        <f t="shared" si="48"/>
        <v>出租车</v>
      </c>
      <c r="I913" t="str">
        <f t="shared" si="49"/>
        <v>Passenger LDV</v>
      </c>
      <c r="J913">
        <v>11512</v>
      </c>
    </row>
    <row r="914" spans="1:10" x14ac:dyDescent="0.2">
      <c r="A914">
        <v>913</v>
      </c>
      <c r="B914">
        <v>2015</v>
      </c>
      <c r="C914" t="s">
        <v>10</v>
      </c>
      <c r="D914" t="str">
        <f t="shared" si="47"/>
        <v>diesel vehicle</v>
      </c>
      <c r="E914" t="s">
        <v>18</v>
      </c>
      <c r="F914" t="s">
        <v>22</v>
      </c>
      <c r="G914" t="s">
        <v>33</v>
      </c>
      <c r="H914" t="str">
        <f t="shared" si="48"/>
        <v>出租车</v>
      </c>
      <c r="I914" t="str">
        <f t="shared" si="49"/>
        <v>Passenger LDV</v>
      </c>
      <c r="J914">
        <v>132</v>
      </c>
    </row>
    <row r="915" spans="1:10" x14ac:dyDescent="0.2">
      <c r="A915">
        <v>914</v>
      </c>
      <c r="B915">
        <v>2016</v>
      </c>
      <c r="C915" t="s">
        <v>10</v>
      </c>
      <c r="D915" t="str">
        <f t="shared" si="47"/>
        <v>diesel vehicle</v>
      </c>
      <c r="E915" t="s">
        <v>18</v>
      </c>
      <c r="F915" t="s">
        <v>22</v>
      </c>
      <c r="G915" t="s">
        <v>33</v>
      </c>
      <c r="H915" t="str">
        <f t="shared" si="48"/>
        <v>出租车</v>
      </c>
      <c r="I915" t="str">
        <f t="shared" si="49"/>
        <v>Passenger LDV</v>
      </c>
      <c r="J915">
        <v>410</v>
      </c>
    </row>
    <row r="916" spans="1:10" x14ac:dyDescent="0.2">
      <c r="A916">
        <v>915</v>
      </c>
      <c r="B916">
        <v>2017</v>
      </c>
      <c r="C916" t="s">
        <v>10</v>
      </c>
      <c r="D916" t="str">
        <f t="shared" si="47"/>
        <v>diesel vehicle</v>
      </c>
      <c r="E916" t="s">
        <v>18</v>
      </c>
      <c r="F916" t="s">
        <v>22</v>
      </c>
      <c r="G916" t="s">
        <v>33</v>
      </c>
      <c r="H916" t="str">
        <f t="shared" si="48"/>
        <v>出租车</v>
      </c>
      <c r="I916" t="str">
        <f t="shared" si="49"/>
        <v>Passenger LDV</v>
      </c>
      <c r="J916">
        <v>614</v>
      </c>
    </row>
    <row r="917" spans="1:10" x14ac:dyDescent="0.2">
      <c r="A917">
        <v>916</v>
      </c>
      <c r="B917">
        <v>2018</v>
      </c>
      <c r="C917" t="s">
        <v>10</v>
      </c>
      <c r="D917" t="str">
        <f t="shared" si="47"/>
        <v>diesel vehicle</v>
      </c>
      <c r="E917" t="s">
        <v>18</v>
      </c>
      <c r="F917" t="s">
        <v>22</v>
      </c>
      <c r="G917" t="s">
        <v>33</v>
      </c>
      <c r="H917" t="str">
        <f t="shared" si="48"/>
        <v>出租车</v>
      </c>
      <c r="I917" t="str">
        <f t="shared" si="49"/>
        <v>Passenger LDV</v>
      </c>
      <c r="J917">
        <v>1784</v>
      </c>
    </row>
    <row r="918" spans="1:10" x14ac:dyDescent="0.2">
      <c r="A918">
        <v>917</v>
      </c>
      <c r="B918">
        <v>2019</v>
      </c>
      <c r="C918" t="s">
        <v>10</v>
      </c>
      <c r="D918" t="str">
        <f t="shared" si="47"/>
        <v>diesel vehicle</v>
      </c>
      <c r="E918" t="s">
        <v>18</v>
      </c>
      <c r="F918" t="s">
        <v>22</v>
      </c>
      <c r="G918" t="s">
        <v>33</v>
      </c>
      <c r="H918" t="str">
        <f t="shared" si="48"/>
        <v>出租车</v>
      </c>
      <c r="I918" t="str">
        <f t="shared" si="49"/>
        <v>Passenger LDV</v>
      </c>
      <c r="J918">
        <v>4515</v>
      </c>
    </row>
    <row r="919" spans="1:10" x14ac:dyDescent="0.2">
      <c r="A919">
        <v>918</v>
      </c>
      <c r="B919">
        <v>2020</v>
      </c>
      <c r="C919" t="s">
        <v>10</v>
      </c>
      <c r="D919" t="str">
        <f t="shared" si="47"/>
        <v>diesel vehicle</v>
      </c>
      <c r="E919" t="s">
        <v>18</v>
      </c>
      <c r="F919" t="s">
        <v>22</v>
      </c>
      <c r="G919" t="s">
        <v>33</v>
      </c>
      <c r="H919" t="str">
        <f t="shared" si="48"/>
        <v>出租车</v>
      </c>
      <c r="I919" t="str">
        <f t="shared" si="49"/>
        <v>Passenger LDV</v>
      </c>
      <c r="J919">
        <v>2458</v>
      </c>
    </row>
    <row r="920" spans="1:10" x14ac:dyDescent="0.2">
      <c r="A920">
        <v>919</v>
      </c>
      <c r="B920">
        <v>2021</v>
      </c>
      <c r="C920" t="s">
        <v>10</v>
      </c>
      <c r="D920" t="str">
        <f t="shared" si="47"/>
        <v>diesel vehicle</v>
      </c>
      <c r="E920" t="s">
        <v>18</v>
      </c>
      <c r="F920" t="s">
        <v>22</v>
      </c>
      <c r="G920" t="s">
        <v>33</v>
      </c>
      <c r="H920" t="str">
        <f t="shared" si="48"/>
        <v>出租车</v>
      </c>
      <c r="I920" t="str">
        <f t="shared" si="49"/>
        <v>Passenger LDV</v>
      </c>
      <c r="J920">
        <v>1203</v>
      </c>
    </row>
    <row r="921" spans="1:10" x14ac:dyDescent="0.2">
      <c r="A921">
        <v>920</v>
      </c>
      <c r="B921">
        <v>2015</v>
      </c>
      <c r="C921" t="s">
        <v>11</v>
      </c>
      <c r="D921" t="str">
        <f t="shared" si="47"/>
        <v>battery electric vehicle</v>
      </c>
      <c r="E921" t="s">
        <v>18</v>
      </c>
      <c r="F921" t="s">
        <v>22</v>
      </c>
      <c r="G921" t="s">
        <v>33</v>
      </c>
      <c r="H921" t="str">
        <f t="shared" si="48"/>
        <v>出租车</v>
      </c>
      <c r="I921" t="str">
        <f t="shared" si="49"/>
        <v>Passenger LDV</v>
      </c>
      <c r="J921">
        <v>13222</v>
      </c>
    </row>
    <row r="922" spans="1:10" x14ac:dyDescent="0.2">
      <c r="A922">
        <v>921</v>
      </c>
      <c r="B922">
        <v>2016</v>
      </c>
      <c r="C922" t="s">
        <v>11</v>
      </c>
      <c r="D922" t="str">
        <f t="shared" si="47"/>
        <v>battery electric vehicle</v>
      </c>
      <c r="E922" t="s">
        <v>18</v>
      </c>
      <c r="F922" t="s">
        <v>22</v>
      </c>
      <c r="G922" t="s">
        <v>33</v>
      </c>
      <c r="H922" t="str">
        <f t="shared" si="48"/>
        <v>出租车</v>
      </c>
      <c r="I922" t="str">
        <f t="shared" si="49"/>
        <v>Passenger LDV</v>
      </c>
      <c r="J922">
        <v>29457</v>
      </c>
    </row>
    <row r="923" spans="1:10" x14ac:dyDescent="0.2">
      <c r="A923">
        <v>922</v>
      </c>
      <c r="B923">
        <v>2017</v>
      </c>
      <c r="C923" t="s">
        <v>11</v>
      </c>
      <c r="D923" t="str">
        <f t="shared" si="47"/>
        <v>battery electric vehicle</v>
      </c>
      <c r="E923" t="s">
        <v>18</v>
      </c>
      <c r="F923" t="s">
        <v>22</v>
      </c>
      <c r="G923" t="s">
        <v>33</v>
      </c>
      <c r="H923" t="str">
        <f t="shared" si="48"/>
        <v>出租车</v>
      </c>
      <c r="I923" t="str">
        <f t="shared" si="49"/>
        <v>Passenger LDV</v>
      </c>
      <c r="J923">
        <v>58288</v>
      </c>
    </row>
    <row r="924" spans="1:10" x14ac:dyDescent="0.2">
      <c r="A924">
        <v>923</v>
      </c>
      <c r="B924">
        <v>2018</v>
      </c>
      <c r="C924" t="s">
        <v>11</v>
      </c>
      <c r="D924" t="str">
        <f t="shared" si="47"/>
        <v>battery electric vehicle</v>
      </c>
      <c r="E924" t="s">
        <v>18</v>
      </c>
      <c r="F924" t="s">
        <v>22</v>
      </c>
      <c r="G924" t="s">
        <v>33</v>
      </c>
      <c r="H924" t="str">
        <f t="shared" si="48"/>
        <v>出租车</v>
      </c>
      <c r="I924" t="str">
        <f t="shared" si="49"/>
        <v>Passenger LDV</v>
      </c>
      <c r="J924">
        <v>149260</v>
      </c>
    </row>
    <row r="925" spans="1:10" x14ac:dyDescent="0.2">
      <c r="A925">
        <v>924</v>
      </c>
      <c r="B925">
        <v>2019</v>
      </c>
      <c r="C925" t="s">
        <v>11</v>
      </c>
      <c r="D925" t="str">
        <f t="shared" si="47"/>
        <v>battery electric vehicle</v>
      </c>
      <c r="E925" t="s">
        <v>18</v>
      </c>
      <c r="F925" t="s">
        <v>22</v>
      </c>
      <c r="G925" t="s">
        <v>33</v>
      </c>
      <c r="H925" t="str">
        <f t="shared" si="48"/>
        <v>出租车</v>
      </c>
      <c r="I925" t="str">
        <f t="shared" si="49"/>
        <v>Passenger LDV</v>
      </c>
      <c r="J925">
        <v>229615</v>
      </c>
    </row>
    <row r="926" spans="1:10" x14ac:dyDescent="0.2">
      <c r="A926">
        <v>925</v>
      </c>
      <c r="B926">
        <v>2020</v>
      </c>
      <c r="C926" t="s">
        <v>11</v>
      </c>
      <c r="D926" t="str">
        <f t="shared" si="47"/>
        <v>battery electric vehicle</v>
      </c>
      <c r="E926" t="s">
        <v>18</v>
      </c>
      <c r="F926" t="s">
        <v>22</v>
      </c>
      <c r="G926" t="s">
        <v>33</v>
      </c>
      <c r="H926" t="str">
        <f t="shared" si="48"/>
        <v>出租车</v>
      </c>
      <c r="I926" t="str">
        <f t="shared" si="49"/>
        <v>Passenger LDV</v>
      </c>
      <c r="J926">
        <v>162556</v>
      </c>
    </row>
    <row r="927" spans="1:10" x14ac:dyDescent="0.2">
      <c r="A927">
        <v>926</v>
      </c>
      <c r="B927">
        <v>2021</v>
      </c>
      <c r="C927" t="s">
        <v>11</v>
      </c>
      <c r="D927" t="str">
        <f t="shared" si="47"/>
        <v>battery electric vehicle</v>
      </c>
      <c r="E927" t="s">
        <v>18</v>
      </c>
      <c r="F927" t="s">
        <v>22</v>
      </c>
      <c r="G927" t="s">
        <v>33</v>
      </c>
      <c r="H927" t="str">
        <f t="shared" si="48"/>
        <v>出租车</v>
      </c>
      <c r="I927" t="str">
        <f t="shared" si="49"/>
        <v>Passenger LDV</v>
      </c>
      <c r="J927">
        <v>341428</v>
      </c>
    </row>
    <row r="928" spans="1:10" x14ac:dyDescent="0.2">
      <c r="A928">
        <v>927</v>
      </c>
      <c r="B928">
        <v>2015</v>
      </c>
      <c r="C928" t="s">
        <v>12</v>
      </c>
      <c r="D928" t="str">
        <f t="shared" si="47"/>
        <v>hybrid fuel vehicle</v>
      </c>
      <c r="E928" t="s">
        <v>18</v>
      </c>
      <c r="F928" t="s">
        <v>22</v>
      </c>
      <c r="G928" t="s">
        <v>33</v>
      </c>
      <c r="H928" t="str">
        <f t="shared" si="48"/>
        <v>出租车</v>
      </c>
      <c r="I928" t="str">
        <f t="shared" si="49"/>
        <v>Passenger LDV</v>
      </c>
      <c r="J928">
        <v>5233</v>
      </c>
    </row>
    <row r="929" spans="1:10" x14ac:dyDescent="0.2">
      <c r="A929">
        <v>928</v>
      </c>
      <c r="B929">
        <v>2016</v>
      </c>
      <c r="C929" t="s">
        <v>12</v>
      </c>
      <c r="D929" t="str">
        <f t="shared" si="47"/>
        <v>hybrid fuel vehicle</v>
      </c>
      <c r="E929" t="s">
        <v>18</v>
      </c>
      <c r="F929" t="s">
        <v>22</v>
      </c>
      <c r="G929" t="s">
        <v>33</v>
      </c>
      <c r="H929" t="str">
        <f t="shared" si="48"/>
        <v>出租车</v>
      </c>
      <c r="I929" t="str">
        <f t="shared" si="49"/>
        <v>Passenger LDV</v>
      </c>
      <c r="J929">
        <v>3257</v>
      </c>
    </row>
    <row r="930" spans="1:10" x14ac:dyDescent="0.2">
      <c r="A930">
        <v>929</v>
      </c>
      <c r="B930">
        <v>2017</v>
      </c>
      <c r="C930" t="s">
        <v>12</v>
      </c>
      <c r="D930" t="str">
        <f t="shared" si="47"/>
        <v>hybrid fuel vehicle</v>
      </c>
      <c r="E930" t="s">
        <v>18</v>
      </c>
      <c r="F930" t="s">
        <v>22</v>
      </c>
      <c r="G930" t="s">
        <v>33</v>
      </c>
      <c r="H930" t="str">
        <f t="shared" si="48"/>
        <v>出租车</v>
      </c>
      <c r="I930" t="str">
        <f t="shared" si="49"/>
        <v>Passenger LDV</v>
      </c>
      <c r="J930">
        <v>14442</v>
      </c>
    </row>
    <row r="931" spans="1:10" x14ac:dyDescent="0.2">
      <c r="A931">
        <v>930</v>
      </c>
      <c r="B931">
        <v>2018</v>
      </c>
      <c r="C931" t="s">
        <v>12</v>
      </c>
      <c r="D931" t="str">
        <f t="shared" si="47"/>
        <v>hybrid fuel vehicle</v>
      </c>
      <c r="E931" t="s">
        <v>18</v>
      </c>
      <c r="F931" t="s">
        <v>22</v>
      </c>
      <c r="G931" t="s">
        <v>33</v>
      </c>
      <c r="H931" t="str">
        <f t="shared" si="48"/>
        <v>出租车</v>
      </c>
      <c r="I931" t="str">
        <f t="shared" si="49"/>
        <v>Passenger LDV</v>
      </c>
      <c r="J931">
        <v>22793</v>
      </c>
    </row>
    <row r="932" spans="1:10" x14ac:dyDescent="0.2">
      <c r="A932">
        <v>931</v>
      </c>
      <c r="B932">
        <v>2019</v>
      </c>
      <c r="C932" t="s">
        <v>12</v>
      </c>
      <c r="D932" t="str">
        <f t="shared" si="47"/>
        <v>hybrid fuel vehicle</v>
      </c>
      <c r="E932" t="s">
        <v>18</v>
      </c>
      <c r="F932" t="s">
        <v>22</v>
      </c>
      <c r="G932" t="s">
        <v>33</v>
      </c>
      <c r="H932" t="str">
        <f t="shared" si="48"/>
        <v>出租车</v>
      </c>
      <c r="I932" t="str">
        <f t="shared" si="49"/>
        <v>Passenger LDV</v>
      </c>
      <c r="J932">
        <v>26279</v>
      </c>
    </row>
    <row r="933" spans="1:10" x14ac:dyDescent="0.2">
      <c r="A933">
        <v>932</v>
      </c>
      <c r="B933">
        <v>2020</v>
      </c>
      <c r="C933" t="s">
        <v>12</v>
      </c>
      <c r="D933" t="str">
        <f t="shared" si="47"/>
        <v>hybrid fuel vehicle</v>
      </c>
      <c r="E933" t="s">
        <v>18</v>
      </c>
      <c r="F933" t="s">
        <v>22</v>
      </c>
      <c r="G933" t="s">
        <v>33</v>
      </c>
      <c r="H933" t="str">
        <f t="shared" si="48"/>
        <v>出租车</v>
      </c>
      <c r="I933" t="str">
        <f t="shared" si="49"/>
        <v>Passenger LDV</v>
      </c>
      <c r="J933">
        <v>13174</v>
      </c>
    </row>
    <row r="934" spans="1:10" x14ac:dyDescent="0.2">
      <c r="A934">
        <v>933</v>
      </c>
      <c r="B934">
        <v>2021</v>
      </c>
      <c r="C934" t="s">
        <v>12</v>
      </c>
      <c r="D934" t="str">
        <f t="shared" si="47"/>
        <v>hybrid fuel vehicle</v>
      </c>
      <c r="E934" t="s">
        <v>18</v>
      </c>
      <c r="F934" t="s">
        <v>22</v>
      </c>
      <c r="G934" t="s">
        <v>33</v>
      </c>
      <c r="H934" t="str">
        <f t="shared" si="48"/>
        <v>出租车</v>
      </c>
      <c r="I934" t="str">
        <f t="shared" si="49"/>
        <v>Passenger LDV</v>
      </c>
      <c r="J934">
        <v>13194</v>
      </c>
    </row>
    <row r="935" spans="1:10" x14ac:dyDescent="0.2">
      <c r="A935">
        <v>934</v>
      </c>
      <c r="B935">
        <v>2015</v>
      </c>
      <c r="C935" t="s">
        <v>26</v>
      </c>
      <c r="D935" t="str">
        <f t="shared" si="47"/>
        <v>other fuel vehicle</v>
      </c>
      <c r="E935" t="s">
        <v>18</v>
      </c>
      <c r="F935" t="s">
        <v>22</v>
      </c>
      <c r="G935" t="s">
        <v>33</v>
      </c>
      <c r="H935" t="str">
        <f t="shared" si="48"/>
        <v>出租车</v>
      </c>
      <c r="I935" t="str">
        <f t="shared" si="49"/>
        <v>Passenger LDV</v>
      </c>
      <c r="J935">
        <v>559</v>
      </c>
    </row>
    <row r="936" spans="1:10" x14ac:dyDescent="0.2">
      <c r="A936">
        <v>935</v>
      </c>
      <c r="B936">
        <v>2016</v>
      </c>
      <c r="C936" t="s">
        <v>26</v>
      </c>
      <c r="D936" t="str">
        <f t="shared" si="47"/>
        <v>other fuel vehicle</v>
      </c>
      <c r="E936" t="s">
        <v>18</v>
      </c>
      <c r="F936" t="s">
        <v>22</v>
      </c>
      <c r="G936" t="s">
        <v>33</v>
      </c>
      <c r="H936" t="str">
        <f t="shared" si="48"/>
        <v>出租车</v>
      </c>
      <c r="I936" t="str">
        <f t="shared" si="49"/>
        <v>Passenger LDV</v>
      </c>
      <c r="J936">
        <v>197</v>
      </c>
    </row>
    <row r="937" spans="1:10" x14ac:dyDescent="0.2">
      <c r="A937">
        <v>936</v>
      </c>
      <c r="B937">
        <v>2017</v>
      </c>
      <c r="C937" t="s">
        <v>26</v>
      </c>
      <c r="D937" t="str">
        <f t="shared" si="47"/>
        <v>other fuel vehicle</v>
      </c>
      <c r="E937" t="s">
        <v>18</v>
      </c>
      <c r="F937" t="s">
        <v>22</v>
      </c>
      <c r="G937" t="s">
        <v>33</v>
      </c>
      <c r="H937" t="str">
        <f t="shared" si="48"/>
        <v>出租车</v>
      </c>
      <c r="I937" t="str">
        <f t="shared" si="49"/>
        <v>Passenger LDV</v>
      </c>
      <c r="J937">
        <v>1889</v>
      </c>
    </row>
    <row r="938" spans="1:10" x14ac:dyDescent="0.2">
      <c r="A938">
        <v>937</v>
      </c>
      <c r="B938">
        <v>2018</v>
      </c>
      <c r="C938" t="s">
        <v>26</v>
      </c>
      <c r="D938" t="str">
        <f t="shared" si="47"/>
        <v>other fuel vehicle</v>
      </c>
      <c r="E938" t="s">
        <v>18</v>
      </c>
      <c r="F938" t="s">
        <v>22</v>
      </c>
      <c r="G938" t="s">
        <v>33</v>
      </c>
      <c r="H938" t="str">
        <f t="shared" si="48"/>
        <v>出租车</v>
      </c>
      <c r="I938" t="str">
        <f t="shared" si="49"/>
        <v>Passenger LDV</v>
      </c>
      <c r="J938">
        <v>1627</v>
      </c>
    </row>
    <row r="939" spans="1:10" x14ac:dyDescent="0.2">
      <c r="A939">
        <v>938</v>
      </c>
      <c r="B939">
        <v>2019</v>
      </c>
      <c r="C939" t="s">
        <v>26</v>
      </c>
      <c r="D939" t="str">
        <f t="shared" si="47"/>
        <v>other fuel vehicle</v>
      </c>
      <c r="E939" t="s">
        <v>18</v>
      </c>
      <c r="F939" t="s">
        <v>22</v>
      </c>
      <c r="G939" t="s">
        <v>33</v>
      </c>
      <c r="H939" t="str">
        <f t="shared" si="48"/>
        <v>出租车</v>
      </c>
      <c r="I939" t="str">
        <f t="shared" si="49"/>
        <v>Passenger LDV</v>
      </c>
      <c r="J939">
        <v>14529</v>
      </c>
    </row>
    <row r="940" spans="1:10" x14ac:dyDescent="0.2">
      <c r="A940">
        <v>939</v>
      </c>
      <c r="B940">
        <v>2020</v>
      </c>
      <c r="C940" t="s">
        <v>26</v>
      </c>
      <c r="D940" t="str">
        <f t="shared" si="47"/>
        <v>other fuel vehicle</v>
      </c>
      <c r="E940" t="s">
        <v>18</v>
      </c>
      <c r="F940" t="s">
        <v>22</v>
      </c>
      <c r="G940" t="s">
        <v>33</v>
      </c>
      <c r="H940" t="str">
        <f t="shared" si="48"/>
        <v>出租车</v>
      </c>
      <c r="I940" t="str">
        <f t="shared" si="49"/>
        <v>Passenger LDV</v>
      </c>
      <c r="J940">
        <v>5543</v>
      </c>
    </row>
    <row r="941" spans="1:10" x14ac:dyDescent="0.2">
      <c r="A941">
        <v>940</v>
      </c>
      <c r="B941">
        <v>2021</v>
      </c>
      <c r="C941" t="s">
        <v>26</v>
      </c>
      <c r="D941" t="str">
        <f t="shared" si="47"/>
        <v>other fuel vehicle</v>
      </c>
      <c r="E941" t="s">
        <v>18</v>
      </c>
      <c r="F941" t="s">
        <v>22</v>
      </c>
      <c r="G941" t="s">
        <v>33</v>
      </c>
      <c r="H941" t="str">
        <f t="shared" si="48"/>
        <v>出租车</v>
      </c>
      <c r="I941" t="str">
        <f t="shared" si="49"/>
        <v>Passenger LDV</v>
      </c>
      <c r="J941">
        <v>809</v>
      </c>
    </row>
    <row r="942" spans="1:10" x14ac:dyDescent="0.2">
      <c r="A942">
        <v>941</v>
      </c>
      <c r="B942">
        <v>2015</v>
      </c>
      <c r="C942" t="s">
        <v>13</v>
      </c>
      <c r="D942" t="str">
        <f t="shared" si="47"/>
        <v>gasoline vehicle</v>
      </c>
      <c r="E942" t="s">
        <v>18</v>
      </c>
      <c r="F942" t="s">
        <v>22</v>
      </c>
      <c r="G942" t="s">
        <v>33</v>
      </c>
      <c r="H942" t="str">
        <f t="shared" si="48"/>
        <v>出租车</v>
      </c>
      <c r="I942" t="str">
        <f t="shared" si="49"/>
        <v>Passenger LDV</v>
      </c>
      <c r="J942">
        <v>99548</v>
      </c>
    </row>
    <row r="943" spans="1:10" x14ac:dyDescent="0.2">
      <c r="A943">
        <v>942</v>
      </c>
      <c r="B943">
        <v>2016</v>
      </c>
      <c r="C943" t="s">
        <v>13</v>
      </c>
      <c r="D943" t="str">
        <f t="shared" si="47"/>
        <v>gasoline vehicle</v>
      </c>
      <c r="E943" t="s">
        <v>18</v>
      </c>
      <c r="F943" t="s">
        <v>22</v>
      </c>
      <c r="G943" t="s">
        <v>33</v>
      </c>
      <c r="H943" t="str">
        <f t="shared" si="48"/>
        <v>出租车</v>
      </c>
      <c r="I943" t="str">
        <f t="shared" si="49"/>
        <v>Passenger LDV</v>
      </c>
      <c r="J943">
        <v>173060</v>
      </c>
    </row>
    <row r="944" spans="1:10" x14ac:dyDescent="0.2">
      <c r="A944">
        <v>943</v>
      </c>
      <c r="B944">
        <v>2017</v>
      </c>
      <c r="C944" t="s">
        <v>13</v>
      </c>
      <c r="D944" t="str">
        <f t="shared" si="47"/>
        <v>gasoline vehicle</v>
      </c>
      <c r="E944" t="s">
        <v>18</v>
      </c>
      <c r="F944" t="s">
        <v>22</v>
      </c>
      <c r="G944" t="s">
        <v>33</v>
      </c>
      <c r="H944" t="str">
        <f t="shared" si="48"/>
        <v>出租车</v>
      </c>
      <c r="I944" t="str">
        <f t="shared" si="49"/>
        <v>Passenger LDV</v>
      </c>
      <c r="J944">
        <v>322641</v>
      </c>
    </row>
    <row r="945" spans="1:10" x14ac:dyDescent="0.2">
      <c r="A945">
        <v>944</v>
      </c>
      <c r="B945">
        <v>2018</v>
      </c>
      <c r="C945" t="s">
        <v>13</v>
      </c>
      <c r="D945" t="str">
        <f t="shared" si="47"/>
        <v>gasoline vehicle</v>
      </c>
      <c r="E945" t="s">
        <v>18</v>
      </c>
      <c r="F945" t="s">
        <v>22</v>
      </c>
      <c r="G945" t="s">
        <v>33</v>
      </c>
      <c r="H945" t="str">
        <f t="shared" si="48"/>
        <v>出租车</v>
      </c>
      <c r="I945" t="str">
        <f t="shared" si="49"/>
        <v>Passenger LDV</v>
      </c>
      <c r="J945">
        <v>223576</v>
      </c>
    </row>
    <row r="946" spans="1:10" x14ac:dyDescent="0.2">
      <c r="A946">
        <v>945</v>
      </c>
      <c r="B946">
        <v>2019</v>
      </c>
      <c r="C946" t="s">
        <v>13</v>
      </c>
      <c r="D946" t="str">
        <f t="shared" si="47"/>
        <v>gasoline vehicle</v>
      </c>
      <c r="E946" t="s">
        <v>18</v>
      </c>
      <c r="F946" t="s">
        <v>22</v>
      </c>
      <c r="G946" t="s">
        <v>33</v>
      </c>
      <c r="H946" t="str">
        <f t="shared" si="48"/>
        <v>出租车</v>
      </c>
      <c r="I946" t="str">
        <f t="shared" si="49"/>
        <v>Passenger LDV</v>
      </c>
      <c r="J946">
        <v>215251</v>
      </c>
    </row>
    <row r="947" spans="1:10" x14ac:dyDescent="0.2">
      <c r="A947">
        <v>946</v>
      </c>
      <c r="B947">
        <v>2020</v>
      </c>
      <c r="C947" t="s">
        <v>13</v>
      </c>
      <c r="D947" t="str">
        <f t="shared" si="47"/>
        <v>gasoline vehicle</v>
      </c>
      <c r="E947" t="s">
        <v>18</v>
      </c>
      <c r="F947" t="s">
        <v>22</v>
      </c>
      <c r="G947" t="s">
        <v>33</v>
      </c>
      <c r="H947" t="str">
        <f t="shared" si="48"/>
        <v>出租车</v>
      </c>
      <c r="I947" t="str">
        <f t="shared" si="49"/>
        <v>Passenger LDV</v>
      </c>
      <c r="J947">
        <v>115382</v>
      </c>
    </row>
    <row r="948" spans="1:10" x14ac:dyDescent="0.2">
      <c r="A948">
        <v>947</v>
      </c>
      <c r="B948">
        <v>2021</v>
      </c>
      <c r="C948" t="s">
        <v>13</v>
      </c>
      <c r="D948" t="str">
        <f t="shared" si="47"/>
        <v>gasoline vehicle</v>
      </c>
      <c r="E948" t="s">
        <v>18</v>
      </c>
      <c r="F948" t="s">
        <v>22</v>
      </c>
      <c r="G948" t="s">
        <v>33</v>
      </c>
      <c r="H948" t="str">
        <f t="shared" si="48"/>
        <v>出租车</v>
      </c>
      <c r="I948" t="str">
        <f t="shared" si="49"/>
        <v>Passenger LDV</v>
      </c>
      <c r="J948">
        <v>91069</v>
      </c>
    </row>
    <row r="949" spans="1:10" x14ac:dyDescent="0.2">
      <c r="A949">
        <v>948</v>
      </c>
      <c r="B949">
        <v>2016</v>
      </c>
      <c r="C949" t="s">
        <v>35</v>
      </c>
      <c r="D949" t="str">
        <f t="shared" si="47"/>
        <v>LPG vehicle</v>
      </c>
      <c r="E949" t="s">
        <v>18</v>
      </c>
      <c r="F949" t="s">
        <v>22</v>
      </c>
      <c r="G949" t="s">
        <v>33</v>
      </c>
      <c r="H949" t="str">
        <f t="shared" si="48"/>
        <v>出租车</v>
      </c>
      <c r="I949" t="str">
        <f t="shared" si="49"/>
        <v>Passenger LDV</v>
      </c>
      <c r="J949">
        <v>1695</v>
      </c>
    </row>
    <row r="950" spans="1:10" x14ac:dyDescent="0.2">
      <c r="A950">
        <v>949</v>
      </c>
      <c r="B950">
        <v>2017</v>
      </c>
      <c r="C950" t="s">
        <v>35</v>
      </c>
      <c r="D950" t="str">
        <f t="shared" si="47"/>
        <v>LPG vehicle</v>
      </c>
      <c r="E950" t="s">
        <v>18</v>
      </c>
      <c r="F950" t="s">
        <v>22</v>
      </c>
      <c r="G950" t="s">
        <v>33</v>
      </c>
      <c r="H950" t="str">
        <f t="shared" si="48"/>
        <v>出租车</v>
      </c>
      <c r="I950" t="str">
        <f t="shared" si="49"/>
        <v>Passenger LDV</v>
      </c>
      <c r="J950">
        <v>5122</v>
      </c>
    </row>
    <row r="951" spans="1:10" x14ac:dyDescent="0.2">
      <c r="A951">
        <v>950</v>
      </c>
      <c r="B951">
        <v>2018</v>
      </c>
      <c r="C951" t="s">
        <v>35</v>
      </c>
      <c r="D951" t="str">
        <f t="shared" si="47"/>
        <v>LPG vehicle</v>
      </c>
      <c r="E951" t="s">
        <v>18</v>
      </c>
      <c r="F951" t="s">
        <v>22</v>
      </c>
      <c r="G951" t="s">
        <v>33</v>
      </c>
      <c r="H951" t="str">
        <f t="shared" si="48"/>
        <v>出租车</v>
      </c>
      <c r="I951" t="str">
        <f t="shared" si="49"/>
        <v>Passenger LDV</v>
      </c>
      <c r="J951">
        <v>2630</v>
      </c>
    </row>
    <row r="952" spans="1:10" x14ac:dyDescent="0.2">
      <c r="A952">
        <v>951</v>
      </c>
      <c r="B952">
        <v>2019</v>
      </c>
      <c r="C952" t="s">
        <v>35</v>
      </c>
      <c r="D952" t="str">
        <f t="shared" si="47"/>
        <v>LPG vehicle</v>
      </c>
      <c r="E952" t="s">
        <v>18</v>
      </c>
      <c r="F952" t="s">
        <v>22</v>
      </c>
      <c r="G952" t="s">
        <v>33</v>
      </c>
      <c r="H952" t="str">
        <f t="shared" si="48"/>
        <v>出租车</v>
      </c>
      <c r="I952" t="str">
        <f t="shared" si="49"/>
        <v>Passenger LDV</v>
      </c>
      <c r="J952">
        <v>202</v>
      </c>
    </row>
    <row r="953" spans="1:10" x14ac:dyDescent="0.2">
      <c r="A953">
        <v>952</v>
      </c>
      <c r="B953">
        <v>2015</v>
      </c>
      <c r="C953" t="s">
        <v>14</v>
      </c>
      <c r="D953" t="str">
        <f t="shared" si="47"/>
        <v>natural gas vehicle</v>
      </c>
      <c r="E953" t="s">
        <v>18</v>
      </c>
      <c r="F953" t="s">
        <v>22</v>
      </c>
      <c r="G953" t="s">
        <v>33</v>
      </c>
      <c r="H953" t="str">
        <f t="shared" si="48"/>
        <v>出租车</v>
      </c>
      <c r="I953" t="str">
        <f t="shared" si="49"/>
        <v>Passenger LDV</v>
      </c>
      <c r="J953">
        <v>123194</v>
      </c>
    </row>
    <row r="954" spans="1:10" x14ac:dyDescent="0.2">
      <c r="A954">
        <v>953</v>
      </c>
      <c r="B954">
        <v>2016</v>
      </c>
      <c r="C954" t="s">
        <v>14</v>
      </c>
      <c r="D954" t="str">
        <f t="shared" si="47"/>
        <v>natural gas vehicle</v>
      </c>
      <c r="E954" t="s">
        <v>18</v>
      </c>
      <c r="F954" t="s">
        <v>22</v>
      </c>
      <c r="G954" t="s">
        <v>33</v>
      </c>
      <c r="H954" t="str">
        <f t="shared" si="48"/>
        <v>出租车</v>
      </c>
      <c r="I954" t="str">
        <f t="shared" si="49"/>
        <v>Passenger LDV</v>
      </c>
      <c r="J954">
        <v>86125</v>
      </c>
    </row>
    <row r="955" spans="1:10" x14ac:dyDescent="0.2">
      <c r="A955">
        <v>954</v>
      </c>
      <c r="B955">
        <v>2017</v>
      </c>
      <c r="C955" t="s">
        <v>14</v>
      </c>
      <c r="D955" t="str">
        <f t="shared" si="47"/>
        <v>natural gas vehicle</v>
      </c>
      <c r="E955" t="s">
        <v>18</v>
      </c>
      <c r="F955" t="s">
        <v>22</v>
      </c>
      <c r="G955" t="s">
        <v>33</v>
      </c>
      <c r="H955" t="str">
        <f t="shared" si="48"/>
        <v>出租车</v>
      </c>
      <c r="I955" t="str">
        <f t="shared" si="49"/>
        <v>Passenger LDV</v>
      </c>
      <c r="J955">
        <v>75691</v>
      </c>
    </row>
    <row r="956" spans="1:10" x14ac:dyDescent="0.2">
      <c r="A956">
        <v>955</v>
      </c>
      <c r="B956">
        <v>2018</v>
      </c>
      <c r="C956" t="s">
        <v>14</v>
      </c>
      <c r="D956" t="str">
        <f t="shared" si="47"/>
        <v>natural gas vehicle</v>
      </c>
      <c r="E956" t="s">
        <v>18</v>
      </c>
      <c r="F956" t="s">
        <v>22</v>
      </c>
      <c r="G956" t="s">
        <v>33</v>
      </c>
      <c r="H956" t="str">
        <f t="shared" si="48"/>
        <v>出租车</v>
      </c>
      <c r="I956" t="str">
        <f t="shared" si="49"/>
        <v>Passenger LDV</v>
      </c>
      <c r="J956">
        <v>86574</v>
      </c>
    </row>
    <row r="957" spans="1:10" x14ac:dyDescent="0.2">
      <c r="A957">
        <v>956</v>
      </c>
      <c r="B957">
        <v>2019</v>
      </c>
      <c r="C957" t="s">
        <v>14</v>
      </c>
      <c r="D957" t="str">
        <f t="shared" si="47"/>
        <v>natural gas vehicle</v>
      </c>
      <c r="E957" t="s">
        <v>18</v>
      </c>
      <c r="F957" t="s">
        <v>22</v>
      </c>
      <c r="G957" t="s">
        <v>33</v>
      </c>
      <c r="H957" t="str">
        <f t="shared" si="48"/>
        <v>出租车</v>
      </c>
      <c r="I957" t="str">
        <f t="shared" si="49"/>
        <v>Passenger LDV</v>
      </c>
      <c r="J957">
        <v>92188</v>
      </c>
    </row>
    <row r="958" spans="1:10" x14ac:dyDescent="0.2">
      <c r="A958">
        <v>957</v>
      </c>
      <c r="B958">
        <v>2020</v>
      </c>
      <c r="C958" t="s">
        <v>14</v>
      </c>
      <c r="D958" t="str">
        <f t="shared" si="47"/>
        <v>natural gas vehicle</v>
      </c>
      <c r="E958" t="s">
        <v>18</v>
      </c>
      <c r="F958" t="s">
        <v>22</v>
      </c>
      <c r="G958" t="s">
        <v>33</v>
      </c>
      <c r="H958" t="str">
        <f t="shared" si="48"/>
        <v>出租车</v>
      </c>
      <c r="I958" t="str">
        <f t="shared" si="49"/>
        <v>Passenger LDV</v>
      </c>
      <c r="J958">
        <v>23115</v>
      </c>
    </row>
    <row r="959" spans="1:10" x14ac:dyDescent="0.2">
      <c r="A959">
        <v>958</v>
      </c>
      <c r="B959">
        <v>2021</v>
      </c>
      <c r="C959" t="s">
        <v>14</v>
      </c>
      <c r="D959" t="str">
        <f t="shared" si="47"/>
        <v>natural gas vehicle</v>
      </c>
      <c r="E959" t="s">
        <v>18</v>
      </c>
      <c r="F959" t="s">
        <v>22</v>
      </c>
      <c r="G959" t="s">
        <v>33</v>
      </c>
      <c r="H959" t="str">
        <f t="shared" si="48"/>
        <v>出租车</v>
      </c>
      <c r="I959" t="str">
        <f t="shared" si="49"/>
        <v>Passenger LDV</v>
      </c>
      <c r="J959">
        <v>23973</v>
      </c>
    </row>
    <row r="960" spans="1:10" x14ac:dyDescent="0.2">
      <c r="A960">
        <v>959</v>
      </c>
      <c r="B960">
        <v>2016</v>
      </c>
      <c r="C960" t="s">
        <v>15</v>
      </c>
      <c r="D960" t="str">
        <f t="shared" si="47"/>
        <v>hydrogen vehicle</v>
      </c>
      <c r="E960" t="s">
        <v>18</v>
      </c>
      <c r="F960" t="s">
        <v>22</v>
      </c>
      <c r="G960" t="s">
        <v>33</v>
      </c>
      <c r="H960" t="str">
        <f t="shared" si="48"/>
        <v>出租车</v>
      </c>
      <c r="I960" t="str">
        <f t="shared" si="49"/>
        <v>Passenger LDV</v>
      </c>
      <c r="J960">
        <v>8</v>
      </c>
    </row>
    <row r="961" spans="1:10" x14ac:dyDescent="0.2">
      <c r="A961">
        <v>960</v>
      </c>
      <c r="B961">
        <v>2017</v>
      </c>
      <c r="C961" t="s">
        <v>15</v>
      </c>
      <c r="D961" t="str">
        <f t="shared" si="47"/>
        <v>hydrogen vehicle</v>
      </c>
      <c r="E961" t="s">
        <v>18</v>
      </c>
      <c r="F961" t="s">
        <v>22</v>
      </c>
      <c r="G961" t="s">
        <v>33</v>
      </c>
      <c r="H961" t="str">
        <f t="shared" si="48"/>
        <v>出租车</v>
      </c>
      <c r="I961" t="str">
        <f t="shared" si="49"/>
        <v>Passenger LDV</v>
      </c>
      <c r="J961">
        <v>50</v>
      </c>
    </row>
    <row r="962" spans="1:10" x14ac:dyDescent="0.2">
      <c r="A962">
        <v>961</v>
      </c>
      <c r="B962">
        <v>2021</v>
      </c>
      <c r="C962" t="s">
        <v>15</v>
      </c>
      <c r="D962" t="str">
        <f t="shared" ref="D962:D1025" si="50">VLOOKUP(C962,M$3:N$16,2,FALSE)</f>
        <v>hydrogen vehicle</v>
      </c>
      <c r="E962" t="s">
        <v>18</v>
      </c>
      <c r="F962" t="s">
        <v>22</v>
      </c>
      <c r="G962" t="s">
        <v>33</v>
      </c>
      <c r="H962" t="str">
        <f t="shared" si="48"/>
        <v>出租车</v>
      </c>
      <c r="I962" t="str">
        <f t="shared" si="49"/>
        <v>Passenger LDV</v>
      </c>
      <c r="J962">
        <v>9</v>
      </c>
    </row>
    <row r="963" spans="1:10" x14ac:dyDescent="0.2">
      <c r="A963">
        <v>962</v>
      </c>
      <c r="B963">
        <v>2019</v>
      </c>
      <c r="C963" t="s">
        <v>16</v>
      </c>
      <c r="D963" t="str">
        <f t="shared" si="50"/>
        <v>natural gas vehicle</v>
      </c>
      <c r="E963" t="s">
        <v>18</v>
      </c>
      <c r="F963" t="s">
        <v>22</v>
      </c>
      <c r="G963" t="s">
        <v>33</v>
      </c>
      <c r="H963" t="str">
        <f t="shared" ref="H963:H1026" si="51">VLOOKUP(E963&amp;F963&amp;G963,$S$3:$U$68,2,FALSE)</f>
        <v>出租车</v>
      </c>
      <c r="I963" t="str">
        <f t="shared" ref="I963:I1026" si="52">VLOOKUP(E963&amp;F963&amp;G963,$S$3:$U$68,3,FALSE)</f>
        <v>Passenger LDV</v>
      </c>
      <c r="J963">
        <v>3298</v>
      </c>
    </row>
    <row r="964" spans="1:10" x14ac:dyDescent="0.2">
      <c r="A964">
        <v>963</v>
      </c>
      <c r="B964">
        <v>2020</v>
      </c>
      <c r="C964" t="s">
        <v>16</v>
      </c>
      <c r="D964" t="str">
        <f t="shared" si="50"/>
        <v>natural gas vehicle</v>
      </c>
      <c r="E964" t="s">
        <v>18</v>
      </c>
      <c r="F964" t="s">
        <v>22</v>
      </c>
      <c r="G964" t="s">
        <v>33</v>
      </c>
      <c r="H964" t="str">
        <f t="shared" si="51"/>
        <v>出租车</v>
      </c>
      <c r="I964" t="str">
        <f t="shared" si="52"/>
        <v>Passenger LDV</v>
      </c>
      <c r="J964">
        <v>15791</v>
      </c>
    </row>
    <row r="965" spans="1:10" x14ac:dyDescent="0.2">
      <c r="A965">
        <v>964</v>
      </c>
      <c r="B965">
        <v>2021</v>
      </c>
      <c r="C965" t="s">
        <v>16</v>
      </c>
      <c r="D965" t="str">
        <f t="shared" si="50"/>
        <v>natural gas vehicle</v>
      </c>
      <c r="E965" t="s">
        <v>18</v>
      </c>
      <c r="F965" t="s">
        <v>22</v>
      </c>
      <c r="G965" t="s">
        <v>33</v>
      </c>
      <c r="H965" t="str">
        <f t="shared" si="51"/>
        <v>出租车</v>
      </c>
      <c r="I965" t="str">
        <f t="shared" si="52"/>
        <v>Passenger LDV</v>
      </c>
      <c r="J965">
        <v>16214</v>
      </c>
    </row>
    <row r="966" spans="1:10" x14ac:dyDescent="0.2">
      <c r="A966">
        <v>965</v>
      </c>
      <c r="B966">
        <v>2021</v>
      </c>
      <c r="C966" t="s">
        <v>36</v>
      </c>
      <c r="D966" t="str">
        <f t="shared" si="50"/>
        <v>hybrid fuel vehicle</v>
      </c>
      <c r="E966" t="s">
        <v>18</v>
      </c>
      <c r="F966" t="s">
        <v>22</v>
      </c>
      <c r="G966" t="s">
        <v>33</v>
      </c>
      <c r="H966" t="str">
        <f t="shared" si="51"/>
        <v>出租车</v>
      </c>
      <c r="I966" t="str">
        <f t="shared" si="52"/>
        <v>Passenger LDV</v>
      </c>
      <c r="J966">
        <v>180</v>
      </c>
    </row>
    <row r="967" spans="1:10" x14ac:dyDescent="0.2">
      <c r="A967">
        <v>966</v>
      </c>
      <c r="B967">
        <v>2015</v>
      </c>
      <c r="C967" t="s">
        <v>10</v>
      </c>
      <c r="D967" t="str">
        <f t="shared" si="50"/>
        <v>diesel vehicle</v>
      </c>
      <c r="E967" t="s">
        <v>20</v>
      </c>
      <c r="F967" t="s">
        <v>22</v>
      </c>
      <c r="G967" t="s">
        <v>33</v>
      </c>
      <c r="H967" t="str">
        <f t="shared" si="51"/>
        <v>道路客车</v>
      </c>
      <c r="I967" t="str">
        <f t="shared" si="52"/>
        <v>Passenger HDV</v>
      </c>
      <c r="J967">
        <v>5</v>
      </c>
    </row>
    <row r="968" spans="1:10" x14ac:dyDescent="0.2">
      <c r="A968">
        <v>967</v>
      </c>
      <c r="B968">
        <v>2015</v>
      </c>
      <c r="C968" t="s">
        <v>13</v>
      </c>
      <c r="D968" t="str">
        <f t="shared" si="50"/>
        <v>gasoline vehicle</v>
      </c>
      <c r="E968" t="s">
        <v>20</v>
      </c>
      <c r="F968" t="s">
        <v>22</v>
      </c>
      <c r="G968" t="s">
        <v>33</v>
      </c>
      <c r="H968" t="str">
        <f t="shared" si="51"/>
        <v>道路客车</v>
      </c>
      <c r="I968" t="str">
        <f t="shared" si="52"/>
        <v>Passenger HDV</v>
      </c>
      <c r="J968">
        <v>6</v>
      </c>
    </row>
    <row r="969" spans="1:10" x14ac:dyDescent="0.2">
      <c r="A969">
        <v>968</v>
      </c>
      <c r="B969">
        <v>2016</v>
      </c>
      <c r="C969" t="s">
        <v>13</v>
      </c>
      <c r="D969" t="str">
        <f t="shared" si="50"/>
        <v>gasoline vehicle</v>
      </c>
      <c r="E969" t="s">
        <v>20</v>
      </c>
      <c r="F969" t="s">
        <v>22</v>
      </c>
      <c r="G969" t="s">
        <v>33</v>
      </c>
      <c r="H969" t="str">
        <f t="shared" si="51"/>
        <v>道路客车</v>
      </c>
      <c r="I969" t="str">
        <f t="shared" si="52"/>
        <v>Passenger HDV</v>
      </c>
      <c r="J969">
        <v>6</v>
      </c>
    </row>
    <row r="970" spans="1:10" x14ac:dyDescent="0.2">
      <c r="A970">
        <v>969</v>
      </c>
      <c r="B970">
        <v>2018</v>
      </c>
      <c r="C970" t="s">
        <v>13</v>
      </c>
      <c r="D970" t="str">
        <f t="shared" si="50"/>
        <v>gasoline vehicle</v>
      </c>
      <c r="E970" t="s">
        <v>20</v>
      </c>
      <c r="F970" t="s">
        <v>22</v>
      </c>
      <c r="G970" t="s">
        <v>33</v>
      </c>
      <c r="H970" t="str">
        <f t="shared" si="51"/>
        <v>道路客车</v>
      </c>
      <c r="I970" t="str">
        <f t="shared" si="52"/>
        <v>Passenger HDV</v>
      </c>
      <c r="J970">
        <v>4</v>
      </c>
    </row>
    <row r="971" spans="1:10" x14ac:dyDescent="0.2">
      <c r="A971">
        <v>970</v>
      </c>
      <c r="B971">
        <v>2020</v>
      </c>
      <c r="C971" t="s">
        <v>13</v>
      </c>
      <c r="D971" t="str">
        <f t="shared" si="50"/>
        <v>gasoline vehicle</v>
      </c>
      <c r="E971" t="s">
        <v>20</v>
      </c>
      <c r="F971" t="s">
        <v>22</v>
      </c>
      <c r="G971" t="s">
        <v>33</v>
      </c>
      <c r="H971" t="str">
        <f t="shared" si="51"/>
        <v>道路客车</v>
      </c>
      <c r="I971" t="str">
        <f t="shared" si="52"/>
        <v>Passenger HDV</v>
      </c>
      <c r="J971">
        <v>3</v>
      </c>
    </row>
    <row r="972" spans="1:10" x14ac:dyDescent="0.2">
      <c r="A972">
        <v>971</v>
      </c>
      <c r="B972">
        <v>2021</v>
      </c>
      <c r="C972" t="s">
        <v>13</v>
      </c>
      <c r="D972" t="str">
        <f t="shared" si="50"/>
        <v>gasoline vehicle</v>
      </c>
      <c r="E972" t="s">
        <v>20</v>
      </c>
      <c r="F972" t="s">
        <v>22</v>
      </c>
      <c r="G972" t="s">
        <v>33</v>
      </c>
      <c r="H972" t="str">
        <f t="shared" si="51"/>
        <v>道路客车</v>
      </c>
      <c r="I972" t="str">
        <f t="shared" si="52"/>
        <v>Passenger HDV</v>
      </c>
      <c r="J972">
        <v>2</v>
      </c>
    </row>
    <row r="973" spans="1:10" x14ac:dyDescent="0.2">
      <c r="A973">
        <v>972</v>
      </c>
      <c r="B973">
        <v>2021</v>
      </c>
      <c r="C973" t="s">
        <v>6</v>
      </c>
      <c r="D973" t="str">
        <f t="shared" si="50"/>
        <v>plugin hybrid vehicle</v>
      </c>
      <c r="E973" t="s">
        <v>34</v>
      </c>
      <c r="F973" t="s">
        <v>25</v>
      </c>
      <c r="G973" t="s">
        <v>33</v>
      </c>
      <c r="H973" t="str">
        <f t="shared" si="51"/>
        <v>乘用车</v>
      </c>
      <c r="I973" t="str">
        <f t="shared" si="52"/>
        <v>Unknown</v>
      </c>
      <c r="J973">
        <v>6002</v>
      </c>
    </row>
    <row r="974" spans="1:10" x14ac:dyDescent="0.2">
      <c r="A974">
        <v>973</v>
      </c>
      <c r="B974">
        <v>2021</v>
      </c>
      <c r="C974" t="s">
        <v>10</v>
      </c>
      <c r="D974" t="str">
        <f t="shared" si="50"/>
        <v>diesel vehicle</v>
      </c>
      <c r="E974" t="s">
        <v>34</v>
      </c>
      <c r="F974" t="s">
        <v>25</v>
      </c>
      <c r="G974" t="s">
        <v>33</v>
      </c>
      <c r="H974" t="str">
        <f t="shared" si="51"/>
        <v>乘用车</v>
      </c>
      <c r="I974" t="str">
        <f t="shared" si="52"/>
        <v>Unknown</v>
      </c>
      <c r="J974">
        <v>71</v>
      </c>
    </row>
    <row r="975" spans="1:10" x14ac:dyDescent="0.2">
      <c r="A975">
        <v>974</v>
      </c>
      <c r="B975">
        <v>2021</v>
      </c>
      <c r="C975" t="s">
        <v>11</v>
      </c>
      <c r="D975" t="str">
        <f t="shared" si="50"/>
        <v>battery electric vehicle</v>
      </c>
      <c r="E975" t="s">
        <v>34</v>
      </c>
      <c r="F975" t="s">
        <v>25</v>
      </c>
      <c r="G975" t="s">
        <v>33</v>
      </c>
      <c r="H975" t="str">
        <f t="shared" si="51"/>
        <v>乘用车</v>
      </c>
      <c r="I975" t="str">
        <f t="shared" si="52"/>
        <v>Unknown</v>
      </c>
      <c r="J975">
        <v>2796</v>
      </c>
    </row>
    <row r="976" spans="1:10" x14ac:dyDescent="0.2">
      <c r="A976">
        <v>975</v>
      </c>
      <c r="B976">
        <v>2021</v>
      </c>
      <c r="C976" t="s">
        <v>12</v>
      </c>
      <c r="D976" t="str">
        <f t="shared" si="50"/>
        <v>hybrid fuel vehicle</v>
      </c>
      <c r="E976" t="s">
        <v>34</v>
      </c>
      <c r="F976" t="s">
        <v>25</v>
      </c>
      <c r="G976" t="s">
        <v>33</v>
      </c>
      <c r="H976" t="str">
        <f t="shared" si="51"/>
        <v>乘用车</v>
      </c>
      <c r="I976" t="str">
        <f t="shared" si="52"/>
        <v>Unknown</v>
      </c>
      <c r="J976">
        <v>22970</v>
      </c>
    </row>
    <row r="977" spans="1:10" x14ac:dyDescent="0.2">
      <c r="A977">
        <v>976</v>
      </c>
      <c r="B977">
        <v>2021</v>
      </c>
      <c r="C977" t="s">
        <v>13</v>
      </c>
      <c r="D977" t="str">
        <f t="shared" si="50"/>
        <v>gasoline vehicle</v>
      </c>
      <c r="E977" t="s">
        <v>34</v>
      </c>
      <c r="F977" t="s">
        <v>25</v>
      </c>
      <c r="G977" t="s">
        <v>33</v>
      </c>
      <c r="H977" t="str">
        <f t="shared" si="51"/>
        <v>乘用车</v>
      </c>
      <c r="I977" t="str">
        <f t="shared" si="52"/>
        <v>Unknown</v>
      </c>
      <c r="J977">
        <v>166821</v>
      </c>
    </row>
    <row r="978" spans="1:10" x14ac:dyDescent="0.2">
      <c r="A978">
        <v>977</v>
      </c>
      <c r="B978">
        <v>2015</v>
      </c>
      <c r="C978" t="s">
        <v>13</v>
      </c>
      <c r="D978" t="str">
        <f t="shared" si="50"/>
        <v>gasoline vehicle</v>
      </c>
      <c r="E978" t="s">
        <v>7</v>
      </c>
      <c r="F978" t="s">
        <v>25</v>
      </c>
      <c r="G978" t="s">
        <v>33</v>
      </c>
      <c r="H978" t="str">
        <f t="shared" si="51"/>
        <v>道路客车</v>
      </c>
      <c r="I978" t="str">
        <f t="shared" si="52"/>
        <v>Passenger HDV</v>
      </c>
      <c r="J978">
        <v>6</v>
      </c>
    </row>
    <row r="979" spans="1:10" x14ac:dyDescent="0.2">
      <c r="A979">
        <v>978</v>
      </c>
      <c r="B979">
        <v>2016</v>
      </c>
      <c r="C979" t="s">
        <v>13</v>
      </c>
      <c r="D979" t="str">
        <f t="shared" si="50"/>
        <v>gasoline vehicle</v>
      </c>
      <c r="E979" t="s">
        <v>7</v>
      </c>
      <c r="F979" t="s">
        <v>25</v>
      </c>
      <c r="G979" t="s">
        <v>33</v>
      </c>
      <c r="H979" t="str">
        <f t="shared" si="51"/>
        <v>道路客车</v>
      </c>
      <c r="I979" t="str">
        <f t="shared" si="52"/>
        <v>Passenger HDV</v>
      </c>
      <c r="J979">
        <v>1</v>
      </c>
    </row>
    <row r="980" spans="1:10" x14ac:dyDescent="0.2">
      <c r="A980">
        <v>979</v>
      </c>
      <c r="B980">
        <v>2017</v>
      </c>
      <c r="C980" t="s">
        <v>13</v>
      </c>
      <c r="D980" t="str">
        <f t="shared" si="50"/>
        <v>gasoline vehicle</v>
      </c>
      <c r="E980" t="s">
        <v>7</v>
      </c>
      <c r="F980" t="s">
        <v>25</v>
      </c>
      <c r="G980" t="s">
        <v>33</v>
      </c>
      <c r="H980" t="str">
        <f t="shared" si="51"/>
        <v>道路客车</v>
      </c>
      <c r="I980" t="str">
        <f t="shared" si="52"/>
        <v>Passenger HDV</v>
      </c>
      <c r="J980">
        <v>2</v>
      </c>
    </row>
    <row r="981" spans="1:10" x14ac:dyDescent="0.2">
      <c r="A981">
        <v>980</v>
      </c>
      <c r="B981">
        <v>2015</v>
      </c>
      <c r="C981" t="s">
        <v>11</v>
      </c>
      <c r="D981" t="str">
        <f t="shared" si="50"/>
        <v>battery electric vehicle</v>
      </c>
      <c r="E981" t="s">
        <v>28</v>
      </c>
      <c r="F981" t="s">
        <v>25</v>
      </c>
      <c r="G981" t="s">
        <v>33</v>
      </c>
      <c r="H981" t="str">
        <f t="shared" si="51"/>
        <v>乘用车</v>
      </c>
      <c r="I981" t="str">
        <f t="shared" si="52"/>
        <v>Passenger LDV</v>
      </c>
      <c r="J981">
        <v>50596</v>
      </c>
    </row>
    <row r="982" spans="1:10" x14ac:dyDescent="0.2">
      <c r="A982">
        <v>981</v>
      </c>
      <c r="B982">
        <v>2016</v>
      </c>
      <c r="C982" t="s">
        <v>11</v>
      </c>
      <c r="D982" t="str">
        <f t="shared" si="50"/>
        <v>battery electric vehicle</v>
      </c>
      <c r="E982" t="s">
        <v>28</v>
      </c>
      <c r="F982" t="s">
        <v>25</v>
      </c>
      <c r="G982" t="s">
        <v>33</v>
      </c>
      <c r="H982" t="str">
        <f t="shared" si="51"/>
        <v>乘用车</v>
      </c>
      <c r="I982" t="str">
        <f t="shared" si="52"/>
        <v>Passenger LDV</v>
      </c>
      <c r="J982">
        <v>49734</v>
      </c>
    </row>
    <row r="983" spans="1:10" x14ac:dyDescent="0.2">
      <c r="A983">
        <v>982</v>
      </c>
      <c r="B983">
        <v>2017</v>
      </c>
      <c r="C983" t="s">
        <v>11</v>
      </c>
      <c r="D983" t="str">
        <f t="shared" si="50"/>
        <v>battery electric vehicle</v>
      </c>
      <c r="E983" t="s">
        <v>28</v>
      </c>
      <c r="F983" t="s">
        <v>25</v>
      </c>
      <c r="G983" t="s">
        <v>33</v>
      </c>
      <c r="H983" t="str">
        <f t="shared" si="51"/>
        <v>乘用车</v>
      </c>
      <c r="I983" t="str">
        <f t="shared" si="52"/>
        <v>Passenger LDV</v>
      </c>
      <c r="J983">
        <v>116463</v>
      </c>
    </row>
    <row r="984" spans="1:10" x14ac:dyDescent="0.2">
      <c r="A984">
        <v>983</v>
      </c>
      <c r="B984">
        <v>2018</v>
      </c>
      <c r="C984" t="s">
        <v>11</v>
      </c>
      <c r="D984" t="str">
        <f t="shared" si="50"/>
        <v>battery electric vehicle</v>
      </c>
      <c r="E984" t="s">
        <v>28</v>
      </c>
      <c r="F984" t="s">
        <v>25</v>
      </c>
      <c r="G984" t="s">
        <v>33</v>
      </c>
      <c r="H984" t="str">
        <f t="shared" si="51"/>
        <v>乘用车</v>
      </c>
      <c r="I984" t="str">
        <f t="shared" si="52"/>
        <v>Passenger LDV</v>
      </c>
      <c r="J984">
        <v>112892</v>
      </c>
    </row>
    <row r="985" spans="1:10" x14ac:dyDescent="0.2">
      <c r="A985">
        <v>984</v>
      </c>
      <c r="B985">
        <v>2019</v>
      </c>
      <c r="C985" t="s">
        <v>11</v>
      </c>
      <c r="D985" t="str">
        <f t="shared" si="50"/>
        <v>battery electric vehicle</v>
      </c>
      <c r="E985" t="s">
        <v>28</v>
      </c>
      <c r="F985" t="s">
        <v>25</v>
      </c>
      <c r="G985" t="s">
        <v>33</v>
      </c>
      <c r="H985" t="str">
        <f t="shared" si="51"/>
        <v>乘用车</v>
      </c>
      <c r="I985" t="str">
        <f t="shared" si="52"/>
        <v>Passenger LDV</v>
      </c>
      <c r="J985">
        <v>105491</v>
      </c>
    </row>
    <row r="986" spans="1:10" x14ac:dyDescent="0.2">
      <c r="A986">
        <v>985</v>
      </c>
      <c r="B986">
        <v>2020</v>
      </c>
      <c r="C986" t="s">
        <v>11</v>
      </c>
      <c r="D986" t="str">
        <f t="shared" si="50"/>
        <v>battery electric vehicle</v>
      </c>
      <c r="E986" t="s">
        <v>28</v>
      </c>
      <c r="F986" t="s">
        <v>25</v>
      </c>
      <c r="G986" t="s">
        <v>33</v>
      </c>
      <c r="H986" t="str">
        <f t="shared" si="51"/>
        <v>乘用车</v>
      </c>
      <c r="I986" t="str">
        <f t="shared" si="52"/>
        <v>Passenger LDV</v>
      </c>
      <c r="J986">
        <v>259055</v>
      </c>
    </row>
    <row r="987" spans="1:10" x14ac:dyDescent="0.2">
      <c r="A987">
        <v>986</v>
      </c>
      <c r="B987">
        <v>2021</v>
      </c>
      <c r="C987" t="s">
        <v>11</v>
      </c>
      <c r="D987" t="str">
        <f t="shared" si="50"/>
        <v>battery electric vehicle</v>
      </c>
      <c r="E987" t="s">
        <v>28</v>
      </c>
      <c r="F987" t="s">
        <v>25</v>
      </c>
      <c r="G987" t="s">
        <v>33</v>
      </c>
      <c r="H987" t="str">
        <f t="shared" si="51"/>
        <v>乘用车</v>
      </c>
      <c r="I987" t="str">
        <f t="shared" si="52"/>
        <v>Passenger LDV</v>
      </c>
      <c r="J987">
        <v>630061</v>
      </c>
    </row>
    <row r="988" spans="1:10" x14ac:dyDescent="0.2">
      <c r="A988">
        <v>987</v>
      </c>
      <c r="B988">
        <v>2016</v>
      </c>
      <c r="C988" t="s">
        <v>12</v>
      </c>
      <c r="D988" t="str">
        <f t="shared" si="50"/>
        <v>hybrid fuel vehicle</v>
      </c>
      <c r="E988" t="s">
        <v>28</v>
      </c>
      <c r="F988" t="s">
        <v>25</v>
      </c>
      <c r="G988" t="s">
        <v>33</v>
      </c>
      <c r="H988" t="str">
        <f t="shared" si="51"/>
        <v>乘用车</v>
      </c>
      <c r="I988" t="str">
        <f t="shared" si="52"/>
        <v>Passenger LDV</v>
      </c>
      <c r="J988">
        <v>1</v>
      </c>
    </row>
    <row r="989" spans="1:10" x14ac:dyDescent="0.2">
      <c r="A989">
        <v>988</v>
      </c>
      <c r="B989">
        <v>2017</v>
      </c>
      <c r="C989" t="s">
        <v>12</v>
      </c>
      <c r="D989" t="str">
        <f t="shared" si="50"/>
        <v>hybrid fuel vehicle</v>
      </c>
      <c r="E989" t="s">
        <v>28</v>
      </c>
      <c r="F989" t="s">
        <v>25</v>
      </c>
      <c r="G989" t="s">
        <v>33</v>
      </c>
      <c r="H989" t="str">
        <f t="shared" si="51"/>
        <v>乘用车</v>
      </c>
      <c r="I989" t="str">
        <f t="shared" si="52"/>
        <v>Passenger LDV</v>
      </c>
      <c r="J989">
        <v>30</v>
      </c>
    </row>
    <row r="990" spans="1:10" x14ac:dyDescent="0.2">
      <c r="A990">
        <v>989</v>
      </c>
      <c r="B990">
        <v>2015</v>
      </c>
      <c r="C990" t="s">
        <v>13</v>
      </c>
      <c r="D990" t="str">
        <f t="shared" si="50"/>
        <v>gasoline vehicle</v>
      </c>
      <c r="E990" t="s">
        <v>28</v>
      </c>
      <c r="F990" t="s">
        <v>25</v>
      </c>
      <c r="G990" t="s">
        <v>33</v>
      </c>
      <c r="H990" t="str">
        <f t="shared" si="51"/>
        <v>乘用车</v>
      </c>
      <c r="I990" t="str">
        <f t="shared" si="52"/>
        <v>Passenger LDV</v>
      </c>
      <c r="J990">
        <v>37507</v>
      </c>
    </row>
    <row r="991" spans="1:10" x14ac:dyDescent="0.2">
      <c r="A991">
        <v>990</v>
      </c>
      <c r="B991">
        <v>2016</v>
      </c>
      <c r="C991" t="s">
        <v>13</v>
      </c>
      <c r="D991" t="str">
        <f t="shared" si="50"/>
        <v>gasoline vehicle</v>
      </c>
      <c r="E991" t="s">
        <v>28</v>
      </c>
      <c r="F991" t="s">
        <v>25</v>
      </c>
      <c r="G991" t="s">
        <v>33</v>
      </c>
      <c r="H991" t="str">
        <f t="shared" si="51"/>
        <v>乘用车</v>
      </c>
      <c r="I991" t="str">
        <f t="shared" si="52"/>
        <v>Passenger LDV</v>
      </c>
      <c r="J991">
        <v>19445</v>
      </c>
    </row>
    <row r="992" spans="1:10" x14ac:dyDescent="0.2">
      <c r="A992">
        <v>991</v>
      </c>
      <c r="B992">
        <v>2017</v>
      </c>
      <c r="C992" t="s">
        <v>13</v>
      </c>
      <c r="D992" t="str">
        <f t="shared" si="50"/>
        <v>gasoline vehicle</v>
      </c>
      <c r="E992" t="s">
        <v>28</v>
      </c>
      <c r="F992" t="s">
        <v>25</v>
      </c>
      <c r="G992" t="s">
        <v>33</v>
      </c>
      <c r="H992" t="str">
        <f t="shared" si="51"/>
        <v>乘用车</v>
      </c>
      <c r="I992" t="str">
        <f t="shared" si="52"/>
        <v>Passenger LDV</v>
      </c>
      <c r="J992">
        <v>9975</v>
      </c>
    </row>
    <row r="993" spans="1:10" x14ac:dyDescent="0.2">
      <c r="A993">
        <v>992</v>
      </c>
      <c r="B993">
        <v>2018</v>
      </c>
      <c r="C993" t="s">
        <v>13</v>
      </c>
      <c r="D993" t="str">
        <f t="shared" si="50"/>
        <v>gasoline vehicle</v>
      </c>
      <c r="E993" t="s">
        <v>28</v>
      </c>
      <c r="F993" t="s">
        <v>25</v>
      </c>
      <c r="G993" t="s">
        <v>33</v>
      </c>
      <c r="H993" t="str">
        <f t="shared" si="51"/>
        <v>乘用车</v>
      </c>
      <c r="I993" t="str">
        <f t="shared" si="52"/>
        <v>Passenger LDV</v>
      </c>
      <c r="J993">
        <v>4731</v>
      </c>
    </row>
    <row r="994" spans="1:10" x14ac:dyDescent="0.2">
      <c r="A994">
        <v>993</v>
      </c>
      <c r="B994">
        <v>2019</v>
      </c>
      <c r="C994" t="s">
        <v>13</v>
      </c>
      <c r="D994" t="str">
        <f t="shared" si="50"/>
        <v>gasoline vehicle</v>
      </c>
      <c r="E994" t="s">
        <v>28</v>
      </c>
      <c r="F994" t="s">
        <v>25</v>
      </c>
      <c r="G994" t="s">
        <v>33</v>
      </c>
      <c r="H994" t="str">
        <f t="shared" si="51"/>
        <v>乘用车</v>
      </c>
      <c r="I994" t="str">
        <f t="shared" si="52"/>
        <v>Passenger LDV</v>
      </c>
      <c r="J994">
        <v>350</v>
      </c>
    </row>
    <row r="995" spans="1:10" x14ac:dyDescent="0.2">
      <c r="A995">
        <v>994</v>
      </c>
      <c r="B995">
        <v>2020</v>
      </c>
      <c r="C995" t="s">
        <v>13</v>
      </c>
      <c r="D995" t="str">
        <f t="shared" si="50"/>
        <v>gasoline vehicle</v>
      </c>
      <c r="E995" t="s">
        <v>28</v>
      </c>
      <c r="F995" t="s">
        <v>25</v>
      </c>
      <c r="G995" t="s">
        <v>33</v>
      </c>
      <c r="H995" t="str">
        <f t="shared" si="51"/>
        <v>乘用车</v>
      </c>
      <c r="I995" t="str">
        <f t="shared" si="52"/>
        <v>Passenger LDV</v>
      </c>
      <c r="J995">
        <v>19</v>
      </c>
    </row>
    <row r="996" spans="1:10" x14ac:dyDescent="0.2">
      <c r="A996">
        <v>995</v>
      </c>
      <c r="B996">
        <v>2021</v>
      </c>
      <c r="C996" t="s">
        <v>13</v>
      </c>
      <c r="D996" t="str">
        <f t="shared" si="50"/>
        <v>gasoline vehicle</v>
      </c>
      <c r="E996" t="s">
        <v>28</v>
      </c>
      <c r="F996" t="s">
        <v>25</v>
      </c>
      <c r="G996" t="s">
        <v>33</v>
      </c>
      <c r="H996" t="str">
        <f t="shared" si="51"/>
        <v>乘用车</v>
      </c>
      <c r="I996" t="str">
        <f t="shared" si="52"/>
        <v>Passenger LDV</v>
      </c>
      <c r="J996">
        <v>10</v>
      </c>
    </row>
    <row r="997" spans="1:10" x14ac:dyDescent="0.2">
      <c r="A997">
        <v>996</v>
      </c>
      <c r="B997">
        <v>2015</v>
      </c>
      <c r="C997" t="s">
        <v>6</v>
      </c>
      <c r="D997" t="str">
        <f t="shared" si="50"/>
        <v>plugin hybrid vehicle</v>
      </c>
      <c r="E997" t="s">
        <v>18</v>
      </c>
      <c r="F997" t="s">
        <v>25</v>
      </c>
      <c r="G997" t="s">
        <v>33</v>
      </c>
      <c r="H997" t="str">
        <f t="shared" si="51"/>
        <v>乘用车</v>
      </c>
      <c r="I997" t="str">
        <f t="shared" si="52"/>
        <v>Passenger LDV</v>
      </c>
      <c r="J997">
        <v>10033</v>
      </c>
    </row>
    <row r="998" spans="1:10" x14ac:dyDescent="0.2">
      <c r="A998">
        <v>997</v>
      </c>
      <c r="B998">
        <v>2016</v>
      </c>
      <c r="C998" t="s">
        <v>6</v>
      </c>
      <c r="D998" t="str">
        <f t="shared" si="50"/>
        <v>plugin hybrid vehicle</v>
      </c>
      <c r="E998" t="s">
        <v>18</v>
      </c>
      <c r="F998" t="s">
        <v>25</v>
      </c>
      <c r="G998" t="s">
        <v>33</v>
      </c>
      <c r="H998" t="str">
        <f t="shared" si="51"/>
        <v>乘用车</v>
      </c>
      <c r="I998" t="str">
        <f t="shared" si="52"/>
        <v>Passenger LDV</v>
      </c>
      <c r="J998">
        <v>21920</v>
      </c>
    </row>
    <row r="999" spans="1:10" x14ac:dyDescent="0.2">
      <c r="A999">
        <v>998</v>
      </c>
      <c r="B999">
        <v>2017</v>
      </c>
      <c r="C999" t="s">
        <v>6</v>
      </c>
      <c r="D999" t="str">
        <f t="shared" si="50"/>
        <v>plugin hybrid vehicle</v>
      </c>
      <c r="E999" t="s">
        <v>18</v>
      </c>
      <c r="F999" t="s">
        <v>25</v>
      </c>
      <c r="G999" t="s">
        <v>33</v>
      </c>
      <c r="H999" t="str">
        <f t="shared" si="51"/>
        <v>乘用车</v>
      </c>
      <c r="I999" t="str">
        <f t="shared" si="52"/>
        <v>Passenger LDV</v>
      </c>
      <c r="J999">
        <v>54561</v>
      </c>
    </row>
    <row r="1000" spans="1:10" x14ac:dyDescent="0.2">
      <c r="A1000">
        <v>999</v>
      </c>
      <c r="B1000">
        <v>2018</v>
      </c>
      <c r="C1000" t="s">
        <v>6</v>
      </c>
      <c r="D1000" t="str">
        <f t="shared" si="50"/>
        <v>plugin hybrid vehicle</v>
      </c>
      <c r="E1000" t="s">
        <v>18</v>
      </c>
      <c r="F1000" t="s">
        <v>25</v>
      </c>
      <c r="G1000" t="s">
        <v>33</v>
      </c>
      <c r="H1000" t="str">
        <f t="shared" si="51"/>
        <v>乘用车</v>
      </c>
      <c r="I1000" t="str">
        <f t="shared" si="52"/>
        <v>Passenger LDV</v>
      </c>
      <c r="J1000">
        <v>177496</v>
      </c>
    </row>
    <row r="1001" spans="1:10" x14ac:dyDescent="0.2">
      <c r="A1001">
        <v>1000</v>
      </c>
      <c r="B1001">
        <v>2019</v>
      </c>
      <c r="C1001" t="s">
        <v>6</v>
      </c>
      <c r="D1001" t="str">
        <f t="shared" si="50"/>
        <v>plugin hybrid vehicle</v>
      </c>
      <c r="E1001" t="s">
        <v>18</v>
      </c>
      <c r="F1001" t="s">
        <v>25</v>
      </c>
      <c r="G1001" t="s">
        <v>33</v>
      </c>
      <c r="H1001" t="str">
        <f t="shared" si="51"/>
        <v>乘用车</v>
      </c>
      <c r="I1001" t="str">
        <f t="shared" si="52"/>
        <v>Passenger LDV</v>
      </c>
      <c r="J1001">
        <v>183559</v>
      </c>
    </row>
    <row r="1002" spans="1:10" x14ac:dyDescent="0.2">
      <c r="A1002">
        <v>1001</v>
      </c>
      <c r="B1002">
        <v>2020</v>
      </c>
      <c r="C1002" t="s">
        <v>6</v>
      </c>
      <c r="D1002" t="str">
        <f t="shared" si="50"/>
        <v>plugin hybrid vehicle</v>
      </c>
      <c r="E1002" t="s">
        <v>18</v>
      </c>
      <c r="F1002" t="s">
        <v>25</v>
      </c>
      <c r="G1002" t="s">
        <v>33</v>
      </c>
      <c r="H1002" t="str">
        <f t="shared" si="51"/>
        <v>乘用车</v>
      </c>
      <c r="I1002" t="str">
        <f t="shared" si="52"/>
        <v>Passenger LDV</v>
      </c>
      <c r="J1002">
        <v>195072</v>
      </c>
    </row>
    <row r="1003" spans="1:10" x14ac:dyDescent="0.2">
      <c r="A1003">
        <v>1002</v>
      </c>
      <c r="B1003">
        <v>2021</v>
      </c>
      <c r="C1003" t="s">
        <v>6</v>
      </c>
      <c r="D1003" t="str">
        <f t="shared" si="50"/>
        <v>plugin hybrid vehicle</v>
      </c>
      <c r="E1003" t="s">
        <v>18</v>
      </c>
      <c r="F1003" t="s">
        <v>25</v>
      </c>
      <c r="G1003" t="s">
        <v>33</v>
      </c>
      <c r="H1003" t="str">
        <f t="shared" si="51"/>
        <v>乘用车</v>
      </c>
      <c r="I1003" t="str">
        <f t="shared" si="52"/>
        <v>Passenger LDV</v>
      </c>
      <c r="J1003">
        <v>402729</v>
      </c>
    </row>
    <row r="1004" spans="1:10" x14ac:dyDescent="0.2">
      <c r="A1004">
        <v>1003</v>
      </c>
      <c r="B1004">
        <v>2015</v>
      </c>
      <c r="C1004" t="s">
        <v>10</v>
      </c>
      <c r="D1004" t="str">
        <f t="shared" si="50"/>
        <v>diesel vehicle</v>
      </c>
      <c r="E1004" t="s">
        <v>18</v>
      </c>
      <c r="F1004" t="s">
        <v>25</v>
      </c>
      <c r="G1004" t="s">
        <v>33</v>
      </c>
      <c r="H1004" t="str">
        <f t="shared" si="51"/>
        <v>乘用车</v>
      </c>
      <c r="I1004" t="str">
        <f t="shared" si="52"/>
        <v>Passenger LDV</v>
      </c>
      <c r="J1004">
        <v>89397</v>
      </c>
    </row>
    <row r="1005" spans="1:10" x14ac:dyDescent="0.2">
      <c r="A1005">
        <v>1004</v>
      </c>
      <c r="B1005">
        <v>2016</v>
      </c>
      <c r="C1005" t="s">
        <v>10</v>
      </c>
      <c r="D1005" t="str">
        <f t="shared" si="50"/>
        <v>diesel vehicle</v>
      </c>
      <c r="E1005" t="s">
        <v>18</v>
      </c>
      <c r="F1005" t="s">
        <v>25</v>
      </c>
      <c r="G1005" t="s">
        <v>33</v>
      </c>
      <c r="H1005" t="str">
        <f t="shared" si="51"/>
        <v>乘用车</v>
      </c>
      <c r="I1005" t="str">
        <f t="shared" si="52"/>
        <v>Passenger LDV</v>
      </c>
      <c r="J1005">
        <v>44086</v>
      </c>
    </row>
    <row r="1006" spans="1:10" x14ac:dyDescent="0.2">
      <c r="A1006">
        <v>1005</v>
      </c>
      <c r="B1006">
        <v>2017</v>
      </c>
      <c r="C1006" t="s">
        <v>10</v>
      </c>
      <c r="D1006" t="str">
        <f t="shared" si="50"/>
        <v>diesel vehicle</v>
      </c>
      <c r="E1006" t="s">
        <v>18</v>
      </c>
      <c r="F1006" t="s">
        <v>25</v>
      </c>
      <c r="G1006" t="s">
        <v>33</v>
      </c>
      <c r="H1006" t="str">
        <f t="shared" si="51"/>
        <v>乘用车</v>
      </c>
      <c r="I1006" t="str">
        <f t="shared" si="52"/>
        <v>Passenger LDV</v>
      </c>
      <c r="J1006">
        <v>46863</v>
      </c>
    </row>
    <row r="1007" spans="1:10" x14ac:dyDescent="0.2">
      <c r="A1007">
        <v>1006</v>
      </c>
      <c r="B1007">
        <v>2018</v>
      </c>
      <c r="C1007" t="s">
        <v>10</v>
      </c>
      <c r="D1007" t="str">
        <f t="shared" si="50"/>
        <v>diesel vehicle</v>
      </c>
      <c r="E1007" t="s">
        <v>18</v>
      </c>
      <c r="F1007" t="s">
        <v>25</v>
      </c>
      <c r="G1007" t="s">
        <v>33</v>
      </c>
      <c r="H1007" t="str">
        <f t="shared" si="51"/>
        <v>乘用车</v>
      </c>
      <c r="I1007" t="str">
        <f t="shared" si="52"/>
        <v>Passenger LDV</v>
      </c>
      <c r="J1007">
        <v>59338</v>
      </c>
    </row>
    <row r="1008" spans="1:10" x14ac:dyDescent="0.2">
      <c r="A1008">
        <v>1007</v>
      </c>
      <c r="B1008">
        <v>2019</v>
      </c>
      <c r="C1008" t="s">
        <v>10</v>
      </c>
      <c r="D1008" t="str">
        <f t="shared" si="50"/>
        <v>diesel vehicle</v>
      </c>
      <c r="E1008" t="s">
        <v>18</v>
      </c>
      <c r="F1008" t="s">
        <v>25</v>
      </c>
      <c r="G1008" t="s">
        <v>33</v>
      </c>
      <c r="H1008" t="str">
        <f t="shared" si="51"/>
        <v>乘用车</v>
      </c>
      <c r="I1008" t="str">
        <f t="shared" si="52"/>
        <v>Passenger LDV</v>
      </c>
      <c r="J1008">
        <v>31156</v>
      </c>
    </row>
    <row r="1009" spans="1:10" x14ac:dyDescent="0.2">
      <c r="A1009">
        <v>1008</v>
      </c>
      <c r="B1009">
        <v>2020</v>
      </c>
      <c r="C1009" t="s">
        <v>10</v>
      </c>
      <c r="D1009" t="str">
        <f t="shared" si="50"/>
        <v>diesel vehicle</v>
      </c>
      <c r="E1009" t="s">
        <v>18</v>
      </c>
      <c r="F1009" t="s">
        <v>25</v>
      </c>
      <c r="G1009" t="s">
        <v>33</v>
      </c>
      <c r="H1009" t="str">
        <f t="shared" si="51"/>
        <v>乘用车</v>
      </c>
      <c r="I1009" t="str">
        <f t="shared" si="52"/>
        <v>Passenger LDV</v>
      </c>
      <c r="J1009">
        <v>12596</v>
      </c>
    </row>
    <row r="1010" spans="1:10" x14ac:dyDescent="0.2">
      <c r="A1010">
        <v>1009</v>
      </c>
      <c r="B1010">
        <v>2021</v>
      </c>
      <c r="C1010" t="s">
        <v>10</v>
      </c>
      <c r="D1010" t="str">
        <f t="shared" si="50"/>
        <v>diesel vehicle</v>
      </c>
      <c r="E1010" t="s">
        <v>18</v>
      </c>
      <c r="F1010" t="s">
        <v>25</v>
      </c>
      <c r="G1010" t="s">
        <v>33</v>
      </c>
      <c r="H1010" t="str">
        <f t="shared" si="51"/>
        <v>乘用车</v>
      </c>
      <c r="I1010" t="str">
        <f t="shared" si="52"/>
        <v>Passenger LDV</v>
      </c>
      <c r="J1010">
        <v>13608</v>
      </c>
    </row>
    <row r="1011" spans="1:10" x14ac:dyDescent="0.2">
      <c r="A1011">
        <v>1010</v>
      </c>
      <c r="B1011">
        <v>2015</v>
      </c>
      <c r="C1011" t="s">
        <v>11</v>
      </c>
      <c r="D1011" t="str">
        <f t="shared" si="50"/>
        <v>battery electric vehicle</v>
      </c>
      <c r="E1011" t="s">
        <v>18</v>
      </c>
      <c r="F1011" t="s">
        <v>25</v>
      </c>
      <c r="G1011" t="s">
        <v>33</v>
      </c>
      <c r="H1011" t="str">
        <f t="shared" si="51"/>
        <v>乘用车</v>
      </c>
      <c r="I1011" t="str">
        <f t="shared" si="52"/>
        <v>Passenger LDV</v>
      </c>
      <c r="J1011">
        <v>65615</v>
      </c>
    </row>
    <row r="1012" spans="1:10" x14ac:dyDescent="0.2">
      <c r="A1012">
        <v>1011</v>
      </c>
      <c r="B1012">
        <v>2016</v>
      </c>
      <c r="C1012" t="s">
        <v>11</v>
      </c>
      <c r="D1012" t="str">
        <f t="shared" si="50"/>
        <v>battery electric vehicle</v>
      </c>
      <c r="E1012" t="s">
        <v>18</v>
      </c>
      <c r="F1012" t="s">
        <v>25</v>
      </c>
      <c r="G1012" t="s">
        <v>33</v>
      </c>
      <c r="H1012" t="str">
        <f t="shared" si="51"/>
        <v>乘用车</v>
      </c>
      <c r="I1012" t="str">
        <f t="shared" si="52"/>
        <v>Passenger LDV</v>
      </c>
      <c r="J1012">
        <v>161933</v>
      </c>
    </row>
    <row r="1013" spans="1:10" x14ac:dyDescent="0.2">
      <c r="A1013">
        <v>1012</v>
      </c>
      <c r="B1013">
        <v>2017</v>
      </c>
      <c r="C1013" t="s">
        <v>11</v>
      </c>
      <c r="D1013" t="str">
        <f t="shared" si="50"/>
        <v>battery electric vehicle</v>
      </c>
      <c r="E1013" t="s">
        <v>18</v>
      </c>
      <c r="F1013" t="s">
        <v>25</v>
      </c>
      <c r="G1013" t="s">
        <v>33</v>
      </c>
      <c r="H1013" t="str">
        <f t="shared" si="51"/>
        <v>乘用车</v>
      </c>
      <c r="I1013" t="str">
        <f t="shared" si="52"/>
        <v>Passenger LDV</v>
      </c>
      <c r="J1013">
        <v>302364</v>
      </c>
    </row>
    <row r="1014" spans="1:10" x14ac:dyDescent="0.2">
      <c r="A1014">
        <v>1013</v>
      </c>
      <c r="B1014">
        <v>2018</v>
      </c>
      <c r="C1014" t="s">
        <v>11</v>
      </c>
      <c r="D1014" t="str">
        <f t="shared" si="50"/>
        <v>battery electric vehicle</v>
      </c>
      <c r="E1014" t="s">
        <v>18</v>
      </c>
      <c r="F1014" t="s">
        <v>25</v>
      </c>
      <c r="G1014" t="s">
        <v>33</v>
      </c>
      <c r="H1014" t="str">
        <f t="shared" si="51"/>
        <v>乘用车</v>
      </c>
      <c r="I1014" t="str">
        <f t="shared" si="52"/>
        <v>Passenger LDV</v>
      </c>
      <c r="J1014">
        <v>453899</v>
      </c>
    </row>
    <row r="1015" spans="1:10" x14ac:dyDescent="0.2">
      <c r="A1015">
        <v>1014</v>
      </c>
      <c r="B1015">
        <v>2019</v>
      </c>
      <c r="C1015" t="s">
        <v>11</v>
      </c>
      <c r="D1015" t="str">
        <f t="shared" si="50"/>
        <v>battery electric vehicle</v>
      </c>
      <c r="E1015" t="s">
        <v>18</v>
      </c>
      <c r="F1015" t="s">
        <v>25</v>
      </c>
      <c r="G1015" t="s">
        <v>33</v>
      </c>
      <c r="H1015" t="str">
        <f t="shared" si="51"/>
        <v>乘用车</v>
      </c>
      <c r="I1015" t="str">
        <f t="shared" si="52"/>
        <v>Passenger LDV</v>
      </c>
      <c r="J1015">
        <v>377257</v>
      </c>
    </row>
    <row r="1016" spans="1:10" x14ac:dyDescent="0.2">
      <c r="A1016">
        <v>1015</v>
      </c>
      <c r="B1016">
        <v>2020</v>
      </c>
      <c r="C1016" t="s">
        <v>11</v>
      </c>
      <c r="D1016" t="str">
        <f t="shared" si="50"/>
        <v>battery electric vehicle</v>
      </c>
      <c r="E1016" t="s">
        <v>18</v>
      </c>
      <c r="F1016" t="s">
        <v>25</v>
      </c>
      <c r="G1016" t="s">
        <v>33</v>
      </c>
      <c r="H1016" t="str">
        <f t="shared" si="51"/>
        <v>乘用车</v>
      </c>
      <c r="I1016" t="str">
        <f t="shared" si="52"/>
        <v>Passenger LDV</v>
      </c>
      <c r="J1016">
        <v>502760</v>
      </c>
    </row>
    <row r="1017" spans="1:10" x14ac:dyDescent="0.2">
      <c r="A1017">
        <v>1016</v>
      </c>
      <c r="B1017">
        <v>2021</v>
      </c>
      <c r="C1017" t="s">
        <v>11</v>
      </c>
      <c r="D1017" t="str">
        <f t="shared" si="50"/>
        <v>battery electric vehicle</v>
      </c>
      <c r="E1017" t="s">
        <v>18</v>
      </c>
      <c r="F1017" t="s">
        <v>25</v>
      </c>
      <c r="G1017" t="s">
        <v>33</v>
      </c>
      <c r="H1017" t="str">
        <f t="shared" si="51"/>
        <v>乘用车</v>
      </c>
      <c r="I1017" t="str">
        <f t="shared" si="52"/>
        <v>Passenger LDV</v>
      </c>
      <c r="J1017">
        <v>1414498</v>
      </c>
    </row>
    <row r="1018" spans="1:10" x14ac:dyDescent="0.2">
      <c r="A1018">
        <v>1017</v>
      </c>
      <c r="B1018">
        <v>2015</v>
      </c>
      <c r="C1018" t="s">
        <v>12</v>
      </c>
      <c r="D1018" t="str">
        <f t="shared" si="50"/>
        <v>hybrid fuel vehicle</v>
      </c>
      <c r="E1018" t="s">
        <v>18</v>
      </c>
      <c r="F1018" t="s">
        <v>25</v>
      </c>
      <c r="G1018" t="s">
        <v>33</v>
      </c>
      <c r="H1018" t="str">
        <f t="shared" si="51"/>
        <v>乘用车</v>
      </c>
      <c r="I1018" t="str">
        <f t="shared" si="52"/>
        <v>Passenger LDV</v>
      </c>
      <c r="J1018">
        <v>64210</v>
      </c>
    </row>
    <row r="1019" spans="1:10" x14ac:dyDescent="0.2">
      <c r="A1019">
        <v>1018</v>
      </c>
      <c r="B1019">
        <v>2016</v>
      </c>
      <c r="C1019" t="s">
        <v>12</v>
      </c>
      <c r="D1019" t="str">
        <f t="shared" si="50"/>
        <v>hybrid fuel vehicle</v>
      </c>
      <c r="E1019" t="s">
        <v>18</v>
      </c>
      <c r="F1019" t="s">
        <v>25</v>
      </c>
      <c r="G1019" t="s">
        <v>33</v>
      </c>
      <c r="H1019" t="str">
        <f t="shared" si="51"/>
        <v>乘用车</v>
      </c>
      <c r="I1019" t="str">
        <f t="shared" si="52"/>
        <v>Passenger LDV</v>
      </c>
      <c r="J1019">
        <v>154514</v>
      </c>
    </row>
    <row r="1020" spans="1:10" x14ac:dyDescent="0.2">
      <c r="A1020">
        <v>1019</v>
      </c>
      <c r="B1020">
        <v>2017</v>
      </c>
      <c r="C1020" t="s">
        <v>12</v>
      </c>
      <c r="D1020" t="str">
        <f t="shared" si="50"/>
        <v>hybrid fuel vehicle</v>
      </c>
      <c r="E1020" t="s">
        <v>18</v>
      </c>
      <c r="F1020" t="s">
        <v>25</v>
      </c>
      <c r="G1020" t="s">
        <v>33</v>
      </c>
      <c r="H1020" t="str">
        <f t="shared" si="51"/>
        <v>乘用车</v>
      </c>
      <c r="I1020" t="str">
        <f t="shared" si="52"/>
        <v>Passenger LDV</v>
      </c>
      <c r="J1020">
        <v>207831</v>
      </c>
    </row>
    <row r="1021" spans="1:10" x14ac:dyDescent="0.2">
      <c r="A1021">
        <v>1020</v>
      </c>
      <c r="B1021">
        <v>2018</v>
      </c>
      <c r="C1021" t="s">
        <v>12</v>
      </c>
      <c r="D1021" t="str">
        <f t="shared" si="50"/>
        <v>hybrid fuel vehicle</v>
      </c>
      <c r="E1021" t="s">
        <v>18</v>
      </c>
      <c r="F1021" t="s">
        <v>25</v>
      </c>
      <c r="G1021" t="s">
        <v>33</v>
      </c>
      <c r="H1021" t="str">
        <f t="shared" si="51"/>
        <v>乘用车</v>
      </c>
      <c r="I1021" t="str">
        <f t="shared" si="52"/>
        <v>Passenger LDV</v>
      </c>
      <c r="J1021">
        <v>285928</v>
      </c>
    </row>
    <row r="1022" spans="1:10" x14ac:dyDescent="0.2">
      <c r="A1022">
        <v>1021</v>
      </c>
      <c r="B1022">
        <v>2019</v>
      </c>
      <c r="C1022" t="s">
        <v>12</v>
      </c>
      <c r="D1022" t="str">
        <f t="shared" si="50"/>
        <v>hybrid fuel vehicle</v>
      </c>
      <c r="E1022" t="s">
        <v>18</v>
      </c>
      <c r="F1022" t="s">
        <v>25</v>
      </c>
      <c r="G1022" t="s">
        <v>33</v>
      </c>
      <c r="H1022" t="str">
        <f t="shared" si="51"/>
        <v>乘用车</v>
      </c>
      <c r="I1022" t="str">
        <f t="shared" si="52"/>
        <v>Passenger LDV</v>
      </c>
      <c r="J1022">
        <v>350626</v>
      </c>
    </row>
    <row r="1023" spans="1:10" x14ac:dyDescent="0.2">
      <c r="A1023">
        <v>1022</v>
      </c>
      <c r="B1023">
        <v>2020</v>
      </c>
      <c r="C1023" t="s">
        <v>12</v>
      </c>
      <c r="D1023" t="str">
        <f t="shared" si="50"/>
        <v>hybrid fuel vehicle</v>
      </c>
      <c r="E1023" t="s">
        <v>18</v>
      </c>
      <c r="F1023" t="s">
        <v>25</v>
      </c>
      <c r="G1023" t="s">
        <v>33</v>
      </c>
      <c r="H1023" t="str">
        <f t="shared" si="51"/>
        <v>乘用车</v>
      </c>
      <c r="I1023" t="str">
        <f t="shared" si="52"/>
        <v>Passenger LDV</v>
      </c>
      <c r="J1023">
        <v>536308</v>
      </c>
    </row>
    <row r="1024" spans="1:10" x14ac:dyDescent="0.2">
      <c r="A1024">
        <v>1023</v>
      </c>
      <c r="B1024">
        <v>2021</v>
      </c>
      <c r="C1024" t="s">
        <v>12</v>
      </c>
      <c r="D1024" t="str">
        <f t="shared" si="50"/>
        <v>hybrid fuel vehicle</v>
      </c>
      <c r="E1024" t="s">
        <v>18</v>
      </c>
      <c r="F1024" t="s">
        <v>25</v>
      </c>
      <c r="G1024" t="s">
        <v>33</v>
      </c>
      <c r="H1024" t="str">
        <f t="shared" si="51"/>
        <v>乘用车</v>
      </c>
      <c r="I1024" t="str">
        <f t="shared" si="52"/>
        <v>Passenger LDV</v>
      </c>
      <c r="J1024">
        <v>683525</v>
      </c>
    </row>
    <row r="1025" spans="1:10" x14ac:dyDescent="0.2">
      <c r="A1025">
        <v>1024</v>
      </c>
      <c r="B1025">
        <v>2015</v>
      </c>
      <c r="C1025" t="s">
        <v>26</v>
      </c>
      <c r="D1025" t="str">
        <f t="shared" si="50"/>
        <v>other fuel vehicle</v>
      </c>
      <c r="E1025" t="s">
        <v>18</v>
      </c>
      <c r="F1025" t="s">
        <v>25</v>
      </c>
      <c r="G1025" t="s">
        <v>33</v>
      </c>
      <c r="H1025" t="str">
        <f t="shared" si="51"/>
        <v>乘用车</v>
      </c>
      <c r="I1025" t="str">
        <f t="shared" si="52"/>
        <v>Passenger LDV</v>
      </c>
      <c r="J1025">
        <v>19</v>
      </c>
    </row>
    <row r="1026" spans="1:10" x14ac:dyDescent="0.2">
      <c r="A1026">
        <v>1025</v>
      </c>
      <c r="B1026">
        <v>2016</v>
      </c>
      <c r="C1026" t="s">
        <v>26</v>
      </c>
      <c r="D1026" t="str">
        <f t="shared" ref="D1026:D1089" si="53">VLOOKUP(C1026,M$3:N$16,2,FALSE)</f>
        <v>other fuel vehicle</v>
      </c>
      <c r="E1026" t="s">
        <v>18</v>
      </c>
      <c r="F1026" t="s">
        <v>25</v>
      </c>
      <c r="G1026" t="s">
        <v>33</v>
      </c>
      <c r="H1026" t="str">
        <f t="shared" si="51"/>
        <v>乘用车</v>
      </c>
      <c r="I1026" t="str">
        <f t="shared" si="52"/>
        <v>Passenger LDV</v>
      </c>
      <c r="J1026">
        <v>8</v>
      </c>
    </row>
    <row r="1027" spans="1:10" x14ac:dyDescent="0.2">
      <c r="A1027">
        <v>1026</v>
      </c>
      <c r="B1027">
        <v>2017</v>
      </c>
      <c r="C1027" t="s">
        <v>26</v>
      </c>
      <c r="D1027" t="str">
        <f t="shared" si="53"/>
        <v>other fuel vehicle</v>
      </c>
      <c r="E1027" t="s">
        <v>18</v>
      </c>
      <c r="F1027" t="s">
        <v>25</v>
      </c>
      <c r="G1027" t="s">
        <v>33</v>
      </c>
      <c r="H1027" t="str">
        <f t="shared" ref="H1027:H1090" si="54">VLOOKUP(E1027&amp;F1027&amp;G1027,$S$3:$U$68,2,FALSE)</f>
        <v>乘用车</v>
      </c>
      <c r="I1027" t="str">
        <f t="shared" ref="I1027:I1090" si="55">VLOOKUP(E1027&amp;F1027&amp;G1027,$S$3:$U$68,3,FALSE)</f>
        <v>Passenger LDV</v>
      </c>
      <c r="J1027">
        <v>420</v>
      </c>
    </row>
    <row r="1028" spans="1:10" x14ac:dyDescent="0.2">
      <c r="A1028">
        <v>1027</v>
      </c>
      <c r="B1028">
        <v>2018</v>
      </c>
      <c r="C1028" t="s">
        <v>26</v>
      </c>
      <c r="D1028" t="str">
        <f t="shared" si="53"/>
        <v>other fuel vehicle</v>
      </c>
      <c r="E1028" t="s">
        <v>18</v>
      </c>
      <c r="F1028" t="s">
        <v>25</v>
      </c>
      <c r="G1028" t="s">
        <v>33</v>
      </c>
      <c r="H1028" t="str">
        <f t="shared" si="54"/>
        <v>乘用车</v>
      </c>
      <c r="I1028" t="str">
        <f t="shared" si="55"/>
        <v>Passenger LDV</v>
      </c>
      <c r="J1028">
        <v>215</v>
      </c>
    </row>
    <row r="1029" spans="1:10" x14ac:dyDescent="0.2">
      <c r="A1029">
        <v>1028</v>
      </c>
      <c r="B1029">
        <v>2019</v>
      </c>
      <c r="C1029" t="s">
        <v>26</v>
      </c>
      <c r="D1029" t="str">
        <f t="shared" si="53"/>
        <v>other fuel vehicle</v>
      </c>
      <c r="E1029" t="s">
        <v>18</v>
      </c>
      <c r="F1029" t="s">
        <v>25</v>
      </c>
      <c r="G1029" t="s">
        <v>33</v>
      </c>
      <c r="H1029" t="str">
        <f t="shared" si="54"/>
        <v>乘用车</v>
      </c>
      <c r="I1029" t="str">
        <f t="shared" si="55"/>
        <v>Passenger LDV</v>
      </c>
      <c r="J1029">
        <v>32</v>
      </c>
    </row>
    <row r="1030" spans="1:10" x14ac:dyDescent="0.2">
      <c r="A1030">
        <v>1029</v>
      </c>
      <c r="B1030">
        <v>2020</v>
      </c>
      <c r="C1030" t="s">
        <v>26</v>
      </c>
      <c r="D1030" t="str">
        <f t="shared" si="53"/>
        <v>other fuel vehicle</v>
      </c>
      <c r="E1030" t="s">
        <v>18</v>
      </c>
      <c r="F1030" t="s">
        <v>25</v>
      </c>
      <c r="G1030" t="s">
        <v>33</v>
      </c>
      <c r="H1030" t="str">
        <f t="shared" si="54"/>
        <v>乘用车</v>
      </c>
      <c r="I1030" t="str">
        <f t="shared" si="55"/>
        <v>Passenger LDV</v>
      </c>
      <c r="J1030">
        <v>145</v>
      </c>
    </row>
    <row r="1031" spans="1:10" x14ac:dyDescent="0.2">
      <c r="A1031">
        <v>1030</v>
      </c>
      <c r="B1031">
        <v>2021</v>
      </c>
      <c r="C1031" t="s">
        <v>26</v>
      </c>
      <c r="D1031" t="str">
        <f t="shared" si="53"/>
        <v>other fuel vehicle</v>
      </c>
      <c r="E1031" t="s">
        <v>18</v>
      </c>
      <c r="F1031" t="s">
        <v>25</v>
      </c>
      <c r="G1031" t="s">
        <v>33</v>
      </c>
      <c r="H1031" t="str">
        <f t="shared" si="54"/>
        <v>乘用车</v>
      </c>
      <c r="I1031" t="str">
        <f t="shared" si="55"/>
        <v>Passenger LDV</v>
      </c>
      <c r="J1031">
        <v>28</v>
      </c>
    </row>
    <row r="1032" spans="1:10" x14ac:dyDescent="0.2">
      <c r="A1032">
        <v>1031</v>
      </c>
      <c r="B1032">
        <v>2015</v>
      </c>
      <c r="C1032" t="s">
        <v>13</v>
      </c>
      <c r="D1032" t="str">
        <f t="shared" si="53"/>
        <v>gasoline vehicle</v>
      </c>
      <c r="E1032" t="s">
        <v>18</v>
      </c>
      <c r="F1032" t="s">
        <v>25</v>
      </c>
      <c r="G1032" t="s">
        <v>33</v>
      </c>
      <c r="H1032" t="str">
        <f t="shared" si="54"/>
        <v>乘用车</v>
      </c>
      <c r="I1032" t="str">
        <f t="shared" si="55"/>
        <v>Passenger LDV</v>
      </c>
      <c r="J1032">
        <v>19070729</v>
      </c>
    </row>
    <row r="1033" spans="1:10" x14ac:dyDescent="0.2">
      <c r="A1033">
        <v>1032</v>
      </c>
      <c r="B1033">
        <v>2016</v>
      </c>
      <c r="C1033" t="s">
        <v>13</v>
      </c>
      <c r="D1033" t="str">
        <f t="shared" si="53"/>
        <v>gasoline vehicle</v>
      </c>
      <c r="E1033" t="s">
        <v>18</v>
      </c>
      <c r="F1033" t="s">
        <v>25</v>
      </c>
      <c r="G1033" t="s">
        <v>33</v>
      </c>
      <c r="H1033" t="str">
        <f t="shared" si="54"/>
        <v>乘用车</v>
      </c>
      <c r="I1033" t="str">
        <f t="shared" si="55"/>
        <v>Passenger LDV</v>
      </c>
      <c r="J1033">
        <v>23769495</v>
      </c>
    </row>
    <row r="1034" spans="1:10" x14ac:dyDescent="0.2">
      <c r="A1034">
        <v>1033</v>
      </c>
      <c r="B1034">
        <v>2017</v>
      </c>
      <c r="C1034" t="s">
        <v>13</v>
      </c>
      <c r="D1034" t="str">
        <f t="shared" si="53"/>
        <v>gasoline vehicle</v>
      </c>
      <c r="E1034" t="s">
        <v>18</v>
      </c>
      <c r="F1034" t="s">
        <v>25</v>
      </c>
      <c r="G1034" t="s">
        <v>33</v>
      </c>
      <c r="H1034" t="str">
        <f t="shared" si="54"/>
        <v>乘用车</v>
      </c>
      <c r="I1034" t="str">
        <f t="shared" si="55"/>
        <v>Passenger LDV</v>
      </c>
      <c r="J1034">
        <v>23287606</v>
      </c>
    </row>
    <row r="1035" spans="1:10" x14ac:dyDescent="0.2">
      <c r="A1035">
        <v>1034</v>
      </c>
      <c r="B1035">
        <v>2018</v>
      </c>
      <c r="C1035" t="s">
        <v>13</v>
      </c>
      <c r="D1035" t="str">
        <f t="shared" si="53"/>
        <v>gasoline vehicle</v>
      </c>
      <c r="E1035" t="s">
        <v>18</v>
      </c>
      <c r="F1035" t="s">
        <v>25</v>
      </c>
      <c r="G1035" t="s">
        <v>33</v>
      </c>
      <c r="H1035" t="str">
        <f t="shared" si="54"/>
        <v>乘用车</v>
      </c>
      <c r="I1035" t="str">
        <f t="shared" si="55"/>
        <v>Passenger LDV</v>
      </c>
      <c r="J1035">
        <v>20842214</v>
      </c>
    </row>
    <row r="1036" spans="1:10" x14ac:dyDescent="0.2">
      <c r="A1036">
        <v>1035</v>
      </c>
      <c r="B1036">
        <v>2019</v>
      </c>
      <c r="C1036" t="s">
        <v>13</v>
      </c>
      <c r="D1036" t="str">
        <f t="shared" si="53"/>
        <v>gasoline vehicle</v>
      </c>
      <c r="E1036" t="s">
        <v>18</v>
      </c>
      <c r="F1036" t="s">
        <v>25</v>
      </c>
      <c r="G1036" t="s">
        <v>33</v>
      </c>
      <c r="H1036" t="str">
        <f t="shared" si="54"/>
        <v>乘用车</v>
      </c>
      <c r="I1036" t="str">
        <f t="shared" si="55"/>
        <v>Passenger LDV</v>
      </c>
      <c r="J1036">
        <v>19986840</v>
      </c>
    </row>
    <row r="1037" spans="1:10" x14ac:dyDescent="0.2">
      <c r="A1037">
        <v>1036</v>
      </c>
      <c r="B1037">
        <v>2020</v>
      </c>
      <c r="C1037" t="s">
        <v>13</v>
      </c>
      <c r="D1037" t="str">
        <f t="shared" si="53"/>
        <v>gasoline vehicle</v>
      </c>
      <c r="E1037" t="s">
        <v>18</v>
      </c>
      <c r="F1037" t="s">
        <v>25</v>
      </c>
      <c r="G1037" t="s">
        <v>33</v>
      </c>
      <c r="H1037" t="str">
        <f t="shared" si="54"/>
        <v>乘用车</v>
      </c>
      <c r="I1037" t="str">
        <f t="shared" si="55"/>
        <v>Passenger LDV</v>
      </c>
      <c r="J1037">
        <v>18196716</v>
      </c>
    </row>
    <row r="1038" spans="1:10" x14ac:dyDescent="0.2">
      <c r="A1038">
        <v>1037</v>
      </c>
      <c r="B1038">
        <v>2021</v>
      </c>
      <c r="C1038" t="s">
        <v>13</v>
      </c>
      <c r="D1038" t="str">
        <f t="shared" si="53"/>
        <v>gasoline vehicle</v>
      </c>
      <c r="E1038" t="s">
        <v>18</v>
      </c>
      <c r="F1038" t="s">
        <v>25</v>
      </c>
      <c r="G1038" t="s">
        <v>33</v>
      </c>
      <c r="H1038" t="str">
        <f t="shared" si="54"/>
        <v>乘用车</v>
      </c>
      <c r="I1038" t="str">
        <f t="shared" si="55"/>
        <v>Passenger LDV</v>
      </c>
      <c r="J1038">
        <v>17373728</v>
      </c>
    </row>
    <row r="1039" spans="1:10" x14ac:dyDescent="0.2">
      <c r="A1039">
        <v>1038</v>
      </c>
      <c r="B1039">
        <v>2016</v>
      </c>
      <c r="C1039" t="s">
        <v>35</v>
      </c>
      <c r="D1039" t="str">
        <f t="shared" si="53"/>
        <v>LPG vehicle</v>
      </c>
      <c r="E1039" t="s">
        <v>18</v>
      </c>
      <c r="F1039" t="s">
        <v>25</v>
      </c>
      <c r="G1039" t="s">
        <v>33</v>
      </c>
      <c r="H1039" t="str">
        <f t="shared" si="54"/>
        <v>乘用车</v>
      </c>
      <c r="I1039" t="str">
        <f t="shared" si="55"/>
        <v>Passenger LDV</v>
      </c>
      <c r="J1039">
        <v>27</v>
      </c>
    </row>
    <row r="1040" spans="1:10" x14ac:dyDescent="0.2">
      <c r="A1040">
        <v>1039</v>
      </c>
      <c r="B1040">
        <v>2017</v>
      </c>
      <c r="C1040" t="s">
        <v>35</v>
      </c>
      <c r="D1040" t="str">
        <f t="shared" si="53"/>
        <v>LPG vehicle</v>
      </c>
      <c r="E1040" t="s">
        <v>18</v>
      </c>
      <c r="F1040" t="s">
        <v>25</v>
      </c>
      <c r="G1040" t="s">
        <v>33</v>
      </c>
      <c r="H1040" t="str">
        <f t="shared" si="54"/>
        <v>乘用车</v>
      </c>
      <c r="I1040" t="str">
        <f t="shared" si="55"/>
        <v>Passenger LDV</v>
      </c>
      <c r="J1040">
        <v>165</v>
      </c>
    </row>
    <row r="1041" spans="1:10" x14ac:dyDescent="0.2">
      <c r="A1041">
        <v>1040</v>
      </c>
      <c r="B1041">
        <v>2018</v>
      </c>
      <c r="C1041" t="s">
        <v>35</v>
      </c>
      <c r="D1041" t="str">
        <f t="shared" si="53"/>
        <v>LPG vehicle</v>
      </c>
      <c r="E1041" t="s">
        <v>18</v>
      </c>
      <c r="F1041" t="s">
        <v>25</v>
      </c>
      <c r="G1041" t="s">
        <v>33</v>
      </c>
      <c r="H1041" t="str">
        <f t="shared" si="54"/>
        <v>乘用车</v>
      </c>
      <c r="I1041" t="str">
        <f t="shared" si="55"/>
        <v>Passenger LDV</v>
      </c>
      <c r="J1041">
        <v>512</v>
      </c>
    </row>
    <row r="1042" spans="1:10" x14ac:dyDescent="0.2">
      <c r="A1042">
        <v>1041</v>
      </c>
      <c r="B1042">
        <v>2019</v>
      </c>
      <c r="C1042" t="s">
        <v>35</v>
      </c>
      <c r="D1042" t="str">
        <f t="shared" si="53"/>
        <v>LPG vehicle</v>
      </c>
      <c r="E1042" t="s">
        <v>18</v>
      </c>
      <c r="F1042" t="s">
        <v>25</v>
      </c>
      <c r="G1042" t="s">
        <v>33</v>
      </c>
      <c r="H1042" t="str">
        <f t="shared" si="54"/>
        <v>乘用车</v>
      </c>
      <c r="I1042" t="str">
        <f t="shared" si="55"/>
        <v>Passenger LDV</v>
      </c>
      <c r="J1042">
        <v>1</v>
      </c>
    </row>
    <row r="1043" spans="1:10" x14ac:dyDescent="0.2">
      <c r="A1043">
        <v>1042</v>
      </c>
      <c r="B1043">
        <v>2015</v>
      </c>
      <c r="C1043" t="s">
        <v>14</v>
      </c>
      <c r="D1043" t="str">
        <f t="shared" si="53"/>
        <v>natural gas vehicle</v>
      </c>
      <c r="E1043" t="s">
        <v>18</v>
      </c>
      <c r="F1043" t="s">
        <v>25</v>
      </c>
      <c r="G1043" t="s">
        <v>33</v>
      </c>
      <c r="H1043" t="str">
        <f t="shared" si="54"/>
        <v>乘用车</v>
      </c>
      <c r="I1043" t="str">
        <f t="shared" si="55"/>
        <v>Passenger LDV</v>
      </c>
      <c r="J1043">
        <v>1310439</v>
      </c>
    </row>
    <row r="1044" spans="1:10" x14ac:dyDescent="0.2">
      <c r="A1044">
        <v>1043</v>
      </c>
      <c r="B1044">
        <v>2016</v>
      </c>
      <c r="C1044" t="s">
        <v>14</v>
      </c>
      <c r="D1044" t="str">
        <f t="shared" si="53"/>
        <v>natural gas vehicle</v>
      </c>
      <c r="E1044" t="s">
        <v>18</v>
      </c>
      <c r="F1044" t="s">
        <v>25</v>
      </c>
      <c r="G1044" t="s">
        <v>33</v>
      </c>
      <c r="H1044" t="str">
        <f t="shared" si="54"/>
        <v>乘用车</v>
      </c>
      <c r="I1044" t="str">
        <f t="shared" si="55"/>
        <v>Passenger LDV</v>
      </c>
      <c r="J1044">
        <v>22580</v>
      </c>
    </row>
    <row r="1045" spans="1:10" x14ac:dyDescent="0.2">
      <c r="A1045">
        <v>1044</v>
      </c>
      <c r="B1045">
        <v>2017</v>
      </c>
      <c r="C1045" t="s">
        <v>14</v>
      </c>
      <c r="D1045" t="str">
        <f t="shared" si="53"/>
        <v>natural gas vehicle</v>
      </c>
      <c r="E1045" t="s">
        <v>18</v>
      </c>
      <c r="F1045" t="s">
        <v>25</v>
      </c>
      <c r="G1045" t="s">
        <v>33</v>
      </c>
      <c r="H1045" t="str">
        <f t="shared" si="54"/>
        <v>乘用车</v>
      </c>
      <c r="I1045" t="str">
        <f t="shared" si="55"/>
        <v>Passenger LDV</v>
      </c>
      <c r="J1045">
        <v>22876</v>
      </c>
    </row>
    <row r="1046" spans="1:10" x14ac:dyDescent="0.2">
      <c r="A1046">
        <v>1045</v>
      </c>
      <c r="B1046">
        <v>2018</v>
      </c>
      <c r="C1046" t="s">
        <v>14</v>
      </c>
      <c r="D1046" t="str">
        <f t="shared" si="53"/>
        <v>natural gas vehicle</v>
      </c>
      <c r="E1046" t="s">
        <v>18</v>
      </c>
      <c r="F1046" t="s">
        <v>25</v>
      </c>
      <c r="G1046" t="s">
        <v>33</v>
      </c>
      <c r="H1046" t="str">
        <f t="shared" si="54"/>
        <v>乘用车</v>
      </c>
      <c r="I1046" t="str">
        <f t="shared" si="55"/>
        <v>Passenger LDV</v>
      </c>
      <c r="J1046">
        <v>38202</v>
      </c>
    </row>
    <row r="1047" spans="1:10" x14ac:dyDescent="0.2">
      <c r="A1047">
        <v>1046</v>
      </c>
      <c r="B1047">
        <v>2019</v>
      </c>
      <c r="C1047" t="s">
        <v>14</v>
      </c>
      <c r="D1047" t="str">
        <f t="shared" si="53"/>
        <v>natural gas vehicle</v>
      </c>
      <c r="E1047" t="s">
        <v>18</v>
      </c>
      <c r="F1047" t="s">
        <v>25</v>
      </c>
      <c r="G1047" t="s">
        <v>33</v>
      </c>
      <c r="H1047" t="str">
        <f t="shared" si="54"/>
        <v>乘用车</v>
      </c>
      <c r="I1047" t="str">
        <f t="shared" si="55"/>
        <v>Passenger LDV</v>
      </c>
      <c r="J1047">
        <v>8020</v>
      </c>
    </row>
    <row r="1048" spans="1:10" x14ac:dyDescent="0.2">
      <c r="A1048">
        <v>1047</v>
      </c>
      <c r="B1048">
        <v>2020</v>
      </c>
      <c r="C1048" t="s">
        <v>14</v>
      </c>
      <c r="D1048" t="str">
        <f t="shared" si="53"/>
        <v>natural gas vehicle</v>
      </c>
      <c r="E1048" t="s">
        <v>18</v>
      </c>
      <c r="F1048" t="s">
        <v>25</v>
      </c>
      <c r="G1048" t="s">
        <v>33</v>
      </c>
      <c r="H1048" t="str">
        <f t="shared" si="54"/>
        <v>乘用车</v>
      </c>
      <c r="I1048" t="str">
        <f t="shared" si="55"/>
        <v>Passenger LDV</v>
      </c>
      <c r="J1048">
        <v>977</v>
      </c>
    </row>
    <row r="1049" spans="1:10" x14ac:dyDescent="0.2">
      <c r="A1049">
        <v>1048</v>
      </c>
      <c r="B1049">
        <v>2021</v>
      </c>
      <c r="C1049" t="s">
        <v>14</v>
      </c>
      <c r="D1049" t="str">
        <f t="shared" si="53"/>
        <v>natural gas vehicle</v>
      </c>
      <c r="E1049" t="s">
        <v>18</v>
      </c>
      <c r="F1049" t="s">
        <v>25</v>
      </c>
      <c r="G1049" t="s">
        <v>33</v>
      </c>
      <c r="H1049" t="str">
        <f t="shared" si="54"/>
        <v>乘用车</v>
      </c>
      <c r="I1049" t="str">
        <f t="shared" si="55"/>
        <v>Passenger LDV</v>
      </c>
      <c r="J1049">
        <v>186</v>
      </c>
    </row>
    <row r="1050" spans="1:10" x14ac:dyDescent="0.2">
      <c r="A1050">
        <v>1049</v>
      </c>
      <c r="B1050">
        <v>2021</v>
      </c>
      <c r="C1050" t="s">
        <v>15</v>
      </c>
      <c r="D1050" t="str">
        <f t="shared" si="53"/>
        <v>hydrogen vehicle</v>
      </c>
      <c r="E1050" t="s">
        <v>18</v>
      </c>
      <c r="F1050" t="s">
        <v>25</v>
      </c>
      <c r="G1050" t="s">
        <v>33</v>
      </c>
      <c r="H1050" t="str">
        <f t="shared" si="54"/>
        <v>乘用车</v>
      </c>
      <c r="I1050" t="str">
        <f t="shared" si="55"/>
        <v>Passenger LDV</v>
      </c>
      <c r="J1050">
        <v>9</v>
      </c>
    </row>
    <row r="1051" spans="1:10" x14ac:dyDescent="0.2">
      <c r="A1051">
        <v>1050</v>
      </c>
      <c r="B1051">
        <v>2017</v>
      </c>
      <c r="C1051" t="s">
        <v>16</v>
      </c>
      <c r="D1051" t="str">
        <f t="shared" si="53"/>
        <v>natural gas vehicle</v>
      </c>
      <c r="E1051" t="s">
        <v>18</v>
      </c>
      <c r="F1051" t="s">
        <v>25</v>
      </c>
      <c r="G1051" t="s">
        <v>33</v>
      </c>
      <c r="H1051" t="str">
        <f t="shared" si="54"/>
        <v>乘用车</v>
      </c>
      <c r="I1051" t="str">
        <f t="shared" si="55"/>
        <v>Passenger LDV</v>
      </c>
      <c r="J1051">
        <v>19</v>
      </c>
    </row>
    <row r="1052" spans="1:10" x14ac:dyDescent="0.2">
      <c r="A1052">
        <v>1051</v>
      </c>
      <c r="B1052">
        <v>2018</v>
      </c>
      <c r="C1052" t="s">
        <v>16</v>
      </c>
      <c r="D1052" t="str">
        <f t="shared" si="53"/>
        <v>natural gas vehicle</v>
      </c>
      <c r="E1052" t="s">
        <v>18</v>
      </c>
      <c r="F1052" t="s">
        <v>25</v>
      </c>
      <c r="G1052" t="s">
        <v>33</v>
      </c>
      <c r="H1052" t="str">
        <f t="shared" si="54"/>
        <v>乘用车</v>
      </c>
      <c r="I1052" t="str">
        <f t="shared" si="55"/>
        <v>Passenger LDV</v>
      </c>
      <c r="J1052">
        <v>474</v>
      </c>
    </row>
    <row r="1053" spans="1:10" x14ac:dyDescent="0.2">
      <c r="A1053">
        <v>1052</v>
      </c>
      <c r="B1053">
        <v>2019</v>
      </c>
      <c r="C1053" t="s">
        <v>16</v>
      </c>
      <c r="D1053" t="str">
        <f t="shared" si="53"/>
        <v>natural gas vehicle</v>
      </c>
      <c r="E1053" t="s">
        <v>18</v>
      </c>
      <c r="F1053" t="s">
        <v>25</v>
      </c>
      <c r="G1053" t="s">
        <v>33</v>
      </c>
      <c r="H1053" t="str">
        <f t="shared" si="54"/>
        <v>乘用车</v>
      </c>
      <c r="I1053" t="str">
        <f t="shared" si="55"/>
        <v>Passenger LDV</v>
      </c>
      <c r="J1053">
        <v>721</v>
      </c>
    </row>
    <row r="1054" spans="1:10" x14ac:dyDescent="0.2">
      <c r="A1054">
        <v>1053</v>
      </c>
      <c r="B1054">
        <v>2020</v>
      </c>
      <c r="C1054" t="s">
        <v>16</v>
      </c>
      <c r="D1054" t="str">
        <f t="shared" si="53"/>
        <v>natural gas vehicle</v>
      </c>
      <c r="E1054" t="s">
        <v>18</v>
      </c>
      <c r="F1054" t="s">
        <v>25</v>
      </c>
      <c r="G1054" t="s">
        <v>33</v>
      </c>
      <c r="H1054" t="str">
        <f t="shared" si="54"/>
        <v>乘用车</v>
      </c>
      <c r="I1054" t="str">
        <f t="shared" si="55"/>
        <v>Passenger LDV</v>
      </c>
      <c r="J1054">
        <v>1133</v>
      </c>
    </row>
    <row r="1055" spans="1:10" x14ac:dyDescent="0.2">
      <c r="A1055">
        <v>1054</v>
      </c>
      <c r="B1055">
        <v>2021</v>
      </c>
      <c r="C1055" t="s">
        <v>16</v>
      </c>
      <c r="D1055" t="str">
        <f t="shared" si="53"/>
        <v>natural gas vehicle</v>
      </c>
      <c r="E1055" t="s">
        <v>18</v>
      </c>
      <c r="F1055" t="s">
        <v>25</v>
      </c>
      <c r="G1055" t="s">
        <v>33</v>
      </c>
      <c r="H1055" t="str">
        <f t="shared" si="54"/>
        <v>乘用车</v>
      </c>
      <c r="I1055" t="str">
        <f t="shared" si="55"/>
        <v>Passenger LDV</v>
      </c>
      <c r="J1055">
        <v>3137</v>
      </c>
    </row>
    <row r="1056" spans="1:10" x14ac:dyDescent="0.2">
      <c r="A1056">
        <v>1055</v>
      </c>
      <c r="B1056">
        <v>2020</v>
      </c>
      <c r="C1056" t="s">
        <v>36</v>
      </c>
      <c r="D1056" t="str">
        <f t="shared" si="53"/>
        <v>hybrid fuel vehicle</v>
      </c>
      <c r="E1056" t="s">
        <v>18</v>
      </c>
      <c r="F1056" t="s">
        <v>25</v>
      </c>
      <c r="G1056" t="s">
        <v>33</v>
      </c>
      <c r="H1056" t="str">
        <f t="shared" si="54"/>
        <v>乘用车</v>
      </c>
      <c r="I1056" t="str">
        <f t="shared" si="55"/>
        <v>Passenger LDV</v>
      </c>
      <c r="J1056">
        <v>2706</v>
      </c>
    </row>
    <row r="1057" spans="1:10" x14ac:dyDescent="0.2">
      <c r="A1057">
        <v>1056</v>
      </c>
      <c r="B1057">
        <v>2021</v>
      </c>
      <c r="C1057" t="s">
        <v>36</v>
      </c>
      <c r="D1057" t="str">
        <f t="shared" si="53"/>
        <v>hybrid fuel vehicle</v>
      </c>
      <c r="E1057" t="s">
        <v>18</v>
      </c>
      <c r="F1057" t="s">
        <v>25</v>
      </c>
      <c r="G1057" t="s">
        <v>33</v>
      </c>
      <c r="H1057" t="str">
        <f t="shared" si="54"/>
        <v>乘用车</v>
      </c>
      <c r="I1057" t="str">
        <f t="shared" si="55"/>
        <v>Passenger LDV</v>
      </c>
      <c r="J1057">
        <v>100835</v>
      </c>
    </row>
    <row r="1058" spans="1:10" x14ac:dyDescent="0.2">
      <c r="A1058">
        <v>1057</v>
      </c>
      <c r="B1058">
        <v>2015</v>
      </c>
      <c r="C1058" t="s">
        <v>10</v>
      </c>
      <c r="D1058" t="str">
        <f t="shared" si="53"/>
        <v>diesel vehicle</v>
      </c>
      <c r="E1058" t="s">
        <v>20</v>
      </c>
      <c r="F1058" t="s">
        <v>25</v>
      </c>
      <c r="G1058" t="s">
        <v>33</v>
      </c>
      <c r="H1058" t="str">
        <f t="shared" si="54"/>
        <v>道路客车</v>
      </c>
      <c r="I1058" t="str">
        <f t="shared" si="55"/>
        <v>Passenger HDV</v>
      </c>
      <c r="J1058">
        <v>75</v>
      </c>
    </row>
    <row r="1059" spans="1:10" x14ac:dyDescent="0.2">
      <c r="A1059">
        <v>1058</v>
      </c>
      <c r="B1059">
        <v>2017</v>
      </c>
      <c r="C1059" t="s">
        <v>10</v>
      </c>
      <c r="D1059" t="str">
        <f t="shared" si="53"/>
        <v>diesel vehicle</v>
      </c>
      <c r="E1059" t="s">
        <v>20</v>
      </c>
      <c r="F1059" t="s">
        <v>25</v>
      </c>
      <c r="G1059" t="s">
        <v>33</v>
      </c>
      <c r="H1059" t="str">
        <f t="shared" si="54"/>
        <v>道路客车</v>
      </c>
      <c r="I1059" t="str">
        <f t="shared" si="55"/>
        <v>Passenger HDV</v>
      </c>
      <c r="J1059">
        <v>12</v>
      </c>
    </row>
    <row r="1060" spans="1:10" x14ac:dyDescent="0.2">
      <c r="A1060">
        <v>1059</v>
      </c>
      <c r="B1060">
        <v>2015</v>
      </c>
      <c r="C1060" t="s">
        <v>13</v>
      </c>
      <c r="D1060" t="str">
        <f t="shared" si="53"/>
        <v>gasoline vehicle</v>
      </c>
      <c r="E1060" t="s">
        <v>20</v>
      </c>
      <c r="F1060" t="s">
        <v>25</v>
      </c>
      <c r="G1060" t="s">
        <v>33</v>
      </c>
      <c r="H1060" t="str">
        <f t="shared" si="54"/>
        <v>道路客车</v>
      </c>
      <c r="I1060" t="str">
        <f t="shared" si="55"/>
        <v>Passenger HDV</v>
      </c>
      <c r="J1060">
        <v>630</v>
      </c>
    </row>
    <row r="1061" spans="1:10" x14ac:dyDescent="0.2">
      <c r="A1061">
        <v>1060</v>
      </c>
      <c r="B1061">
        <v>2016</v>
      </c>
      <c r="C1061" t="s">
        <v>13</v>
      </c>
      <c r="D1061" t="str">
        <f t="shared" si="53"/>
        <v>gasoline vehicle</v>
      </c>
      <c r="E1061" t="s">
        <v>20</v>
      </c>
      <c r="F1061" t="s">
        <v>25</v>
      </c>
      <c r="G1061" t="s">
        <v>33</v>
      </c>
      <c r="H1061" t="str">
        <f t="shared" si="54"/>
        <v>道路客车</v>
      </c>
      <c r="I1061" t="str">
        <f t="shared" si="55"/>
        <v>Passenger HDV</v>
      </c>
      <c r="J1061">
        <v>1044</v>
      </c>
    </row>
    <row r="1062" spans="1:10" x14ac:dyDescent="0.2">
      <c r="A1062">
        <v>1061</v>
      </c>
      <c r="B1062">
        <v>2017</v>
      </c>
      <c r="C1062" t="s">
        <v>13</v>
      </c>
      <c r="D1062" t="str">
        <f t="shared" si="53"/>
        <v>gasoline vehicle</v>
      </c>
      <c r="E1062" t="s">
        <v>20</v>
      </c>
      <c r="F1062" t="s">
        <v>25</v>
      </c>
      <c r="G1062" t="s">
        <v>33</v>
      </c>
      <c r="H1062" t="str">
        <f t="shared" si="54"/>
        <v>道路客车</v>
      </c>
      <c r="I1062" t="str">
        <f t="shared" si="55"/>
        <v>Passenger HDV</v>
      </c>
      <c r="J1062">
        <v>1315</v>
      </c>
    </row>
    <row r="1063" spans="1:10" x14ac:dyDescent="0.2">
      <c r="A1063">
        <v>1062</v>
      </c>
      <c r="B1063">
        <v>2018</v>
      </c>
      <c r="C1063" t="s">
        <v>13</v>
      </c>
      <c r="D1063" t="str">
        <f t="shared" si="53"/>
        <v>gasoline vehicle</v>
      </c>
      <c r="E1063" t="s">
        <v>20</v>
      </c>
      <c r="F1063" t="s">
        <v>25</v>
      </c>
      <c r="G1063" t="s">
        <v>33</v>
      </c>
      <c r="H1063" t="str">
        <f t="shared" si="54"/>
        <v>道路客车</v>
      </c>
      <c r="I1063" t="str">
        <f t="shared" si="55"/>
        <v>Passenger HDV</v>
      </c>
      <c r="J1063">
        <v>684</v>
      </c>
    </row>
    <row r="1064" spans="1:10" x14ac:dyDescent="0.2">
      <c r="A1064">
        <v>1063</v>
      </c>
      <c r="B1064">
        <v>2019</v>
      </c>
      <c r="C1064" t="s">
        <v>13</v>
      </c>
      <c r="D1064" t="str">
        <f t="shared" si="53"/>
        <v>gasoline vehicle</v>
      </c>
      <c r="E1064" t="s">
        <v>20</v>
      </c>
      <c r="F1064" t="s">
        <v>25</v>
      </c>
      <c r="G1064" t="s">
        <v>33</v>
      </c>
      <c r="H1064" t="str">
        <f t="shared" si="54"/>
        <v>道路客车</v>
      </c>
      <c r="I1064" t="str">
        <f t="shared" si="55"/>
        <v>Passenger HDV</v>
      </c>
      <c r="J1064">
        <v>1510</v>
      </c>
    </row>
    <row r="1065" spans="1:10" x14ac:dyDescent="0.2">
      <c r="A1065">
        <v>1064</v>
      </c>
      <c r="B1065">
        <v>2020</v>
      </c>
      <c r="C1065" t="s">
        <v>13</v>
      </c>
      <c r="D1065" t="str">
        <f t="shared" si="53"/>
        <v>gasoline vehicle</v>
      </c>
      <c r="E1065" t="s">
        <v>20</v>
      </c>
      <c r="F1065" t="s">
        <v>25</v>
      </c>
      <c r="G1065" t="s">
        <v>33</v>
      </c>
      <c r="H1065" t="str">
        <f t="shared" si="54"/>
        <v>道路客车</v>
      </c>
      <c r="I1065" t="str">
        <f t="shared" si="55"/>
        <v>Passenger HDV</v>
      </c>
      <c r="J1065">
        <v>2083</v>
      </c>
    </row>
    <row r="1066" spans="1:10" x14ac:dyDescent="0.2">
      <c r="A1066">
        <v>1065</v>
      </c>
      <c r="B1066">
        <v>2021</v>
      </c>
      <c r="C1066" t="s">
        <v>13</v>
      </c>
      <c r="D1066" t="str">
        <f t="shared" si="53"/>
        <v>gasoline vehicle</v>
      </c>
      <c r="E1066" t="s">
        <v>20</v>
      </c>
      <c r="F1066" t="s">
        <v>25</v>
      </c>
      <c r="G1066" t="s">
        <v>33</v>
      </c>
      <c r="H1066" t="str">
        <f t="shared" si="54"/>
        <v>道路客车</v>
      </c>
      <c r="I1066" t="str">
        <f t="shared" si="55"/>
        <v>Passenger HDV</v>
      </c>
      <c r="J1066">
        <v>1778</v>
      </c>
    </row>
    <row r="1067" spans="1:10" x14ac:dyDescent="0.2">
      <c r="A1067">
        <v>1066</v>
      </c>
      <c r="B1067">
        <v>2021</v>
      </c>
      <c r="C1067" t="s">
        <v>12</v>
      </c>
      <c r="D1067" t="str">
        <f t="shared" si="53"/>
        <v>hybrid fuel vehicle</v>
      </c>
      <c r="E1067" t="s">
        <v>34</v>
      </c>
      <c r="F1067" t="s">
        <v>30</v>
      </c>
      <c r="G1067" t="s">
        <v>33</v>
      </c>
      <c r="H1067" t="str">
        <f t="shared" si="54"/>
        <v>Unknown</v>
      </c>
      <c r="I1067" t="str">
        <f t="shared" si="55"/>
        <v>Unknown</v>
      </c>
      <c r="J1067">
        <v>1</v>
      </c>
    </row>
    <row r="1068" spans="1:10" x14ac:dyDescent="0.2">
      <c r="A1068">
        <v>1067</v>
      </c>
      <c r="B1068">
        <v>2019</v>
      </c>
      <c r="C1068" t="s">
        <v>6</v>
      </c>
      <c r="D1068" t="str">
        <f t="shared" si="53"/>
        <v>plugin hybrid vehicle</v>
      </c>
      <c r="E1068" t="s">
        <v>18</v>
      </c>
      <c r="F1068" t="s">
        <v>30</v>
      </c>
      <c r="G1068" t="s">
        <v>33</v>
      </c>
      <c r="H1068" t="str">
        <f t="shared" si="54"/>
        <v>道路客车</v>
      </c>
      <c r="I1068" t="str">
        <f t="shared" si="55"/>
        <v>Passenger LDV</v>
      </c>
      <c r="J1068">
        <v>12</v>
      </c>
    </row>
    <row r="1069" spans="1:10" x14ac:dyDescent="0.2">
      <c r="A1069">
        <v>1068</v>
      </c>
      <c r="B1069">
        <v>2021</v>
      </c>
      <c r="C1069" t="s">
        <v>6</v>
      </c>
      <c r="D1069" t="str">
        <f t="shared" si="53"/>
        <v>plugin hybrid vehicle</v>
      </c>
      <c r="E1069" t="s">
        <v>18</v>
      </c>
      <c r="F1069" t="s">
        <v>30</v>
      </c>
      <c r="G1069" t="s">
        <v>33</v>
      </c>
      <c r="H1069" t="str">
        <f t="shared" si="54"/>
        <v>道路客车</v>
      </c>
      <c r="I1069" t="str">
        <f t="shared" si="55"/>
        <v>Passenger LDV</v>
      </c>
      <c r="J1069">
        <v>5</v>
      </c>
    </row>
    <row r="1070" spans="1:10" x14ac:dyDescent="0.2">
      <c r="A1070">
        <v>1069</v>
      </c>
      <c r="B1070">
        <v>2015</v>
      </c>
      <c r="C1070" t="s">
        <v>10</v>
      </c>
      <c r="D1070" t="str">
        <f t="shared" si="53"/>
        <v>diesel vehicle</v>
      </c>
      <c r="E1070" t="s">
        <v>18</v>
      </c>
      <c r="F1070" t="s">
        <v>30</v>
      </c>
      <c r="G1070" t="s">
        <v>33</v>
      </c>
      <c r="H1070" t="str">
        <f t="shared" si="54"/>
        <v>道路客车</v>
      </c>
      <c r="I1070" t="str">
        <f t="shared" si="55"/>
        <v>Passenger LDV</v>
      </c>
      <c r="J1070">
        <v>373</v>
      </c>
    </row>
    <row r="1071" spans="1:10" x14ac:dyDescent="0.2">
      <c r="A1071">
        <v>1070</v>
      </c>
      <c r="B1071">
        <v>2016</v>
      </c>
      <c r="C1071" t="s">
        <v>10</v>
      </c>
      <c r="D1071" t="str">
        <f t="shared" si="53"/>
        <v>diesel vehicle</v>
      </c>
      <c r="E1071" t="s">
        <v>18</v>
      </c>
      <c r="F1071" t="s">
        <v>30</v>
      </c>
      <c r="G1071" t="s">
        <v>33</v>
      </c>
      <c r="H1071" t="str">
        <f t="shared" si="54"/>
        <v>道路客车</v>
      </c>
      <c r="I1071" t="str">
        <f t="shared" si="55"/>
        <v>Passenger LDV</v>
      </c>
      <c r="J1071">
        <v>480</v>
      </c>
    </row>
    <row r="1072" spans="1:10" x14ac:dyDescent="0.2">
      <c r="A1072">
        <v>1071</v>
      </c>
      <c r="B1072">
        <v>2017</v>
      </c>
      <c r="C1072" t="s">
        <v>10</v>
      </c>
      <c r="D1072" t="str">
        <f t="shared" si="53"/>
        <v>diesel vehicle</v>
      </c>
      <c r="E1072" t="s">
        <v>18</v>
      </c>
      <c r="F1072" t="s">
        <v>30</v>
      </c>
      <c r="G1072" t="s">
        <v>33</v>
      </c>
      <c r="H1072" t="str">
        <f t="shared" si="54"/>
        <v>道路客车</v>
      </c>
      <c r="I1072" t="str">
        <f t="shared" si="55"/>
        <v>Passenger LDV</v>
      </c>
      <c r="J1072">
        <v>1056</v>
      </c>
    </row>
    <row r="1073" spans="1:10" x14ac:dyDescent="0.2">
      <c r="A1073">
        <v>1072</v>
      </c>
      <c r="B1073">
        <v>2018</v>
      </c>
      <c r="C1073" t="s">
        <v>10</v>
      </c>
      <c r="D1073" t="str">
        <f t="shared" si="53"/>
        <v>diesel vehicle</v>
      </c>
      <c r="E1073" t="s">
        <v>18</v>
      </c>
      <c r="F1073" t="s">
        <v>30</v>
      </c>
      <c r="G1073" t="s">
        <v>33</v>
      </c>
      <c r="H1073" t="str">
        <f t="shared" si="54"/>
        <v>道路客车</v>
      </c>
      <c r="I1073" t="str">
        <f t="shared" si="55"/>
        <v>Passenger LDV</v>
      </c>
      <c r="J1073">
        <v>1340</v>
      </c>
    </row>
    <row r="1074" spans="1:10" x14ac:dyDescent="0.2">
      <c r="A1074">
        <v>1073</v>
      </c>
      <c r="B1074">
        <v>2019</v>
      </c>
      <c r="C1074" t="s">
        <v>10</v>
      </c>
      <c r="D1074" t="str">
        <f t="shared" si="53"/>
        <v>diesel vehicle</v>
      </c>
      <c r="E1074" t="s">
        <v>18</v>
      </c>
      <c r="F1074" t="s">
        <v>30</v>
      </c>
      <c r="G1074" t="s">
        <v>33</v>
      </c>
      <c r="H1074" t="str">
        <f t="shared" si="54"/>
        <v>道路客车</v>
      </c>
      <c r="I1074" t="str">
        <f t="shared" si="55"/>
        <v>Passenger LDV</v>
      </c>
      <c r="J1074">
        <v>2429</v>
      </c>
    </row>
    <row r="1075" spans="1:10" x14ac:dyDescent="0.2">
      <c r="A1075">
        <v>1074</v>
      </c>
      <c r="B1075">
        <v>2020</v>
      </c>
      <c r="C1075" t="s">
        <v>10</v>
      </c>
      <c r="D1075" t="str">
        <f t="shared" si="53"/>
        <v>diesel vehicle</v>
      </c>
      <c r="E1075" t="s">
        <v>18</v>
      </c>
      <c r="F1075" t="s">
        <v>30</v>
      </c>
      <c r="G1075" t="s">
        <v>33</v>
      </c>
      <c r="H1075" t="str">
        <f t="shared" si="54"/>
        <v>道路客车</v>
      </c>
      <c r="I1075" t="str">
        <f t="shared" si="55"/>
        <v>Passenger LDV</v>
      </c>
      <c r="J1075">
        <v>1343</v>
      </c>
    </row>
    <row r="1076" spans="1:10" x14ac:dyDescent="0.2">
      <c r="A1076">
        <v>1075</v>
      </c>
      <c r="B1076">
        <v>2021</v>
      </c>
      <c r="C1076" t="s">
        <v>10</v>
      </c>
      <c r="D1076" t="str">
        <f t="shared" si="53"/>
        <v>diesel vehicle</v>
      </c>
      <c r="E1076" t="s">
        <v>18</v>
      </c>
      <c r="F1076" t="s">
        <v>30</v>
      </c>
      <c r="G1076" t="s">
        <v>33</v>
      </c>
      <c r="H1076" t="str">
        <f t="shared" si="54"/>
        <v>道路客车</v>
      </c>
      <c r="I1076" t="str">
        <f t="shared" si="55"/>
        <v>Passenger LDV</v>
      </c>
      <c r="J1076">
        <v>1714</v>
      </c>
    </row>
    <row r="1077" spans="1:10" x14ac:dyDescent="0.2">
      <c r="A1077">
        <v>1076</v>
      </c>
      <c r="B1077">
        <v>2015</v>
      </c>
      <c r="C1077" t="s">
        <v>11</v>
      </c>
      <c r="D1077" t="str">
        <f t="shared" si="53"/>
        <v>battery electric vehicle</v>
      </c>
      <c r="E1077" t="s">
        <v>18</v>
      </c>
      <c r="F1077" t="s">
        <v>30</v>
      </c>
      <c r="G1077" t="s">
        <v>33</v>
      </c>
      <c r="H1077" t="str">
        <f t="shared" si="54"/>
        <v>道路客车</v>
      </c>
      <c r="I1077" t="str">
        <f t="shared" si="55"/>
        <v>Passenger LDV</v>
      </c>
      <c r="J1077">
        <v>3</v>
      </c>
    </row>
    <row r="1078" spans="1:10" x14ac:dyDescent="0.2">
      <c r="A1078">
        <v>1077</v>
      </c>
      <c r="B1078">
        <v>2016</v>
      </c>
      <c r="C1078" t="s">
        <v>11</v>
      </c>
      <c r="D1078" t="str">
        <f t="shared" si="53"/>
        <v>battery electric vehicle</v>
      </c>
      <c r="E1078" t="s">
        <v>18</v>
      </c>
      <c r="F1078" t="s">
        <v>30</v>
      </c>
      <c r="G1078" t="s">
        <v>33</v>
      </c>
      <c r="H1078" t="str">
        <f t="shared" si="54"/>
        <v>道路客车</v>
      </c>
      <c r="I1078" t="str">
        <f t="shared" si="55"/>
        <v>Passenger LDV</v>
      </c>
      <c r="J1078">
        <v>14</v>
      </c>
    </row>
    <row r="1079" spans="1:10" x14ac:dyDescent="0.2">
      <c r="A1079">
        <v>1078</v>
      </c>
      <c r="B1079">
        <v>2017</v>
      </c>
      <c r="C1079" t="s">
        <v>11</v>
      </c>
      <c r="D1079" t="str">
        <f t="shared" si="53"/>
        <v>battery electric vehicle</v>
      </c>
      <c r="E1079" t="s">
        <v>18</v>
      </c>
      <c r="F1079" t="s">
        <v>30</v>
      </c>
      <c r="G1079" t="s">
        <v>33</v>
      </c>
      <c r="H1079" t="str">
        <f t="shared" si="54"/>
        <v>道路客车</v>
      </c>
      <c r="I1079" t="str">
        <f t="shared" si="55"/>
        <v>Passenger LDV</v>
      </c>
      <c r="J1079">
        <v>620</v>
      </c>
    </row>
    <row r="1080" spans="1:10" x14ac:dyDescent="0.2">
      <c r="A1080">
        <v>1079</v>
      </c>
      <c r="B1080">
        <v>2018</v>
      </c>
      <c r="C1080" t="s">
        <v>11</v>
      </c>
      <c r="D1080" t="str">
        <f t="shared" si="53"/>
        <v>battery electric vehicle</v>
      </c>
      <c r="E1080" t="s">
        <v>18</v>
      </c>
      <c r="F1080" t="s">
        <v>30</v>
      </c>
      <c r="G1080" t="s">
        <v>33</v>
      </c>
      <c r="H1080" t="str">
        <f t="shared" si="54"/>
        <v>道路客车</v>
      </c>
      <c r="I1080" t="str">
        <f t="shared" si="55"/>
        <v>Passenger LDV</v>
      </c>
      <c r="J1080">
        <v>60</v>
      </c>
    </row>
    <row r="1081" spans="1:10" x14ac:dyDescent="0.2">
      <c r="A1081">
        <v>1080</v>
      </c>
      <c r="B1081">
        <v>2019</v>
      </c>
      <c r="C1081" t="s">
        <v>11</v>
      </c>
      <c r="D1081" t="str">
        <f t="shared" si="53"/>
        <v>battery electric vehicle</v>
      </c>
      <c r="E1081" t="s">
        <v>18</v>
      </c>
      <c r="F1081" t="s">
        <v>30</v>
      </c>
      <c r="G1081" t="s">
        <v>33</v>
      </c>
      <c r="H1081" t="str">
        <f t="shared" si="54"/>
        <v>道路客车</v>
      </c>
      <c r="I1081" t="str">
        <f t="shared" si="55"/>
        <v>Passenger LDV</v>
      </c>
      <c r="J1081">
        <v>90</v>
      </c>
    </row>
    <row r="1082" spans="1:10" x14ac:dyDescent="0.2">
      <c r="A1082">
        <v>1081</v>
      </c>
      <c r="B1082">
        <v>2020</v>
      </c>
      <c r="C1082" t="s">
        <v>11</v>
      </c>
      <c r="D1082" t="str">
        <f t="shared" si="53"/>
        <v>battery electric vehicle</v>
      </c>
      <c r="E1082" t="s">
        <v>18</v>
      </c>
      <c r="F1082" t="s">
        <v>30</v>
      </c>
      <c r="G1082" t="s">
        <v>33</v>
      </c>
      <c r="H1082" t="str">
        <f t="shared" si="54"/>
        <v>道路客车</v>
      </c>
      <c r="I1082" t="str">
        <f t="shared" si="55"/>
        <v>Passenger LDV</v>
      </c>
      <c r="J1082">
        <v>437</v>
      </c>
    </row>
    <row r="1083" spans="1:10" x14ac:dyDescent="0.2">
      <c r="A1083">
        <v>1082</v>
      </c>
      <c r="B1083">
        <v>2021</v>
      </c>
      <c r="C1083" t="s">
        <v>11</v>
      </c>
      <c r="D1083" t="str">
        <f t="shared" si="53"/>
        <v>battery electric vehicle</v>
      </c>
      <c r="E1083" t="s">
        <v>18</v>
      </c>
      <c r="F1083" t="s">
        <v>30</v>
      </c>
      <c r="G1083" t="s">
        <v>33</v>
      </c>
      <c r="H1083" t="str">
        <f t="shared" si="54"/>
        <v>道路客车</v>
      </c>
      <c r="I1083" t="str">
        <f t="shared" si="55"/>
        <v>Passenger LDV</v>
      </c>
      <c r="J1083">
        <v>1373</v>
      </c>
    </row>
    <row r="1084" spans="1:10" x14ac:dyDescent="0.2">
      <c r="A1084">
        <v>1083</v>
      </c>
      <c r="B1084">
        <v>2020</v>
      </c>
      <c r="C1084" t="s">
        <v>12</v>
      </c>
      <c r="D1084" t="str">
        <f t="shared" si="53"/>
        <v>hybrid fuel vehicle</v>
      </c>
      <c r="E1084" t="s">
        <v>18</v>
      </c>
      <c r="F1084" t="s">
        <v>30</v>
      </c>
      <c r="G1084" t="s">
        <v>33</v>
      </c>
      <c r="H1084" t="str">
        <f t="shared" si="54"/>
        <v>道路客车</v>
      </c>
      <c r="I1084" t="str">
        <f t="shared" si="55"/>
        <v>Passenger LDV</v>
      </c>
      <c r="J1084">
        <v>1</v>
      </c>
    </row>
    <row r="1085" spans="1:10" x14ac:dyDescent="0.2">
      <c r="A1085">
        <v>1084</v>
      </c>
      <c r="B1085">
        <v>2021</v>
      </c>
      <c r="C1085" t="s">
        <v>12</v>
      </c>
      <c r="D1085" t="str">
        <f t="shared" si="53"/>
        <v>hybrid fuel vehicle</v>
      </c>
      <c r="E1085" t="s">
        <v>18</v>
      </c>
      <c r="F1085" t="s">
        <v>30</v>
      </c>
      <c r="G1085" t="s">
        <v>33</v>
      </c>
      <c r="H1085" t="str">
        <f t="shared" si="54"/>
        <v>道路客车</v>
      </c>
      <c r="I1085" t="str">
        <f t="shared" si="55"/>
        <v>Passenger LDV</v>
      </c>
      <c r="J1085">
        <v>1</v>
      </c>
    </row>
    <row r="1086" spans="1:10" x14ac:dyDescent="0.2">
      <c r="A1086">
        <v>1085</v>
      </c>
      <c r="B1086">
        <v>2015</v>
      </c>
      <c r="C1086" t="s">
        <v>13</v>
      </c>
      <c r="D1086" t="str">
        <f t="shared" si="53"/>
        <v>gasoline vehicle</v>
      </c>
      <c r="E1086" t="s">
        <v>18</v>
      </c>
      <c r="F1086" t="s">
        <v>30</v>
      </c>
      <c r="G1086" t="s">
        <v>33</v>
      </c>
      <c r="H1086" t="str">
        <f t="shared" si="54"/>
        <v>道路客车</v>
      </c>
      <c r="I1086" t="str">
        <f t="shared" si="55"/>
        <v>Passenger LDV</v>
      </c>
      <c r="J1086">
        <v>9375</v>
      </c>
    </row>
    <row r="1087" spans="1:10" x14ac:dyDescent="0.2">
      <c r="A1087">
        <v>1086</v>
      </c>
      <c r="B1087">
        <v>2016</v>
      </c>
      <c r="C1087" t="s">
        <v>13</v>
      </c>
      <c r="D1087" t="str">
        <f t="shared" si="53"/>
        <v>gasoline vehicle</v>
      </c>
      <c r="E1087" t="s">
        <v>18</v>
      </c>
      <c r="F1087" t="s">
        <v>30</v>
      </c>
      <c r="G1087" t="s">
        <v>33</v>
      </c>
      <c r="H1087" t="str">
        <f t="shared" si="54"/>
        <v>道路客车</v>
      </c>
      <c r="I1087" t="str">
        <f t="shared" si="55"/>
        <v>Passenger LDV</v>
      </c>
      <c r="J1087">
        <v>5958</v>
      </c>
    </row>
    <row r="1088" spans="1:10" x14ac:dyDescent="0.2">
      <c r="A1088">
        <v>1087</v>
      </c>
      <c r="B1088">
        <v>2017</v>
      </c>
      <c r="C1088" t="s">
        <v>13</v>
      </c>
      <c r="D1088" t="str">
        <f t="shared" si="53"/>
        <v>gasoline vehicle</v>
      </c>
      <c r="E1088" t="s">
        <v>18</v>
      </c>
      <c r="F1088" t="s">
        <v>30</v>
      </c>
      <c r="G1088" t="s">
        <v>33</v>
      </c>
      <c r="H1088" t="str">
        <f t="shared" si="54"/>
        <v>道路客车</v>
      </c>
      <c r="I1088" t="str">
        <f t="shared" si="55"/>
        <v>Passenger LDV</v>
      </c>
      <c r="J1088">
        <v>21686</v>
      </c>
    </row>
    <row r="1089" spans="1:10" x14ac:dyDescent="0.2">
      <c r="A1089">
        <v>1088</v>
      </c>
      <c r="B1089">
        <v>2018</v>
      </c>
      <c r="C1089" t="s">
        <v>13</v>
      </c>
      <c r="D1089" t="str">
        <f t="shared" si="53"/>
        <v>gasoline vehicle</v>
      </c>
      <c r="E1089" t="s">
        <v>18</v>
      </c>
      <c r="F1089" t="s">
        <v>30</v>
      </c>
      <c r="G1089" t="s">
        <v>33</v>
      </c>
      <c r="H1089" t="str">
        <f t="shared" si="54"/>
        <v>道路客车</v>
      </c>
      <c r="I1089" t="str">
        <f t="shared" si="55"/>
        <v>Passenger LDV</v>
      </c>
      <c r="J1089">
        <v>18011</v>
      </c>
    </row>
    <row r="1090" spans="1:10" x14ac:dyDescent="0.2">
      <c r="A1090">
        <v>1089</v>
      </c>
      <c r="B1090">
        <v>2019</v>
      </c>
      <c r="C1090" t="s">
        <v>13</v>
      </c>
      <c r="D1090" t="str">
        <f t="shared" ref="D1090:D1153" si="56">VLOOKUP(C1090,M$3:N$16,2,FALSE)</f>
        <v>gasoline vehicle</v>
      </c>
      <c r="E1090" t="s">
        <v>18</v>
      </c>
      <c r="F1090" t="s">
        <v>30</v>
      </c>
      <c r="G1090" t="s">
        <v>33</v>
      </c>
      <c r="H1090" t="str">
        <f t="shared" si="54"/>
        <v>道路客车</v>
      </c>
      <c r="I1090" t="str">
        <f t="shared" si="55"/>
        <v>Passenger LDV</v>
      </c>
      <c r="J1090">
        <v>9062</v>
      </c>
    </row>
    <row r="1091" spans="1:10" x14ac:dyDescent="0.2">
      <c r="A1091">
        <v>1090</v>
      </c>
      <c r="B1091">
        <v>2020</v>
      </c>
      <c r="C1091" t="s">
        <v>13</v>
      </c>
      <c r="D1091" t="str">
        <f t="shared" si="56"/>
        <v>gasoline vehicle</v>
      </c>
      <c r="E1091" t="s">
        <v>18</v>
      </c>
      <c r="F1091" t="s">
        <v>30</v>
      </c>
      <c r="G1091" t="s">
        <v>33</v>
      </c>
      <c r="H1091" t="str">
        <f t="shared" ref="H1091:H1154" si="57">VLOOKUP(E1091&amp;F1091&amp;G1091,$S$3:$U$68,2,FALSE)</f>
        <v>道路客车</v>
      </c>
      <c r="I1091" t="str">
        <f t="shared" ref="I1091:I1154" si="58">VLOOKUP(E1091&amp;F1091&amp;G1091,$S$3:$U$68,3,FALSE)</f>
        <v>Passenger LDV</v>
      </c>
      <c r="J1091">
        <v>10218</v>
      </c>
    </row>
    <row r="1092" spans="1:10" x14ac:dyDescent="0.2">
      <c r="A1092">
        <v>1091</v>
      </c>
      <c r="B1092">
        <v>2021</v>
      </c>
      <c r="C1092" t="s">
        <v>13</v>
      </c>
      <c r="D1092" t="str">
        <f t="shared" si="56"/>
        <v>gasoline vehicle</v>
      </c>
      <c r="E1092" t="s">
        <v>18</v>
      </c>
      <c r="F1092" t="s">
        <v>30</v>
      </c>
      <c r="G1092" t="s">
        <v>33</v>
      </c>
      <c r="H1092" t="str">
        <f t="shared" si="57"/>
        <v>道路客车</v>
      </c>
      <c r="I1092" t="str">
        <f t="shared" si="58"/>
        <v>Passenger LDV</v>
      </c>
      <c r="J1092">
        <v>6569</v>
      </c>
    </row>
    <row r="1093" spans="1:10" x14ac:dyDescent="0.2">
      <c r="A1093">
        <v>1092</v>
      </c>
      <c r="B1093">
        <v>2015</v>
      </c>
      <c r="C1093" t="s">
        <v>14</v>
      </c>
      <c r="D1093" t="str">
        <f t="shared" si="56"/>
        <v>natural gas vehicle</v>
      </c>
      <c r="E1093" t="s">
        <v>18</v>
      </c>
      <c r="F1093" t="s">
        <v>30</v>
      </c>
      <c r="G1093" t="s">
        <v>33</v>
      </c>
      <c r="H1093" t="str">
        <f t="shared" si="57"/>
        <v>道路客车</v>
      </c>
      <c r="I1093" t="str">
        <f t="shared" si="58"/>
        <v>Passenger LDV</v>
      </c>
      <c r="J1093">
        <v>929</v>
      </c>
    </row>
    <row r="1094" spans="1:10" x14ac:dyDescent="0.2">
      <c r="A1094">
        <v>1093</v>
      </c>
      <c r="B1094">
        <v>2016</v>
      </c>
      <c r="C1094" t="s">
        <v>14</v>
      </c>
      <c r="D1094" t="str">
        <f t="shared" si="56"/>
        <v>natural gas vehicle</v>
      </c>
      <c r="E1094" t="s">
        <v>18</v>
      </c>
      <c r="F1094" t="s">
        <v>30</v>
      </c>
      <c r="G1094" t="s">
        <v>33</v>
      </c>
      <c r="H1094" t="str">
        <f t="shared" si="57"/>
        <v>道路客车</v>
      </c>
      <c r="I1094" t="str">
        <f t="shared" si="58"/>
        <v>Passenger LDV</v>
      </c>
      <c r="J1094">
        <v>13</v>
      </c>
    </row>
    <row r="1095" spans="1:10" x14ac:dyDescent="0.2">
      <c r="A1095">
        <v>1094</v>
      </c>
      <c r="B1095">
        <v>2017</v>
      </c>
      <c r="C1095" t="s">
        <v>14</v>
      </c>
      <c r="D1095" t="str">
        <f t="shared" si="56"/>
        <v>natural gas vehicle</v>
      </c>
      <c r="E1095" t="s">
        <v>18</v>
      </c>
      <c r="F1095" t="s">
        <v>30</v>
      </c>
      <c r="G1095" t="s">
        <v>33</v>
      </c>
      <c r="H1095" t="str">
        <f t="shared" si="57"/>
        <v>道路客车</v>
      </c>
      <c r="I1095" t="str">
        <f t="shared" si="58"/>
        <v>Passenger LDV</v>
      </c>
      <c r="J1095">
        <v>13</v>
      </c>
    </row>
    <row r="1096" spans="1:10" x14ac:dyDescent="0.2">
      <c r="A1096">
        <v>1095</v>
      </c>
      <c r="B1096">
        <v>2018</v>
      </c>
      <c r="C1096" t="s">
        <v>14</v>
      </c>
      <c r="D1096" t="str">
        <f t="shared" si="56"/>
        <v>natural gas vehicle</v>
      </c>
      <c r="E1096" t="s">
        <v>18</v>
      </c>
      <c r="F1096" t="s">
        <v>30</v>
      </c>
      <c r="G1096" t="s">
        <v>33</v>
      </c>
      <c r="H1096" t="str">
        <f t="shared" si="57"/>
        <v>道路客车</v>
      </c>
      <c r="I1096" t="str">
        <f t="shared" si="58"/>
        <v>Passenger LDV</v>
      </c>
      <c r="J1096">
        <v>8</v>
      </c>
    </row>
    <row r="1097" spans="1:10" x14ac:dyDescent="0.2">
      <c r="A1097">
        <v>1096</v>
      </c>
      <c r="B1097">
        <v>2020</v>
      </c>
      <c r="C1097" t="s">
        <v>14</v>
      </c>
      <c r="D1097" t="str">
        <f t="shared" si="56"/>
        <v>natural gas vehicle</v>
      </c>
      <c r="E1097" t="s">
        <v>18</v>
      </c>
      <c r="F1097" t="s">
        <v>30</v>
      </c>
      <c r="G1097" t="s">
        <v>33</v>
      </c>
      <c r="H1097" t="str">
        <f t="shared" si="57"/>
        <v>道路客车</v>
      </c>
      <c r="I1097" t="str">
        <f t="shared" si="58"/>
        <v>Passenger LDV</v>
      </c>
      <c r="J1097">
        <v>16</v>
      </c>
    </row>
    <row r="1098" spans="1:10" x14ac:dyDescent="0.2">
      <c r="A1098">
        <v>1097</v>
      </c>
      <c r="B1098">
        <v>2017</v>
      </c>
      <c r="C1098" t="s">
        <v>16</v>
      </c>
      <c r="D1098" t="str">
        <f t="shared" si="56"/>
        <v>natural gas vehicle</v>
      </c>
      <c r="E1098" t="s">
        <v>18</v>
      </c>
      <c r="F1098" t="s">
        <v>30</v>
      </c>
      <c r="G1098" t="s">
        <v>33</v>
      </c>
      <c r="H1098" t="str">
        <f t="shared" si="57"/>
        <v>道路客车</v>
      </c>
      <c r="I1098" t="str">
        <f t="shared" si="58"/>
        <v>Passenger LDV</v>
      </c>
      <c r="J1098">
        <v>1</v>
      </c>
    </row>
    <row r="1099" spans="1:10" x14ac:dyDescent="0.2">
      <c r="A1099">
        <v>1098</v>
      </c>
      <c r="B1099">
        <v>2019</v>
      </c>
      <c r="C1099" t="s">
        <v>16</v>
      </c>
      <c r="D1099" t="str">
        <f t="shared" si="56"/>
        <v>natural gas vehicle</v>
      </c>
      <c r="E1099" t="s">
        <v>18</v>
      </c>
      <c r="F1099" t="s">
        <v>30</v>
      </c>
      <c r="G1099" t="s">
        <v>33</v>
      </c>
      <c r="H1099" t="str">
        <f t="shared" si="57"/>
        <v>道路客车</v>
      </c>
      <c r="I1099" t="str">
        <f t="shared" si="58"/>
        <v>Passenger LDV</v>
      </c>
      <c r="J1099">
        <v>11</v>
      </c>
    </row>
    <row r="1100" spans="1:10" x14ac:dyDescent="0.2">
      <c r="A1100">
        <v>1099</v>
      </c>
      <c r="B1100">
        <v>2020</v>
      </c>
      <c r="C1100" t="s">
        <v>16</v>
      </c>
      <c r="D1100" t="str">
        <f t="shared" si="56"/>
        <v>natural gas vehicle</v>
      </c>
      <c r="E1100" t="s">
        <v>18</v>
      </c>
      <c r="F1100" t="s">
        <v>30</v>
      </c>
      <c r="G1100" t="s">
        <v>33</v>
      </c>
      <c r="H1100" t="str">
        <f t="shared" si="57"/>
        <v>道路客车</v>
      </c>
      <c r="I1100" t="str">
        <f t="shared" si="58"/>
        <v>Passenger LDV</v>
      </c>
      <c r="J1100">
        <v>3</v>
      </c>
    </row>
    <row r="1101" spans="1:10" x14ac:dyDescent="0.2">
      <c r="A1101">
        <v>1100</v>
      </c>
      <c r="B1101">
        <v>2021</v>
      </c>
      <c r="C1101" t="s">
        <v>16</v>
      </c>
      <c r="D1101" t="str">
        <f t="shared" si="56"/>
        <v>natural gas vehicle</v>
      </c>
      <c r="E1101" t="s">
        <v>18</v>
      </c>
      <c r="F1101" t="s">
        <v>30</v>
      </c>
      <c r="G1101" t="s">
        <v>33</v>
      </c>
      <c r="H1101" t="str">
        <f t="shared" si="57"/>
        <v>道路客车</v>
      </c>
      <c r="I1101" t="str">
        <f t="shared" si="58"/>
        <v>Passenger LDV</v>
      </c>
      <c r="J1101">
        <v>409</v>
      </c>
    </row>
    <row r="1102" spans="1:10" x14ac:dyDescent="0.2">
      <c r="A1102">
        <v>1101</v>
      </c>
      <c r="B1102">
        <v>2015</v>
      </c>
      <c r="C1102" t="s">
        <v>10</v>
      </c>
      <c r="D1102" t="str">
        <f t="shared" si="56"/>
        <v>diesel vehicle</v>
      </c>
      <c r="E1102" t="s">
        <v>20</v>
      </c>
      <c r="F1102" t="s">
        <v>30</v>
      </c>
      <c r="G1102" t="s">
        <v>33</v>
      </c>
      <c r="H1102" t="str">
        <f t="shared" si="57"/>
        <v>道路客车</v>
      </c>
      <c r="I1102" t="str">
        <f t="shared" si="58"/>
        <v>Passenger HDV</v>
      </c>
      <c r="J1102">
        <v>16</v>
      </c>
    </row>
    <row r="1103" spans="1:10" x14ac:dyDescent="0.2">
      <c r="A1103">
        <v>1102</v>
      </c>
      <c r="B1103">
        <v>2015</v>
      </c>
      <c r="C1103" t="s">
        <v>13</v>
      </c>
      <c r="D1103" t="str">
        <f t="shared" si="56"/>
        <v>gasoline vehicle</v>
      </c>
      <c r="E1103" t="s">
        <v>20</v>
      </c>
      <c r="F1103" t="s">
        <v>30</v>
      </c>
      <c r="G1103" t="s">
        <v>33</v>
      </c>
      <c r="H1103" t="str">
        <f t="shared" si="57"/>
        <v>道路客车</v>
      </c>
      <c r="I1103" t="str">
        <f t="shared" si="58"/>
        <v>Passenger HDV</v>
      </c>
      <c r="J1103">
        <v>7</v>
      </c>
    </row>
    <row r="1104" spans="1:10" x14ac:dyDescent="0.2">
      <c r="A1104">
        <v>1103</v>
      </c>
      <c r="B1104">
        <v>2016</v>
      </c>
      <c r="C1104" t="s">
        <v>13</v>
      </c>
      <c r="D1104" t="str">
        <f t="shared" si="56"/>
        <v>gasoline vehicle</v>
      </c>
      <c r="E1104" t="s">
        <v>20</v>
      </c>
      <c r="F1104" t="s">
        <v>30</v>
      </c>
      <c r="G1104" t="s">
        <v>33</v>
      </c>
      <c r="H1104" t="str">
        <f t="shared" si="57"/>
        <v>道路客车</v>
      </c>
      <c r="I1104" t="str">
        <f t="shared" si="58"/>
        <v>Passenger HDV</v>
      </c>
      <c r="J1104">
        <v>2</v>
      </c>
    </row>
    <row r="1105" spans="1:10" x14ac:dyDescent="0.2">
      <c r="A1105">
        <v>1104</v>
      </c>
      <c r="B1105">
        <v>2017</v>
      </c>
      <c r="C1105" t="s">
        <v>13</v>
      </c>
      <c r="D1105" t="str">
        <f t="shared" si="56"/>
        <v>gasoline vehicle</v>
      </c>
      <c r="E1105" t="s">
        <v>20</v>
      </c>
      <c r="F1105" t="s">
        <v>30</v>
      </c>
      <c r="G1105" t="s">
        <v>33</v>
      </c>
      <c r="H1105" t="str">
        <f t="shared" si="57"/>
        <v>道路客车</v>
      </c>
      <c r="I1105" t="str">
        <f t="shared" si="58"/>
        <v>Passenger HDV</v>
      </c>
      <c r="J1105">
        <v>8</v>
      </c>
    </row>
    <row r="1106" spans="1:10" x14ac:dyDescent="0.2">
      <c r="A1106">
        <v>1105</v>
      </c>
      <c r="B1106">
        <v>2018</v>
      </c>
      <c r="C1106" t="s">
        <v>13</v>
      </c>
      <c r="D1106" t="str">
        <f t="shared" si="56"/>
        <v>gasoline vehicle</v>
      </c>
      <c r="E1106" t="s">
        <v>20</v>
      </c>
      <c r="F1106" t="s">
        <v>30</v>
      </c>
      <c r="G1106" t="s">
        <v>33</v>
      </c>
      <c r="H1106" t="str">
        <f t="shared" si="57"/>
        <v>道路客车</v>
      </c>
      <c r="I1106" t="str">
        <f t="shared" si="58"/>
        <v>Passenger HDV</v>
      </c>
      <c r="J1106">
        <v>32</v>
      </c>
    </row>
    <row r="1107" spans="1:10" x14ac:dyDescent="0.2">
      <c r="A1107">
        <v>1106</v>
      </c>
      <c r="B1107">
        <v>2019</v>
      </c>
      <c r="C1107" t="s">
        <v>13</v>
      </c>
      <c r="D1107" t="str">
        <f t="shared" si="56"/>
        <v>gasoline vehicle</v>
      </c>
      <c r="E1107" t="s">
        <v>20</v>
      </c>
      <c r="F1107" t="s">
        <v>30</v>
      </c>
      <c r="G1107" t="s">
        <v>33</v>
      </c>
      <c r="H1107" t="str">
        <f t="shared" si="57"/>
        <v>道路客车</v>
      </c>
      <c r="I1107" t="str">
        <f t="shared" si="58"/>
        <v>Passenger HDV</v>
      </c>
      <c r="J1107">
        <v>1</v>
      </c>
    </row>
    <row r="1108" spans="1:10" x14ac:dyDescent="0.2">
      <c r="A1108">
        <v>1107</v>
      </c>
      <c r="B1108">
        <v>2020</v>
      </c>
      <c r="C1108" t="s">
        <v>13</v>
      </c>
      <c r="D1108" t="str">
        <f t="shared" si="56"/>
        <v>gasoline vehicle</v>
      </c>
      <c r="E1108" t="s">
        <v>20</v>
      </c>
      <c r="F1108" t="s">
        <v>30</v>
      </c>
      <c r="G1108" t="s">
        <v>33</v>
      </c>
      <c r="H1108" t="str">
        <f t="shared" si="57"/>
        <v>道路客车</v>
      </c>
      <c r="I1108" t="str">
        <f t="shared" si="58"/>
        <v>Passenger HDV</v>
      </c>
      <c r="J1108">
        <v>4</v>
      </c>
    </row>
    <row r="1109" spans="1:10" x14ac:dyDescent="0.2">
      <c r="A1109">
        <v>1108</v>
      </c>
      <c r="B1109">
        <v>2017</v>
      </c>
      <c r="C1109" t="s">
        <v>11</v>
      </c>
      <c r="D1109" t="str">
        <f t="shared" si="56"/>
        <v>battery electric vehicle</v>
      </c>
      <c r="E1109" t="s">
        <v>28</v>
      </c>
      <c r="F1109" t="s">
        <v>17</v>
      </c>
      <c r="G1109" t="s">
        <v>33</v>
      </c>
      <c r="H1109" t="str">
        <f t="shared" si="57"/>
        <v>乘用车</v>
      </c>
      <c r="I1109" t="str">
        <f t="shared" si="58"/>
        <v>Passenger LDV</v>
      </c>
      <c r="J1109">
        <v>1384</v>
      </c>
    </row>
    <row r="1110" spans="1:10" x14ac:dyDescent="0.2">
      <c r="A1110">
        <v>1109</v>
      </c>
      <c r="B1110">
        <v>2017</v>
      </c>
      <c r="C1110" t="s">
        <v>13</v>
      </c>
      <c r="D1110" t="str">
        <f t="shared" si="56"/>
        <v>gasoline vehicle</v>
      </c>
      <c r="E1110" t="s">
        <v>28</v>
      </c>
      <c r="F1110" t="s">
        <v>17</v>
      </c>
      <c r="G1110" t="s">
        <v>33</v>
      </c>
      <c r="H1110" t="str">
        <f t="shared" si="57"/>
        <v>乘用车</v>
      </c>
      <c r="I1110" t="str">
        <f t="shared" si="58"/>
        <v>Passenger LDV</v>
      </c>
      <c r="J1110">
        <v>2</v>
      </c>
    </row>
    <row r="1111" spans="1:10" x14ac:dyDescent="0.2">
      <c r="A1111">
        <v>1110</v>
      </c>
      <c r="B1111">
        <v>2018</v>
      </c>
      <c r="C1111" t="s">
        <v>13</v>
      </c>
      <c r="D1111" t="str">
        <f t="shared" si="56"/>
        <v>gasoline vehicle</v>
      </c>
      <c r="E1111" t="s">
        <v>28</v>
      </c>
      <c r="F1111" t="s">
        <v>17</v>
      </c>
      <c r="G1111" t="s">
        <v>33</v>
      </c>
      <c r="H1111" t="str">
        <f t="shared" si="57"/>
        <v>乘用车</v>
      </c>
      <c r="I1111" t="str">
        <f t="shared" si="58"/>
        <v>Passenger LDV</v>
      </c>
      <c r="J1111">
        <v>7</v>
      </c>
    </row>
    <row r="1112" spans="1:10" x14ac:dyDescent="0.2">
      <c r="A1112">
        <v>1111</v>
      </c>
      <c r="B1112">
        <v>2018</v>
      </c>
      <c r="C1112" t="s">
        <v>6</v>
      </c>
      <c r="D1112" t="str">
        <f t="shared" si="56"/>
        <v>plugin hybrid vehicle</v>
      </c>
      <c r="E1112" t="s">
        <v>18</v>
      </c>
      <c r="F1112" t="s">
        <v>17</v>
      </c>
      <c r="G1112" t="s">
        <v>33</v>
      </c>
      <c r="H1112" t="str">
        <f t="shared" si="57"/>
        <v>乘用车</v>
      </c>
      <c r="I1112" t="str">
        <f t="shared" si="58"/>
        <v>Passenger LDV</v>
      </c>
      <c r="J1112">
        <v>1</v>
      </c>
    </row>
    <row r="1113" spans="1:10" x14ac:dyDescent="0.2">
      <c r="A1113">
        <v>1112</v>
      </c>
      <c r="B1113">
        <v>2016</v>
      </c>
      <c r="C1113" t="s">
        <v>10</v>
      </c>
      <c r="D1113" t="str">
        <f t="shared" si="56"/>
        <v>diesel vehicle</v>
      </c>
      <c r="E1113" t="s">
        <v>18</v>
      </c>
      <c r="F1113" t="s">
        <v>17</v>
      </c>
      <c r="G1113" t="s">
        <v>33</v>
      </c>
      <c r="H1113" t="str">
        <f t="shared" si="57"/>
        <v>乘用车</v>
      </c>
      <c r="I1113" t="str">
        <f t="shared" si="58"/>
        <v>Passenger LDV</v>
      </c>
      <c r="J1113">
        <v>30</v>
      </c>
    </row>
    <row r="1114" spans="1:10" x14ac:dyDescent="0.2">
      <c r="A1114">
        <v>1113</v>
      </c>
      <c r="B1114">
        <v>2017</v>
      </c>
      <c r="C1114" t="s">
        <v>10</v>
      </c>
      <c r="D1114" t="str">
        <f t="shared" si="56"/>
        <v>diesel vehicle</v>
      </c>
      <c r="E1114" t="s">
        <v>18</v>
      </c>
      <c r="F1114" t="s">
        <v>17</v>
      </c>
      <c r="G1114" t="s">
        <v>33</v>
      </c>
      <c r="H1114" t="str">
        <f t="shared" si="57"/>
        <v>乘用车</v>
      </c>
      <c r="I1114" t="str">
        <f t="shared" si="58"/>
        <v>Passenger LDV</v>
      </c>
      <c r="J1114">
        <v>5</v>
      </c>
    </row>
    <row r="1115" spans="1:10" x14ac:dyDescent="0.2">
      <c r="A1115">
        <v>1114</v>
      </c>
      <c r="B1115">
        <v>2018</v>
      </c>
      <c r="C1115" t="s">
        <v>10</v>
      </c>
      <c r="D1115" t="str">
        <f t="shared" si="56"/>
        <v>diesel vehicle</v>
      </c>
      <c r="E1115" t="s">
        <v>18</v>
      </c>
      <c r="F1115" t="s">
        <v>17</v>
      </c>
      <c r="G1115" t="s">
        <v>33</v>
      </c>
      <c r="H1115" t="str">
        <f t="shared" si="57"/>
        <v>乘用车</v>
      </c>
      <c r="I1115" t="str">
        <f t="shared" si="58"/>
        <v>Passenger LDV</v>
      </c>
      <c r="J1115">
        <v>7</v>
      </c>
    </row>
    <row r="1116" spans="1:10" x14ac:dyDescent="0.2">
      <c r="A1116">
        <v>1115</v>
      </c>
      <c r="B1116">
        <v>2016</v>
      </c>
      <c r="C1116" t="s">
        <v>11</v>
      </c>
      <c r="D1116" t="str">
        <f t="shared" si="56"/>
        <v>battery electric vehicle</v>
      </c>
      <c r="E1116" t="s">
        <v>18</v>
      </c>
      <c r="F1116" t="s">
        <v>17</v>
      </c>
      <c r="G1116" t="s">
        <v>33</v>
      </c>
      <c r="H1116" t="str">
        <f t="shared" si="57"/>
        <v>乘用车</v>
      </c>
      <c r="I1116" t="str">
        <f t="shared" si="58"/>
        <v>Passenger LDV</v>
      </c>
      <c r="J1116">
        <v>13</v>
      </c>
    </row>
    <row r="1117" spans="1:10" x14ac:dyDescent="0.2">
      <c r="A1117">
        <v>1116</v>
      </c>
      <c r="B1117">
        <v>2017</v>
      </c>
      <c r="C1117" t="s">
        <v>11</v>
      </c>
      <c r="D1117" t="str">
        <f t="shared" si="56"/>
        <v>battery electric vehicle</v>
      </c>
      <c r="E1117" t="s">
        <v>18</v>
      </c>
      <c r="F1117" t="s">
        <v>17</v>
      </c>
      <c r="G1117" t="s">
        <v>33</v>
      </c>
      <c r="H1117" t="str">
        <f t="shared" si="57"/>
        <v>乘用车</v>
      </c>
      <c r="I1117" t="str">
        <f t="shared" si="58"/>
        <v>Passenger LDV</v>
      </c>
      <c r="J1117">
        <v>1144</v>
      </c>
    </row>
    <row r="1118" spans="1:10" x14ac:dyDescent="0.2">
      <c r="A1118">
        <v>1117</v>
      </c>
      <c r="B1118">
        <v>2018</v>
      </c>
      <c r="C1118" t="s">
        <v>11</v>
      </c>
      <c r="D1118" t="str">
        <f t="shared" si="56"/>
        <v>battery electric vehicle</v>
      </c>
      <c r="E1118" t="s">
        <v>18</v>
      </c>
      <c r="F1118" t="s">
        <v>17</v>
      </c>
      <c r="G1118" t="s">
        <v>33</v>
      </c>
      <c r="H1118" t="str">
        <f t="shared" si="57"/>
        <v>乘用车</v>
      </c>
      <c r="I1118" t="str">
        <f t="shared" si="58"/>
        <v>Passenger LDV</v>
      </c>
      <c r="J1118">
        <v>2</v>
      </c>
    </row>
    <row r="1119" spans="1:10" x14ac:dyDescent="0.2">
      <c r="A1119">
        <v>1118</v>
      </c>
      <c r="B1119">
        <v>2020</v>
      </c>
      <c r="C1119" t="s">
        <v>11</v>
      </c>
      <c r="D1119" t="str">
        <f t="shared" si="56"/>
        <v>battery electric vehicle</v>
      </c>
      <c r="E1119" t="s">
        <v>18</v>
      </c>
      <c r="F1119" t="s">
        <v>17</v>
      </c>
      <c r="G1119" t="s">
        <v>33</v>
      </c>
      <c r="H1119" t="str">
        <f t="shared" si="57"/>
        <v>乘用车</v>
      </c>
      <c r="I1119" t="str">
        <f t="shared" si="58"/>
        <v>Passenger LDV</v>
      </c>
      <c r="J1119">
        <v>2</v>
      </c>
    </row>
    <row r="1120" spans="1:10" x14ac:dyDescent="0.2">
      <c r="A1120">
        <v>1119</v>
      </c>
      <c r="B1120">
        <v>2017</v>
      </c>
      <c r="C1120" t="s">
        <v>12</v>
      </c>
      <c r="D1120" t="str">
        <f t="shared" si="56"/>
        <v>hybrid fuel vehicle</v>
      </c>
      <c r="E1120" t="s">
        <v>18</v>
      </c>
      <c r="F1120" t="s">
        <v>17</v>
      </c>
      <c r="G1120" t="s">
        <v>33</v>
      </c>
      <c r="H1120" t="str">
        <f t="shared" si="57"/>
        <v>乘用车</v>
      </c>
      <c r="I1120" t="str">
        <f t="shared" si="58"/>
        <v>Passenger LDV</v>
      </c>
      <c r="J1120">
        <v>1</v>
      </c>
    </row>
    <row r="1121" spans="1:10" x14ac:dyDescent="0.2">
      <c r="A1121">
        <v>1120</v>
      </c>
      <c r="B1121">
        <v>2016</v>
      </c>
      <c r="C1121" t="s">
        <v>13</v>
      </c>
      <c r="D1121" t="str">
        <f t="shared" si="56"/>
        <v>gasoline vehicle</v>
      </c>
      <c r="E1121" t="s">
        <v>18</v>
      </c>
      <c r="F1121" t="s">
        <v>17</v>
      </c>
      <c r="G1121" t="s">
        <v>33</v>
      </c>
      <c r="H1121" t="str">
        <f t="shared" si="57"/>
        <v>乘用车</v>
      </c>
      <c r="I1121" t="str">
        <f t="shared" si="58"/>
        <v>Passenger LDV</v>
      </c>
      <c r="J1121">
        <v>1135</v>
      </c>
    </row>
    <row r="1122" spans="1:10" x14ac:dyDescent="0.2">
      <c r="A1122">
        <v>1121</v>
      </c>
      <c r="B1122">
        <v>2017</v>
      </c>
      <c r="C1122" t="s">
        <v>13</v>
      </c>
      <c r="D1122" t="str">
        <f t="shared" si="56"/>
        <v>gasoline vehicle</v>
      </c>
      <c r="E1122" t="s">
        <v>18</v>
      </c>
      <c r="F1122" t="s">
        <v>17</v>
      </c>
      <c r="G1122" t="s">
        <v>33</v>
      </c>
      <c r="H1122" t="str">
        <f t="shared" si="57"/>
        <v>乘用车</v>
      </c>
      <c r="I1122" t="str">
        <f t="shared" si="58"/>
        <v>Passenger LDV</v>
      </c>
      <c r="J1122">
        <v>1221</v>
      </c>
    </row>
    <row r="1123" spans="1:10" x14ac:dyDescent="0.2">
      <c r="A1123">
        <v>1122</v>
      </c>
      <c r="B1123">
        <v>2018</v>
      </c>
      <c r="C1123" t="s">
        <v>13</v>
      </c>
      <c r="D1123" t="str">
        <f t="shared" si="56"/>
        <v>gasoline vehicle</v>
      </c>
      <c r="E1123" t="s">
        <v>18</v>
      </c>
      <c r="F1123" t="s">
        <v>17</v>
      </c>
      <c r="G1123" t="s">
        <v>33</v>
      </c>
      <c r="H1123" t="str">
        <f t="shared" si="57"/>
        <v>乘用车</v>
      </c>
      <c r="I1123" t="str">
        <f t="shared" si="58"/>
        <v>Passenger LDV</v>
      </c>
      <c r="J1123">
        <v>586</v>
      </c>
    </row>
    <row r="1124" spans="1:10" x14ac:dyDescent="0.2">
      <c r="A1124">
        <v>1123</v>
      </c>
      <c r="B1124">
        <v>2019</v>
      </c>
      <c r="C1124" t="s">
        <v>13</v>
      </c>
      <c r="D1124" t="str">
        <f t="shared" si="56"/>
        <v>gasoline vehicle</v>
      </c>
      <c r="E1124" t="s">
        <v>18</v>
      </c>
      <c r="F1124" t="s">
        <v>17</v>
      </c>
      <c r="G1124" t="s">
        <v>33</v>
      </c>
      <c r="H1124" t="str">
        <f t="shared" si="57"/>
        <v>乘用车</v>
      </c>
      <c r="I1124" t="str">
        <f t="shared" si="58"/>
        <v>Passenger LDV</v>
      </c>
      <c r="J1124">
        <v>34</v>
      </c>
    </row>
    <row r="1125" spans="1:10" x14ac:dyDescent="0.2">
      <c r="A1125">
        <v>1124</v>
      </c>
      <c r="B1125">
        <v>2020</v>
      </c>
      <c r="C1125" t="s">
        <v>13</v>
      </c>
      <c r="D1125" t="str">
        <f t="shared" si="56"/>
        <v>gasoline vehicle</v>
      </c>
      <c r="E1125" t="s">
        <v>18</v>
      </c>
      <c r="F1125" t="s">
        <v>17</v>
      </c>
      <c r="G1125" t="s">
        <v>33</v>
      </c>
      <c r="H1125" t="str">
        <f t="shared" si="57"/>
        <v>乘用车</v>
      </c>
      <c r="I1125" t="str">
        <f t="shared" si="58"/>
        <v>Passenger LDV</v>
      </c>
      <c r="J1125">
        <v>193</v>
      </c>
    </row>
    <row r="1126" spans="1:10" x14ac:dyDescent="0.2">
      <c r="A1126">
        <v>1125</v>
      </c>
      <c r="B1126">
        <v>2021</v>
      </c>
      <c r="C1126" t="s">
        <v>13</v>
      </c>
      <c r="D1126" t="str">
        <f t="shared" si="56"/>
        <v>gasoline vehicle</v>
      </c>
      <c r="E1126" t="s">
        <v>18</v>
      </c>
      <c r="F1126" t="s">
        <v>17</v>
      </c>
      <c r="G1126" t="s">
        <v>33</v>
      </c>
      <c r="H1126" t="str">
        <f t="shared" si="57"/>
        <v>乘用车</v>
      </c>
      <c r="I1126" t="str">
        <f t="shared" si="58"/>
        <v>Passenger LDV</v>
      </c>
      <c r="J1126">
        <v>126</v>
      </c>
    </row>
    <row r="1127" spans="1:10" x14ac:dyDescent="0.2">
      <c r="A1127">
        <v>1126</v>
      </c>
      <c r="B1127">
        <v>2016</v>
      </c>
      <c r="C1127" t="s">
        <v>14</v>
      </c>
      <c r="D1127" t="str">
        <f t="shared" si="56"/>
        <v>natural gas vehicle</v>
      </c>
      <c r="E1127" t="s">
        <v>18</v>
      </c>
      <c r="F1127" t="s">
        <v>17</v>
      </c>
      <c r="G1127" t="s">
        <v>33</v>
      </c>
      <c r="H1127" t="str">
        <f t="shared" si="57"/>
        <v>乘用车</v>
      </c>
      <c r="I1127" t="str">
        <f t="shared" si="58"/>
        <v>Passenger LDV</v>
      </c>
      <c r="J1127">
        <v>10</v>
      </c>
    </row>
    <row r="1128" spans="1:10" x14ac:dyDescent="0.2">
      <c r="A1128">
        <v>1127</v>
      </c>
      <c r="B1128">
        <v>2017</v>
      </c>
      <c r="C1128" t="s">
        <v>14</v>
      </c>
      <c r="D1128" t="str">
        <f t="shared" si="56"/>
        <v>natural gas vehicle</v>
      </c>
      <c r="E1128" t="s">
        <v>18</v>
      </c>
      <c r="F1128" t="s">
        <v>17</v>
      </c>
      <c r="G1128" t="s">
        <v>33</v>
      </c>
      <c r="H1128" t="str">
        <f t="shared" si="57"/>
        <v>乘用车</v>
      </c>
      <c r="I1128" t="str">
        <f t="shared" si="58"/>
        <v>Passenger LDV</v>
      </c>
      <c r="J1128">
        <v>5</v>
      </c>
    </row>
    <row r="1129" spans="1:10" x14ac:dyDescent="0.2">
      <c r="A1129">
        <v>1128</v>
      </c>
      <c r="B1129">
        <v>2018</v>
      </c>
      <c r="C1129" t="s">
        <v>14</v>
      </c>
      <c r="D1129" t="str">
        <f t="shared" si="56"/>
        <v>natural gas vehicle</v>
      </c>
      <c r="E1129" t="s">
        <v>18</v>
      </c>
      <c r="F1129" t="s">
        <v>17</v>
      </c>
      <c r="G1129" t="s">
        <v>33</v>
      </c>
      <c r="H1129" t="str">
        <f t="shared" si="57"/>
        <v>乘用车</v>
      </c>
      <c r="I1129" t="str">
        <f t="shared" si="58"/>
        <v>Passenger LDV</v>
      </c>
      <c r="J1129">
        <v>1</v>
      </c>
    </row>
    <row r="1130" spans="1:10" x14ac:dyDescent="0.2">
      <c r="A1130">
        <v>1129</v>
      </c>
      <c r="B1130">
        <v>2016</v>
      </c>
      <c r="C1130" t="s">
        <v>13</v>
      </c>
      <c r="D1130" t="str">
        <f t="shared" si="56"/>
        <v>gasoline vehicle</v>
      </c>
      <c r="E1130" t="s">
        <v>20</v>
      </c>
      <c r="F1130" t="s">
        <v>17</v>
      </c>
      <c r="G1130" t="s">
        <v>33</v>
      </c>
      <c r="H1130" t="str">
        <f t="shared" si="57"/>
        <v>道路客车</v>
      </c>
      <c r="I1130" t="str">
        <f t="shared" si="58"/>
        <v>Passenger HDV</v>
      </c>
      <c r="J1130">
        <v>5</v>
      </c>
    </row>
    <row r="1131" spans="1:10" x14ac:dyDescent="0.2">
      <c r="A1131">
        <v>1130</v>
      </c>
      <c r="B1131">
        <v>2017</v>
      </c>
      <c r="C1131" t="s">
        <v>13</v>
      </c>
      <c r="D1131" t="str">
        <f t="shared" si="56"/>
        <v>gasoline vehicle</v>
      </c>
      <c r="E1131" t="s">
        <v>20</v>
      </c>
      <c r="F1131" t="s">
        <v>17</v>
      </c>
      <c r="G1131" t="s">
        <v>33</v>
      </c>
      <c r="H1131" t="str">
        <f t="shared" si="57"/>
        <v>道路客车</v>
      </c>
      <c r="I1131" t="str">
        <f t="shared" si="58"/>
        <v>Passenger HDV</v>
      </c>
      <c r="J1131">
        <v>1</v>
      </c>
    </row>
    <row r="1132" spans="1:10" x14ac:dyDescent="0.2">
      <c r="A1132">
        <v>1131</v>
      </c>
      <c r="B1132">
        <v>2018</v>
      </c>
      <c r="C1132" t="s">
        <v>13</v>
      </c>
      <c r="D1132" t="str">
        <f t="shared" si="56"/>
        <v>gasoline vehicle</v>
      </c>
      <c r="E1132" t="s">
        <v>20</v>
      </c>
      <c r="F1132" t="s">
        <v>17</v>
      </c>
      <c r="G1132" t="s">
        <v>33</v>
      </c>
      <c r="H1132" t="str">
        <f t="shared" si="57"/>
        <v>道路客车</v>
      </c>
      <c r="I1132" t="str">
        <f t="shared" si="58"/>
        <v>Passenger HDV</v>
      </c>
      <c r="J1132">
        <v>5</v>
      </c>
    </row>
    <row r="1133" spans="1:10" x14ac:dyDescent="0.2">
      <c r="A1133">
        <v>1132</v>
      </c>
      <c r="B1133">
        <v>2020</v>
      </c>
      <c r="C1133" t="s">
        <v>13</v>
      </c>
      <c r="D1133" t="str">
        <f t="shared" si="56"/>
        <v>gasoline vehicle</v>
      </c>
      <c r="E1133" t="s">
        <v>20</v>
      </c>
      <c r="F1133" t="s">
        <v>17</v>
      </c>
      <c r="G1133" t="s">
        <v>33</v>
      </c>
      <c r="H1133" t="str">
        <f t="shared" si="57"/>
        <v>道路客车</v>
      </c>
      <c r="I1133" t="str">
        <f t="shared" si="58"/>
        <v>Passenger HDV</v>
      </c>
      <c r="J1133">
        <v>1</v>
      </c>
    </row>
    <row r="1134" spans="1:10" x14ac:dyDescent="0.2">
      <c r="A1134">
        <v>1133</v>
      </c>
      <c r="B1134">
        <v>2021</v>
      </c>
      <c r="C1134" t="s">
        <v>13</v>
      </c>
      <c r="D1134" t="str">
        <f t="shared" si="56"/>
        <v>gasoline vehicle</v>
      </c>
      <c r="E1134" t="s">
        <v>20</v>
      </c>
      <c r="F1134" t="s">
        <v>17</v>
      </c>
      <c r="G1134" t="s">
        <v>33</v>
      </c>
      <c r="H1134" t="str">
        <f t="shared" si="57"/>
        <v>道路客车</v>
      </c>
      <c r="I1134" t="str">
        <f t="shared" si="58"/>
        <v>Passenger HDV</v>
      </c>
      <c r="J1134">
        <v>1</v>
      </c>
    </row>
    <row r="1135" spans="1:10" x14ac:dyDescent="0.2">
      <c r="A1135">
        <v>1134</v>
      </c>
      <c r="B1135">
        <v>2015</v>
      </c>
      <c r="C1135" t="s">
        <v>11</v>
      </c>
      <c r="D1135" t="str">
        <f t="shared" si="56"/>
        <v>battery electric vehicle</v>
      </c>
      <c r="E1135" t="s">
        <v>28</v>
      </c>
      <c r="F1135" t="s">
        <v>31</v>
      </c>
      <c r="G1135" t="s">
        <v>33</v>
      </c>
      <c r="H1135" t="str">
        <f t="shared" si="57"/>
        <v>出租车</v>
      </c>
      <c r="I1135" t="str">
        <f t="shared" si="58"/>
        <v>Passenger LDV</v>
      </c>
      <c r="J1135">
        <v>1</v>
      </c>
    </row>
    <row r="1136" spans="1:10" x14ac:dyDescent="0.2">
      <c r="A1136">
        <v>1135</v>
      </c>
      <c r="B1136">
        <v>2021</v>
      </c>
      <c r="C1136" t="s">
        <v>11</v>
      </c>
      <c r="D1136" t="str">
        <f t="shared" si="56"/>
        <v>battery electric vehicle</v>
      </c>
      <c r="E1136" t="s">
        <v>28</v>
      </c>
      <c r="F1136" t="s">
        <v>31</v>
      </c>
      <c r="G1136" t="s">
        <v>33</v>
      </c>
      <c r="H1136" t="str">
        <f t="shared" si="57"/>
        <v>出租车</v>
      </c>
      <c r="I1136" t="str">
        <f t="shared" si="58"/>
        <v>Passenger LDV</v>
      </c>
      <c r="J1136">
        <v>1</v>
      </c>
    </row>
    <row r="1137" spans="1:10" x14ac:dyDescent="0.2">
      <c r="A1137">
        <v>1136</v>
      </c>
      <c r="B1137">
        <v>2015</v>
      </c>
      <c r="C1137" t="s">
        <v>13</v>
      </c>
      <c r="D1137" t="str">
        <f t="shared" si="56"/>
        <v>gasoline vehicle</v>
      </c>
      <c r="E1137" t="s">
        <v>28</v>
      </c>
      <c r="F1137" t="s">
        <v>31</v>
      </c>
      <c r="G1137" t="s">
        <v>33</v>
      </c>
      <c r="H1137" t="str">
        <f t="shared" si="57"/>
        <v>出租车</v>
      </c>
      <c r="I1137" t="str">
        <f t="shared" si="58"/>
        <v>Passenger LDV</v>
      </c>
      <c r="J1137">
        <v>1</v>
      </c>
    </row>
    <row r="1138" spans="1:10" x14ac:dyDescent="0.2">
      <c r="A1138">
        <v>1137</v>
      </c>
      <c r="B1138">
        <v>2015</v>
      </c>
      <c r="C1138" t="s">
        <v>10</v>
      </c>
      <c r="D1138" t="str">
        <f t="shared" si="56"/>
        <v>diesel vehicle</v>
      </c>
      <c r="E1138" t="s">
        <v>18</v>
      </c>
      <c r="F1138" t="s">
        <v>31</v>
      </c>
      <c r="G1138" t="s">
        <v>33</v>
      </c>
      <c r="H1138" t="str">
        <f t="shared" si="57"/>
        <v>出租车</v>
      </c>
      <c r="I1138" t="str">
        <f t="shared" si="58"/>
        <v>Passenger LDV</v>
      </c>
      <c r="J1138">
        <v>583</v>
      </c>
    </row>
    <row r="1139" spans="1:10" x14ac:dyDescent="0.2">
      <c r="A1139">
        <v>1138</v>
      </c>
      <c r="B1139">
        <v>2016</v>
      </c>
      <c r="C1139" t="s">
        <v>10</v>
      </c>
      <c r="D1139" t="str">
        <f t="shared" si="56"/>
        <v>diesel vehicle</v>
      </c>
      <c r="E1139" t="s">
        <v>18</v>
      </c>
      <c r="F1139" t="s">
        <v>31</v>
      </c>
      <c r="G1139" t="s">
        <v>33</v>
      </c>
      <c r="H1139" t="str">
        <f t="shared" si="57"/>
        <v>出租车</v>
      </c>
      <c r="I1139" t="str">
        <f t="shared" si="58"/>
        <v>Passenger LDV</v>
      </c>
      <c r="J1139">
        <v>1</v>
      </c>
    </row>
    <row r="1140" spans="1:10" x14ac:dyDescent="0.2">
      <c r="A1140">
        <v>1139</v>
      </c>
      <c r="B1140">
        <v>2017</v>
      </c>
      <c r="C1140" t="s">
        <v>10</v>
      </c>
      <c r="D1140" t="str">
        <f t="shared" si="56"/>
        <v>diesel vehicle</v>
      </c>
      <c r="E1140" t="s">
        <v>18</v>
      </c>
      <c r="F1140" t="s">
        <v>31</v>
      </c>
      <c r="G1140" t="s">
        <v>33</v>
      </c>
      <c r="H1140" t="str">
        <f t="shared" si="57"/>
        <v>出租车</v>
      </c>
      <c r="I1140" t="str">
        <f t="shared" si="58"/>
        <v>Passenger LDV</v>
      </c>
      <c r="J1140">
        <v>1</v>
      </c>
    </row>
    <row r="1141" spans="1:10" x14ac:dyDescent="0.2">
      <c r="A1141">
        <v>1140</v>
      </c>
      <c r="B1141">
        <v>2018</v>
      </c>
      <c r="C1141" t="s">
        <v>10</v>
      </c>
      <c r="D1141" t="str">
        <f t="shared" si="56"/>
        <v>diesel vehicle</v>
      </c>
      <c r="E1141" t="s">
        <v>18</v>
      </c>
      <c r="F1141" t="s">
        <v>31</v>
      </c>
      <c r="G1141" t="s">
        <v>33</v>
      </c>
      <c r="H1141" t="str">
        <f t="shared" si="57"/>
        <v>出租车</v>
      </c>
      <c r="I1141" t="str">
        <f t="shared" si="58"/>
        <v>Passenger LDV</v>
      </c>
      <c r="J1141">
        <v>1</v>
      </c>
    </row>
    <row r="1142" spans="1:10" x14ac:dyDescent="0.2">
      <c r="A1142">
        <v>1141</v>
      </c>
      <c r="B1142">
        <v>2020</v>
      </c>
      <c r="C1142" t="s">
        <v>10</v>
      </c>
      <c r="D1142" t="str">
        <f t="shared" si="56"/>
        <v>diesel vehicle</v>
      </c>
      <c r="E1142" t="s">
        <v>18</v>
      </c>
      <c r="F1142" t="s">
        <v>31</v>
      </c>
      <c r="G1142" t="s">
        <v>33</v>
      </c>
      <c r="H1142" t="str">
        <f t="shared" si="57"/>
        <v>出租车</v>
      </c>
      <c r="I1142" t="str">
        <f t="shared" si="58"/>
        <v>Passenger LDV</v>
      </c>
      <c r="J1142">
        <v>2</v>
      </c>
    </row>
    <row r="1143" spans="1:10" x14ac:dyDescent="0.2">
      <c r="A1143">
        <v>1142</v>
      </c>
      <c r="B1143">
        <v>2021</v>
      </c>
      <c r="C1143" t="s">
        <v>10</v>
      </c>
      <c r="D1143" t="str">
        <f t="shared" si="56"/>
        <v>diesel vehicle</v>
      </c>
      <c r="E1143" t="s">
        <v>18</v>
      </c>
      <c r="F1143" t="s">
        <v>31</v>
      </c>
      <c r="G1143" t="s">
        <v>33</v>
      </c>
      <c r="H1143" t="str">
        <f t="shared" si="57"/>
        <v>出租车</v>
      </c>
      <c r="I1143" t="str">
        <f t="shared" si="58"/>
        <v>Passenger LDV</v>
      </c>
      <c r="J1143">
        <v>1</v>
      </c>
    </row>
    <row r="1144" spans="1:10" x14ac:dyDescent="0.2">
      <c r="A1144">
        <v>1143</v>
      </c>
      <c r="B1144">
        <v>2015</v>
      </c>
      <c r="C1144" t="s">
        <v>11</v>
      </c>
      <c r="D1144" t="str">
        <f t="shared" si="56"/>
        <v>battery electric vehicle</v>
      </c>
      <c r="E1144" t="s">
        <v>18</v>
      </c>
      <c r="F1144" t="s">
        <v>31</v>
      </c>
      <c r="G1144" t="s">
        <v>33</v>
      </c>
      <c r="H1144" t="str">
        <f t="shared" si="57"/>
        <v>出租车</v>
      </c>
      <c r="I1144" t="str">
        <f t="shared" si="58"/>
        <v>Passenger LDV</v>
      </c>
      <c r="J1144">
        <v>40</v>
      </c>
    </row>
    <row r="1145" spans="1:10" x14ac:dyDescent="0.2">
      <c r="A1145">
        <v>1144</v>
      </c>
      <c r="B1145">
        <v>2018</v>
      </c>
      <c r="C1145" t="s">
        <v>11</v>
      </c>
      <c r="D1145" t="str">
        <f t="shared" si="56"/>
        <v>battery electric vehicle</v>
      </c>
      <c r="E1145" t="s">
        <v>18</v>
      </c>
      <c r="F1145" t="s">
        <v>31</v>
      </c>
      <c r="G1145" t="s">
        <v>33</v>
      </c>
      <c r="H1145" t="str">
        <f t="shared" si="57"/>
        <v>出租车</v>
      </c>
      <c r="I1145" t="str">
        <f t="shared" si="58"/>
        <v>Passenger LDV</v>
      </c>
      <c r="J1145">
        <v>1</v>
      </c>
    </row>
    <row r="1146" spans="1:10" x14ac:dyDescent="0.2">
      <c r="A1146">
        <v>1145</v>
      </c>
      <c r="B1146">
        <v>2020</v>
      </c>
      <c r="C1146" t="s">
        <v>11</v>
      </c>
      <c r="D1146" t="str">
        <f t="shared" si="56"/>
        <v>battery electric vehicle</v>
      </c>
      <c r="E1146" t="s">
        <v>18</v>
      </c>
      <c r="F1146" t="s">
        <v>31</v>
      </c>
      <c r="G1146" t="s">
        <v>33</v>
      </c>
      <c r="H1146" t="str">
        <f t="shared" si="57"/>
        <v>出租车</v>
      </c>
      <c r="I1146" t="str">
        <f t="shared" si="58"/>
        <v>Passenger LDV</v>
      </c>
      <c r="J1146">
        <v>281</v>
      </c>
    </row>
    <row r="1147" spans="1:10" x14ac:dyDescent="0.2">
      <c r="A1147">
        <v>1146</v>
      </c>
      <c r="B1147">
        <v>2021</v>
      </c>
      <c r="C1147" t="s">
        <v>11</v>
      </c>
      <c r="D1147" t="str">
        <f t="shared" si="56"/>
        <v>battery electric vehicle</v>
      </c>
      <c r="E1147" t="s">
        <v>18</v>
      </c>
      <c r="F1147" t="s">
        <v>31</v>
      </c>
      <c r="G1147" t="s">
        <v>33</v>
      </c>
      <c r="H1147" t="str">
        <f t="shared" si="57"/>
        <v>出租车</v>
      </c>
      <c r="I1147" t="str">
        <f t="shared" si="58"/>
        <v>Passenger LDV</v>
      </c>
      <c r="J1147">
        <v>93</v>
      </c>
    </row>
    <row r="1148" spans="1:10" x14ac:dyDescent="0.2">
      <c r="A1148">
        <v>1147</v>
      </c>
      <c r="B1148">
        <v>2015</v>
      </c>
      <c r="C1148" t="s">
        <v>12</v>
      </c>
      <c r="D1148" t="str">
        <f t="shared" si="56"/>
        <v>hybrid fuel vehicle</v>
      </c>
      <c r="E1148" t="s">
        <v>18</v>
      </c>
      <c r="F1148" t="s">
        <v>31</v>
      </c>
      <c r="G1148" t="s">
        <v>33</v>
      </c>
      <c r="H1148" t="str">
        <f t="shared" si="57"/>
        <v>出租车</v>
      </c>
      <c r="I1148" t="str">
        <f t="shared" si="58"/>
        <v>Passenger LDV</v>
      </c>
      <c r="J1148">
        <v>1</v>
      </c>
    </row>
    <row r="1149" spans="1:10" x14ac:dyDescent="0.2">
      <c r="A1149">
        <v>1148</v>
      </c>
      <c r="B1149">
        <v>2015</v>
      </c>
      <c r="C1149" t="s">
        <v>13</v>
      </c>
      <c r="D1149" t="str">
        <f t="shared" si="56"/>
        <v>gasoline vehicle</v>
      </c>
      <c r="E1149" t="s">
        <v>18</v>
      </c>
      <c r="F1149" t="s">
        <v>31</v>
      </c>
      <c r="G1149" t="s">
        <v>33</v>
      </c>
      <c r="H1149" t="str">
        <f t="shared" si="57"/>
        <v>出租车</v>
      </c>
      <c r="I1149" t="str">
        <f t="shared" si="58"/>
        <v>Passenger LDV</v>
      </c>
      <c r="J1149">
        <v>59004</v>
      </c>
    </row>
    <row r="1150" spans="1:10" x14ac:dyDescent="0.2">
      <c r="A1150">
        <v>1149</v>
      </c>
      <c r="B1150">
        <v>2016</v>
      </c>
      <c r="C1150" t="s">
        <v>13</v>
      </c>
      <c r="D1150" t="str">
        <f t="shared" si="56"/>
        <v>gasoline vehicle</v>
      </c>
      <c r="E1150" t="s">
        <v>18</v>
      </c>
      <c r="F1150" t="s">
        <v>31</v>
      </c>
      <c r="G1150" t="s">
        <v>33</v>
      </c>
      <c r="H1150" t="str">
        <f t="shared" si="57"/>
        <v>出租车</v>
      </c>
      <c r="I1150" t="str">
        <f t="shared" si="58"/>
        <v>Passenger LDV</v>
      </c>
      <c r="J1150">
        <v>396</v>
      </c>
    </row>
    <row r="1151" spans="1:10" x14ac:dyDescent="0.2">
      <c r="A1151">
        <v>1150</v>
      </c>
      <c r="B1151">
        <v>2017</v>
      </c>
      <c r="C1151" t="s">
        <v>13</v>
      </c>
      <c r="D1151" t="str">
        <f t="shared" si="56"/>
        <v>gasoline vehicle</v>
      </c>
      <c r="E1151" t="s">
        <v>18</v>
      </c>
      <c r="F1151" t="s">
        <v>31</v>
      </c>
      <c r="G1151" t="s">
        <v>33</v>
      </c>
      <c r="H1151" t="str">
        <f t="shared" si="57"/>
        <v>出租车</v>
      </c>
      <c r="I1151" t="str">
        <f t="shared" si="58"/>
        <v>Passenger LDV</v>
      </c>
      <c r="J1151">
        <v>45</v>
      </c>
    </row>
    <row r="1152" spans="1:10" x14ac:dyDescent="0.2">
      <c r="A1152">
        <v>1151</v>
      </c>
      <c r="B1152">
        <v>2018</v>
      </c>
      <c r="C1152" t="s">
        <v>13</v>
      </c>
      <c r="D1152" t="str">
        <f t="shared" si="56"/>
        <v>gasoline vehicle</v>
      </c>
      <c r="E1152" t="s">
        <v>18</v>
      </c>
      <c r="F1152" t="s">
        <v>31</v>
      </c>
      <c r="G1152" t="s">
        <v>33</v>
      </c>
      <c r="H1152" t="str">
        <f t="shared" si="57"/>
        <v>出租车</v>
      </c>
      <c r="I1152" t="str">
        <f t="shared" si="58"/>
        <v>Passenger LDV</v>
      </c>
      <c r="J1152">
        <v>75</v>
      </c>
    </row>
    <row r="1153" spans="1:10" x14ac:dyDescent="0.2">
      <c r="A1153">
        <v>1152</v>
      </c>
      <c r="B1153">
        <v>2019</v>
      </c>
      <c r="C1153" t="s">
        <v>13</v>
      </c>
      <c r="D1153" t="str">
        <f t="shared" si="56"/>
        <v>gasoline vehicle</v>
      </c>
      <c r="E1153" t="s">
        <v>18</v>
      </c>
      <c r="F1153" t="s">
        <v>31</v>
      </c>
      <c r="G1153" t="s">
        <v>33</v>
      </c>
      <c r="H1153" t="str">
        <f t="shared" si="57"/>
        <v>出租车</v>
      </c>
      <c r="I1153" t="str">
        <f t="shared" si="58"/>
        <v>Passenger LDV</v>
      </c>
      <c r="J1153">
        <v>29</v>
      </c>
    </row>
    <row r="1154" spans="1:10" x14ac:dyDescent="0.2">
      <c r="A1154">
        <v>1153</v>
      </c>
      <c r="B1154">
        <v>2020</v>
      </c>
      <c r="C1154" t="s">
        <v>13</v>
      </c>
      <c r="D1154" t="str">
        <f t="shared" ref="D1154:D1161" si="59">VLOOKUP(C1154,M$3:N$16,2,FALSE)</f>
        <v>gasoline vehicle</v>
      </c>
      <c r="E1154" t="s">
        <v>18</v>
      </c>
      <c r="F1154" t="s">
        <v>31</v>
      </c>
      <c r="G1154" t="s">
        <v>33</v>
      </c>
      <c r="H1154" t="str">
        <f t="shared" si="57"/>
        <v>出租车</v>
      </c>
      <c r="I1154" t="str">
        <f t="shared" si="58"/>
        <v>Passenger LDV</v>
      </c>
      <c r="J1154">
        <v>35</v>
      </c>
    </row>
    <row r="1155" spans="1:10" x14ac:dyDescent="0.2">
      <c r="A1155">
        <v>1154</v>
      </c>
      <c r="B1155">
        <v>2021</v>
      </c>
      <c r="C1155" t="s">
        <v>13</v>
      </c>
      <c r="D1155" t="str">
        <f t="shared" si="59"/>
        <v>gasoline vehicle</v>
      </c>
      <c r="E1155" t="s">
        <v>18</v>
      </c>
      <c r="F1155" t="s">
        <v>31</v>
      </c>
      <c r="G1155" t="s">
        <v>33</v>
      </c>
      <c r="H1155" t="str">
        <f t="shared" ref="H1155:H1161" si="60">VLOOKUP(E1155&amp;F1155&amp;G1155,$S$3:$U$68,2,FALSE)</f>
        <v>出租车</v>
      </c>
      <c r="I1155" t="str">
        <f t="shared" ref="I1155:I1161" si="61">VLOOKUP(E1155&amp;F1155&amp;G1155,$S$3:$U$68,3,FALSE)</f>
        <v>Passenger LDV</v>
      </c>
      <c r="J1155">
        <v>169</v>
      </c>
    </row>
    <row r="1156" spans="1:10" x14ac:dyDescent="0.2">
      <c r="A1156">
        <v>1155</v>
      </c>
      <c r="B1156">
        <v>2015</v>
      </c>
      <c r="C1156" t="s">
        <v>14</v>
      </c>
      <c r="D1156" t="str">
        <f t="shared" si="59"/>
        <v>natural gas vehicle</v>
      </c>
      <c r="E1156" t="s">
        <v>18</v>
      </c>
      <c r="F1156" t="s">
        <v>31</v>
      </c>
      <c r="G1156" t="s">
        <v>33</v>
      </c>
      <c r="H1156" t="str">
        <f t="shared" si="60"/>
        <v>出租车</v>
      </c>
      <c r="I1156" t="str">
        <f t="shared" si="61"/>
        <v>Passenger LDV</v>
      </c>
      <c r="J1156">
        <v>61041</v>
      </c>
    </row>
    <row r="1157" spans="1:10" x14ac:dyDescent="0.2">
      <c r="A1157">
        <v>1156</v>
      </c>
      <c r="B1157">
        <v>2020</v>
      </c>
      <c r="C1157" t="s">
        <v>16</v>
      </c>
      <c r="D1157" t="str">
        <f t="shared" si="59"/>
        <v>natural gas vehicle</v>
      </c>
      <c r="E1157" t="s">
        <v>18</v>
      </c>
      <c r="F1157" t="s">
        <v>31</v>
      </c>
      <c r="G1157" t="s">
        <v>33</v>
      </c>
      <c r="H1157" t="str">
        <f t="shared" si="60"/>
        <v>出租车</v>
      </c>
      <c r="I1157" t="str">
        <f t="shared" si="61"/>
        <v>Passenger LDV</v>
      </c>
      <c r="J1157">
        <v>2</v>
      </c>
    </row>
    <row r="1158" spans="1:10" x14ac:dyDescent="0.2">
      <c r="A1158">
        <v>1157</v>
      </c>
      <c r="B1158">
        <v>2021</v>
      </c>
      <c r="C1158" t="s">
        <v>16</v>
      </c>
      <c r="D1158" t="str">
        <f t="shared" si="59"/>
        <v>natural gas vehicle</v>
      </c>
      <c r="E1158" t="s">
        <v>18</v>
      </c>
      <c r="F1158" t="s">
        <v>31</v>
      </c>
      <c r="G1158" t="s">
        <v>33</v>
      </c>
      <c r="H1158" t="str">
        <f t="shared" si="60"/>
        <v>出租车</v>
      </c>
      <c r="I1158" t="str">
        <f t="shared" si="61"/>
        <v>Passenger LDV</v>
      </c>
      <c r="J1158">
        <v>17</v>
      </c>
    </row>
    <row r="1159" spans="1:10" x14ac:dyDescent="0.2">
      <c r="A1159">
        <v>1158</v>
      </c>
      <c r="B1159">
        <v>2015</v>
      </c>
      <c r="C1159" t="s">
        <v>10</v>
      </c>
      <c r="D1159" t="str">
        <f t="shared" si="59"/>
        <v>diesel vehicle</v>
      </c>
      <c r="E1159" t="s">
        <v>20</v>
      </c>
      <c r="F1159" t="s">
        <v>31</v>
      </c>
      <c r="G1159" t="s">
        <v>33</v>
      </c>
      <c r="H1159" t="str">
        <f t="shared" si="60"/>
        <v>道路客车</v>
      </c>
      <c r="I1159" t="str">
        <f t="shared" si="61"/>
        <v>Passenger HDV</v>
      </c>
      <c r="J1159">
        <v>3</v>
      </c>
    </row>
    <row r="1160" spans="1:10" x14ac:dyDescent="0.2">
      <c r="A1160">
        <v>1159</v>
      </c>
      <c r="B1160">
        <v>2016</v>
      </c>
      <c r="C1160" t="s">
        <v>13</v>
      </c>
      <c r="D1160" t="str">
        <f t="shared" si="59"/>
        <v>gasoline vehicle</v>
      </c>
      <c r="E1160" t="s">
        <v>20</v>
      </c>
      <c r="F1160" t="s">
        <v>31</v>
      </c>
      <c r="G1160" t="s">
        <v>33</v>
      </c>
      <c r="H1160" t="str">
        <f t="shared" si="60"/>
        <v>道路客车</v>
      </c>
      <c r="I1160" t="str">
        <f t="shared" si="61"/>
        <v>Passenger HDV</v>
      </c>
      <c r="J1160">
        <v>1</v>
      </c>
    </row>
    <row r="1161" spans="1:10" x14ac:dyDescent="0.2">
      <c r="A1161">
        <v>1160</v>
      </c>
      <c r="B1161">
        <v>2020</v>
      </c>
      <c r="C1161" t="s">
        <v>13</v>
      </c>
      <c r="D1161" t="str">
        <f t="shared" si="59"/>
        <v>gasoline vehicle</v>
      </c>
      <c r="E1161" t="s">
        <v>20</v>
      </c>
      <c r="F1161" t="s">
        <v>31</v>
      </c>
      <c r="G1161" t="s">
        <v>33</v>
      </c>
      <c r="H1161" t="str">
        <f t="shared" si="60"/>
        <v>道路客车</v>
      </c>
      <c r="I1161" t="str">
        <f t="shared" si="61"/>
        <v>Passenger HDV</v>
      </c>
      <c r="J1161">
        <v>1</v>
      </c>
    </row>
  </sheetData>
  <autoFilter ref="P2:V2" xr:uid="{00000000-0001-0000-0100-000000000000}">
    <sortState xmlns:xlrd2="http://schemas.microsoft.com/office/spreadsheetml/2017/richdata2" ref="P3:V68">
      <sortCondition descending="1" ref="V2"/>
    </sortState>
  </autoFilter>
  <mergeCells count="2">
    <mergeCell ref="M1:N1"/>
    <mergeCell ref="P1:U1"/>
  </mergeCells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W38"/>
  <sheetViews>
    <sheetView workbookViewId="0">
      <selection activeCell="V9" sqref="V9"/>
    </sheetView>
  </sheetViews>
  <sheetFormatPr defaultRowHeight="14.25" x14ac:dyDescent="0.2"/>
  <cols>
    <col min="1" max="1" width="16.875" bestFit="1" customWidth="1"/>
    <col min="2" max="2" width="21.875" bestFit="1" customWidth="1"/>
    <col min="3" max="3" width="13.125" bestFit="1" customWidth="1"/>
    <col min="4" max="4" width="15.625" bestFit="1" customWidth="1"/>
    <col min="5" max="5" width="18.125" bestFit="1" customWidth="1"/>
    <col min="6" max="6" width="17.125" bestFit="1" customWidth="1"/>
    <col min="7" max="7" width="11.375" bestFit="1" customWidth="1"/>
    <col min="8" max="8" width="18.375" bestFit="1" customWidth="1"/>
    <col min="9" max="9" width="17.125" bestFit="1" customWidth="1"/>
    <col min="10" max="10" width="20.625" bestFit="1" customWidth="1"/>
    <col min="11" max="11" width="9.5" bestFit="1" customWidth="1"/>
    <col min="12" max="13" width="10.5" bestFit="1" customWidth="1"/>
    <col min="14" max="14" width="10.5" customWidth="1"/>
  </cols>
  <sheetData>
    <row r="1" spans="1:23" x14ac:dyDescent="0.2">
      <c r="A1" s="1" t="s">
        <v>74</v>
      </c>
      <c r="B1" s="1" t="s">
        <v>52</v>
      </c>
    </row>
    <row r="2" spans="1:23" ht="42.75" x14ac:dyDescent="0.2">
      <c r="A2" s="1" t="s">
        <v>54</v>
      </c>
      <c r="B2" t="s">
        <v>37</v>
      </c>
      <c r="C2" t="s">
        <v>40</v>
      </c>
      <c r="D2" t="s">
        <v>39</v>
      </c>
      <c r="E2" t="s">
        <v>44</v>
      </c>
      <c r="F2" t="s">
        <v>43</v>
      </c>
      <c r="G2" t="s">
        <v>42</v>
      </c>
      <c r="H2" t="s">
        <v>38</v>
      </c>
      <c r="I2" t="s">
        <v>47</v>
      </c>
      <c r="J2" t="s">
        <v>41</v>
      </c>
      <c r="K2" t="s">
        <v>55</v>
      </c>
      <c r="L2" t="s">
        <v>53</v>
      </c>
      <c r="N2" s="10" t="s">
        <v>81</v>
      </c>
      <c r="O2" s="11" t="s">
        <v>37</v>
      </c>
      <c r="P2" s="11" t="s">
        <v>38</v>
      </c>
      <c r="Q2" s="11" t="s">
        <v>39</v>
      </c>
      <c r="R2" s="11" t="s">
        <v>40</v>
      </c>
      <c r="S2" s="11" t="s">
        <v>41</v>
      </c>
      <c r="T2" s="11" t="s">
        <v>42</v>
      </c>
      <c r="U2" s="11" t="s">
        <v>43</v>
      </c>
      <c r="V2" s="11" t="s">
        <v>44</v>
      </c>
      <c r="W2" s="11" t="s">
        <v>47</v>
      </c>
    </row>
    <row r="3" spans="1:23" x14ac:dyDescent="0.2">
      <c r="A3" s="2" t="s">
        <v>69</v>
      </c>
      <c r="B3">
        <v>49887</v>
      </c>
      <c r="C3">
        <v>7556854</v>
      </c>
      <c r="D3">
        <v>402</v>
      </c>
      <c r="E3">
        <v>106</v>
      </c>
      <c r="F3">
        <v>4322</v>
      </c>
      <c r="H3">
        <v>484270</v>
      </c>
      <c r="I3">
        <v>117</v>
      </c>
      <c r="J3">
        <v>1156</v>
      </c>
      <c r="K3">
        <v>4</v>
      </c>
      <c r="L3">
        <v>8097118</v>
      </c>
      <c r="N3" s="6" t="s">
        <v>70</v>
      </c>
      <c r="O3" s="6"/>
      <c r="P3" s="6"/>
      <c r="Q3" s="6"/>
      <c r="R3" s="6"/>
      <c r="S3" s="6"/>
      <c r="T3" s="6"/>
      <c r="U3" s="6"/>
      <c r="V3" s="6"/>
      <c r="W3" s="6"/>
    </row>
    <row r="4" spans="1:23" x14ac:dyDescent="0.2">
      <c r="A4" s="3">
        <v>2015</v>
      </c>
      <c r="B4">
        <v>5722</v>
      </c>
      <c r="C4">
        <v>543387</v>
      </c>
      <c r="D4">
        <v>213</v>
      </c>
      <c r="H4">
        <v>14079</v>
      </c>
      <c r="L4">
        <v>563401</v>
      </c>
      <c r="N4" s="9">
        <v>2015</v>
      </c>
      <c r="O4" s="12">
        <f>B4/($L4-$K4)</f>
        <v>1.0156176506608969E-2</v>
      </c>
      <c r="P4" s="12">
        <f t="shared" ref="P4:P10" si="0">H4/($L4-$K4)</f>
        <v>2.4989306018271179E-2</v>
      </c>
      <c r="Q4" s="12">
        <f t="shared" ref="Q4:Q10" si="1">D4/($L4-$K4)</f>
        <v>3.7806109680316505E-4</v>
      </c>
      <c r="R4" s="12">
        <f>C4/($L4-$K4)</f>
        <v>0.96447645637831669</v>
      </c>
      <c r="S4" s="12">
        <f t="shared" ref="S4:S10" si="2">J4/($L4-$K4)</f>
        <v>0</v>
      </c>
      <c r="T4" s="12">
        <f t="shared" ref="T4:T10" si="3">G4/($L4-$K4)</f>
        <v>0</v>
      </c>
      <c r="U4" s="12">
        <f t="shared" ref="U4:U10" si="4">F4/($L4-$K4)</f>
        <v>0</v>
      </c>
      <c r="V4" s="12">
        <f>E4/($L4-$K4)</f>
        <v>0</v>
      </c>
      <c r="W4" s="12">
        <f>I4/($L4-$K4)</f>
        <v>0</v>
      </c>
    </row>
    <row r="5" spans="1:23" x14ac:dyDescent="0.2">
      <c r="A5" s="3">
        <v>2016</v>
      </c>
      <c r="B5">
        <v>4529</v>
      </c>
      <c r="C5">
        <v>761880</v>
      </c>
      <c r="D5">
        <v>25</v>
      </c>
      <c r="E5">
        <v>6</v>
      </c>
      <c r="H5">
        <v>15344</v>
      </c>
      <c r="K5">
        <v>4</v>
      </c>
      <c r="L5">
        <v>781788</v>
      </c>
      <c r="N5" s="9">
        <v>2016</v>
      </c>
      <c r="O5" s="12">
        <f t="shared" ref="O5:O10" si="5">B5/($L5-$K5)</f>
        <v>5.7931602590997004E-3</v>
      </c>
      <c r="P5" s="12">
        <f t="shared" si="0"/>
        <v>1.9626904618155399E-2</v>
      </c>
      <c r="Q5" s="12">
        <f t="shared" si="1"/>
        <v>3.1978142300174985E-5</v>
      </c>
      <c r="R5" s="12">
        <f t="shared" ref="R5:R10" si="6">C5/($L5-$K5)</f>
        <v>0.97454028222629263</v>
      </c>
      <c r="S5" s="12">
        <f t="shared" si="2"/>
        <v>0</v>
      </c>
      <c r="T5" s="12">
        <f t="shared" si="3"/>
        <v>0</v>
      </c>
      <c r="U5" s="12">
        <f t="shared" si="4"/>
        <v>0</v>
      </c>
      <c r="V5" s="12">
        <f t="shared" ref="V5:V10" si="7">E5/($L5-$K5)</f>
        <v>7.6747541520419962E-6</v>
      </c>
      <c r="W5" s="12">
        <f t="shared" ref="W5:W10" si="8">I5/($L5-$K5)</f>
        <v>0</v>
      </c>
    </row>
    <row r="6" spans="1:23" x14ac:dyDescent="0.2">
      <c r="A6" s="3">
        <v>2017</v>
      </c>
      <c r="B6">
        <v>16933</v>
      </c>
      <c r="C6">
        <v>1061952</v>
      </c>
      <c r="D6">
        <v>46</v>
      </c>
      <c r="E6">
        <v>56</v>
      </c>
      <c r="F6">
        <v>933</v>
      </c>
      <c r="H6">
        <v>70507</v>
      </c>
      <c r="J6">
        <v>1120</v>
      </c>
      <c r="L6">
        <v>1151547</v>
      </c>
      <c r="N6" s="9">
        <v>2017</v>
      </c>
      <c r="O6" s="12">
        <f t="shared" si="5"/>
        <v>1.4704566986844653E-2</v>
      </c>
      <c r="P6" s="12">
        <f t="shared" si="0"/>
        <v>6.1228069718387526E-2</v>
      </c>
      <c r="Q6" s="12">
        <f t="shared" si="1"/>
        <v>3.9946263591499085E-5</v>
      </c>
      <c r="R6" s="12">
        <f>C6/($L6-$K6)</f>
        <v>0.92219596768520951</v>
      </c>
      <c r="S6" s="12">
        <f t="shared" si="2"/>
        <v>9.7260467874954297E-4</v>
      </c>
      <c r="T6" s="12">
        <f t="shared" si="3"/>
        <v>0</v>
      </c>
      <c r="U6" s="12">
        <f t="shared" si="4"/>
        <v>8.1021443327975319E-4</v>
      </c>
      <c r="V6" s="12">
        <f t="shared" si="7"/>
        <v>4.8630233937477151E-5</v>
      </c>
      <c r="W6" s="12">
        <f t="shared" si="8"/>
        <v>0</v>
      </c>
    </row>
    <row r="7" spans="1:23" x14ac:dyDescent="0.2">
      <c r="A7" s="3">
        <v>2018</v>
      </c>
      <c r="B7">
        <v>1648</v>
      </c>
      <c r="C7">
        <v>1070295</v>
      </c>
      <c r="D7">
        <v>40</v>
      </c>
      <c r="E7">
        <v>2</v>
      </c>
      <c r="F7">
        <v>404</v>
      </c>
      <c r="H7">
        <v>65710</v>
      </c>
      <c r="L7">
        <v>1138099</v>
      </c>
      <c r="N7" s="9">
        <v>2018</v>
      </c>
      <c r="O7" s="12">
        <f t="shared" si="5"/>
        <v>1.4480286864323754E-3</v>
      </c>
      <c r="P7" s="12">
        <f t="shared" si="0"/>
        <v>5.7736629238756908E-2</v>
      </c>
      <c r="Q7" s="12">
        <f t="shared" si="1"/>
        <v>3.5146327340591636E-5</v>
      </c>
      <c r="R7" s="12">
        <f t="shared" si="6"/>
        <v>0.94042346052496317</v>
      </c>
      <c r="S7" s="12">
        <f t="shared" si="2"/>
        <v>0</v>
      </c>
      <c r="T7" s="12">
        <f t="shared" si="3"/>
        <v>0</v>
      </c>
      <c r="U7" s="12">
        <f t="shared" si="4"/>
        <v>3.5497790613997553E-4</v>
      </c>
      <c r="V7" s="12">
        <f t="shared" si="7"/>
        <v>1.7573163670295819E-6</v>
      </c>
      <c r="W7" s="12">
        <f t="shared" si="8"/>
        <v>0</v>
      </c>
    </row>
    <row r="8" spans="1:23" x14ac:dyDescent="0.2">
      <c r="A8" s="3">
        <v>2019</v>
      </c>
      <c r="B8">
        <v>5962</v>
      </c>
      <c r="C8">
        <v>1141356</v>
      </c>
      <c r="D8">
        <v>30</v>
      </c>
      <c r="F8">
        <v>2014</v>
      </c>
      <c r="H8">
        <v>116202</v>
      </c>
      <c r="I8">
        <v>13</v>
      </c>
      <c r="L8">
        <v>1265577</v>
      </c>
      <c r="N8" s="9">
        <v>2019</v>
      </c>
      <c r="O8" s="12">
        <f t="shared" si="5"/>
        <v>4.7108947144267003E-3</v>
      </c>
      <c r="P8" s="12">
        <f t="shared" si="0"/>
        <v>9.1817408186147503E-2</v>
      </c>
      <c r="Q8" s="12">
        <f t="shared" si="1"/>
        <v>2.3704602722710668E-5</v>
      </c>
      <c r="R8" s="12">
        <f t="shared" si="6"/>
        <v>0.90184635150607195</v>
      </c>
      <c r="S8" s="12">
        <f t="shared" si="2"/>
        <v>0</v>
      </c>
      <c r="T8" s="12">
        <f t="shared" si="3"/>
        <v>0</v>
      </c>
      <c r="U8" s="12">
        <f t="shared" si="4"/>
        <v>1.5913689961179762E-3</v>
      </c>
      <c r="V8" s="12">
        <f t="shared" si="7"/>
        <v>0</v>
      </c>
      <c r="W8" s="12">
        <f t="shared" si="8"/>
        <v>1.0271994513174623E-5</v>
      </c>
    </row>
    <row r="9" spans="1:23" x14ac:dyDescent="0.2">
      <c r="A9" s="3">
        <v>2020</v>
      </c>
      <c r="B9">
        <v>4111</v>
      </c>
      <c r="C9">
        <v>1530088</v>
      </c>
      <c r="D9">
        <v>44</v>
      </c>
      <c r="E9">
        <v>24</v>
      </c>
      <c r="F9">
        <v>146</v>
      </c>
      <c r="H9">
        <v>142829</v>
      </c>
      <c r="I9">
        <v>14</v>
      </c>
      <c r="J9">
        <v>11</v>
      </c>
      <c r="L9">
        <v>1677267</v>
      </c>
      <c r="N9" s="9">
        <v>2020</v>
      </c>
      <c r="O9" s="12">
        <f t="shared" si="5"/>
        <v>2.4510110793332248E-3</v>
      </c>
      <c r="P9" s="12">
        <f t="shared" si="0"/>
        <v>8.5155792130889113E-2</v>
      </c>
      <c r="Q9" s="12">
        <f t="shared" si="1"/>
        <v>2.6233151907239576E-5</v>
      </c>
      <c r="R9" s="12">
        <f t="shared" si="6"/>
        <v>0.91225070307828149</v>
      </c>
      <c r="S9" s="12">
        <f t="shared" si="2"/>
        <v>6.5582879768098939E-6</v>
      </c>
      <c r="T9" s="12">
        <f t="shared" si="3"/>
        <v>0</v>
      </c>
      <c r="U9" s="12">
        <f t="shared" si="4"/>
        <v>8.7046367692204042E-5</v>
      </c>
      <c r="V9" s="12">
        <f t="shared" si="7"/>
        <v>1.4308991949403405E-5</v>
      </c>
      <c r="W9" s="12">
        <f t="shared" si="8"/>
        <v>8.3469119704853191E-6</v>
      </c>
    </row>
    <row r="10" spans="1:23" x14ac:dyDescent="0.2">
      <c r="A10" s="3">
        <v>2021</v>
      </c>
      <c r="B10">
        <v>10982</v>
      </c>
      <c r="C10">
        <v>1447896</v>
      </c>
      <c r="D10">
        <v>4</v>
      </c>
      <c r="E10">
        <v>18</v>
      </c>
      <c r="F10">
        <v>825</v>
      </c>
      <c r="H10">
        <v>59599</v>
      </c>
      <c r="I10">
        <v>90</v>
      </c>
      <c r="J10">
        <v>25</v>
      </c>
      <c r="L10">
        <v>1519439</v>
      </c>
      <c r="N10" s="9">
        <v>2021</v>
      </c>
      <c r="O10" s="12">
        <f t="shared" si="5"/>
        <v>7.2276675799423339E-3</v>
      </c>
      <c r="P10" s="12">
        <f t="shared" si="0"/>
        <v>3.9224345301127589E-2</v>
      </c>
      <c r="Q10" s="12">
        <f t="shared" si="1"/>
        <v>2.6325505663603473E-6</v>
      </c>
      <c r="R10" s="12">
        <f t="shared" si="6"/>
        <v>0.95291485870772041</v>
      </c>
      <c r="S10" s="12">
        <f t="shared" si="2"/>
        <v>1.6453441039752171E-5</v>
      </c>
      <c r="T10" s="12">
        <f t="shared" si="3"/>
        <v>0</v>
      </c>
      <c r="U10" s="12">
        <f t="shared" si="4"/>
        <v>5.4296355431182163E-4</v>
      </c>
      <c r="V10" s="12">
        <f t="shared" si="7"/>
        <v>1.1846477548621564E-5</v>
      </c>
      <c r="W10" s="12">
        <f t="shared" si="8"/>
        <v>5.9232387743107815E-5</v>
      </c>
    </row>
    <row r="11" spans="1:23" x14ac:dyDescent="0.2">
      <c r="A11" s="2" t="s">
        <v>65</v>
      </c>
      <c r="B11">
        <v>217086</v>
      </c>
      <c r="C11">
        <v>7283616</v>
      </c>
      <c r="D11">
        <v>6562410</v>
      </c>
      <c r="E11">
        <v>12</v>
      </c>
      <c r="F11">
        <v>3</v>
      </c>
      <c r="H11">
        <v>176564</v>
      </c>
      <c r="J11">
        <v>1667</v>
      </c>
      <c r="L11">
        <v>14241358</v>
      </c>
      <c r="N11" s="6" t="s">
        <v>66</v>
      </c>
      <c r="O11" s="6"/>
      <c r="P11" s="6"/>
      <c r="Q11" s="6"/>
      <c r="R11" s="6"/>
      <c r="S11" s="6"/>
      <c r="T11" s="6"/>
      <c r="U11" s="6"/>
      <c r="V11" s="6"/>
      <c r="W11" s="6"/>
    </row>
    <row r="12" spans="1:23" x14ac:dyDescent="0.2">
      <c r="A12" s="3">
        <v>2015</v>
      </c>
      <c r="B12">
        <v>24785</v>
      </c>
      <c r="C12">
        <v>763006</v>
      </c>
      <c r="D12">
        <v>706406</v>
      </c>
      <c r="E12">
        <v>4</v>
      </c>
      <c r="H12">
        <v>36040</v>
      </c>
      <c r="L12">
        <v>1530241</v>
      </c>
      <c r="N12" s="9">
        <v>2015</v>
      </c>
      <c r="O12" s="12">
        <f>B12/($L12-$K12)</f>
        <v>1.6196795145339851E-2</v>
      </c>
      <c r="P12" s="12">
        <f t="shared" ref="P12:P18" si="9">H12/($L12-$K12)</f>
        <v>2.3551845755015059E-2</v>
      </c>
      <c r="Q12" s="12">
        <f t="shared" ref="Q12:Q18" si="10">D12/($L12-$K12)</f>
        <v>0.46163055361867839</v>
      </c>
      <c r="R12" s="12">
        <f>C12/($L12-$K12)</f>
        <v>0.4986181915136243</v>
      </c>
      <c r="S12" s="12">
        <f t="shared" ref="S12:S18" si="11">J12/($L12-$K12)</f>
        <v>0</v>
      </c>
      <c r="T12" s="12">
        <f t="shared" ref="T12:T18" si="12">G12/($L12-$K12)</f>
        <v>0</v>
      </c>
      <c r="U12" s="12">
        <f t="shared" ref="U12:U18" si="13">F12/($L12-$K12)</f>
        <v>0</v>
      </c>
      <c r="V12" s="12">
        <f>E12/($L12-$K12)</f>
        <v>2.6139673423990078E-6</v>
      </c>
      <c r="W12" s="12">
        <f>I12/($L12-$K12)</f>
        <v>0</v>
      </c>
    </row>
    <row r="13" spans="1:23" x14ac:dyDescent="0.2">
      <c r="A13" s="3">
        <v>2016</v>
      </c>
      <c r="B13">
        <v>17755</v>
      </c>
      <c r="C13">
        <v>876597</v>
      </c>
      <c r="D13">
        <v>756679</v>
      </c>
      <c r="H13">
        <v>16696</v>
      </c>
      <c r="L13">
        <v>1667727</v>
      </c>
      <c r="N13" s="9">
        <v>2016</v>
      </c>
      <c r="O13" s="12">
        <f t="shared" ref="O13:O18" si="14">B13/($L13-$K13)</f>
        <v>1.0646226870465011E-2</v>
      </c>
      <c r="P13" s="12">
        <f t="shared" si="9"/>
        <v>1.0011230854930093E-2</v>
      </c>
      <c r="Q13" s="12">
        <f t="shared" si="10"/>
        <v>0.45371874413498131</v>
      </c>
      <c r="R13" s="12">
        <f t="shared" ref="R13:R18" si="15">C13/($L13-$K13)</f>
        <v>0.52562379813962357</v>
      </c>
      <c r="S13" s="12">
        <f t="shared" si="11"/>
        <v>0</v>
      </c>
      <c r="T13" s="12">
        <f t="shared" si="12"/>
        <v>0</v>
      </c>
      <c r="U13" s="12">
        <f t="shared" si="13"/>
        <v>0</v>
      </c>
      <c r="V13" s="12">
        <f t="shared" ref="V13:V18" si="16">E13/($L13-$K13)</f>
        <v>0</v>
      </c>
      <c r="W13" s="12">
        <f t="shared" ref="W13:W18" si="17">I13/($L13-$K13)</f>
        <v>0</v>
      </c>
    </row>
    <row r="14" spans="1:23" x14ac:dyDescent="0.2">
      <c r="A14" s="3">
        <v>2017</v>
      </c>
      <c r="B14">
        <v>61786</v>
      </c>
      <c r="C14">
        <v>1024613</v>
      </c>
      <c r="D14">
        <v>838364</v>
      </c>
      <c r="H14">
        <v>20278</v>
      </c>
      <c r="L14">
        <v>1945041</v>
      </c>
      <c r="N14" s="9">
        <v>2017</v>
      </c>
      <c r="O14" s="12">
        <f t="shared" si="14"/>
        <v>3.1765911361251509E-2</v>
      </c>
      <c r="P14" s="12">
        <f t="shared" si="9"/>
        <v>1.042548717482048E-2</v>
      </c>
      <c r="Q14" s="12">
        <f t="shared" si="10"/>
        <v>0.43102638967507628</v>
      </c>
      <c r="R14" s="12">
        <f t="shared" si="15"/>
        <v>0.52678221178885176</v>
      </c>
      <c r="S14" s="12">
        <f t="shared" si="11"/>
        <v>0</v>
      </c>
      <c r="T14" s="12">
        <f t="shared" si="12"/>
        <v>0</v>
      </c>
      <c r="U14" s="12">
        <f t="shared" si="13"/>
        <v>0</v>
      </c>
      <c r="V14" s="12">
        <f t="shared" si="16"/>
        <v>0</v>
      </c>
      <c r="W14" s="12">
        <f t="shared" si="17"/>
        <v>0</v>
      </c>
    </row>
    <row r="15" spans="1:23" x14ac:dyDescent="0.2">
      <c r="A15" s="3">
        <v>2018</v>
      </c>
      <c r="B15">
        <v>40792</v>
      </c>
      <c r="C15">
        <v>1036146</v>
      </c>
      <c r="D15">
        <v>940137</v>
      </c>
      <c r="H15">
        <v>27190</v>
      </c>
      <c r="J15">
        <v>1</v>
      </c>
      <c r="L15">
        <v>2044266</v>
      </c>
      <c r="N15" s="9">
        <v>2018</v>
      </c>
      <c r="O15" s="12">
        <f t="shared" si="14"/>
        <v>1.9954350363406721E-2</v>
      </c>
      <c r="P15" s="12">
        <f t="shared" si="9"/>
        <v>1.3300617434326062E-2</v>
      </c>
      <c r="Q15" s="12">
        <f t="shared" si="10"/>
        <v>0.45988975994317766</v>
      </c>
      <c r="R15" s="12">
        <f t="shared" si="15"/>
        <v>0.50685478308595844</v>
      </c>
      <c r="S15" s="12">
        <f t="shared" si="11"/>
        <v>4.8917313108959402E-7</v>
      </c>
      <c r="T15" s="12">
        <f t="shared" si="12"/>
        <v>0</v>
      </c>
      <c r="U15" s="12">
        <f t="shared" si="13"/>
        <v>0</v>
      </c>
      <c r="V15" s="12">
        <f t="shared" si="16"/>
        <v>0</v>
      </c>
      <c r="W15" s="12">
        <f t="shared" si="17"/>
        <v>0</v>
      </c>
    </row>
    <row r="16" spans="1:23" x14ac:dyDescent="0.2">
      <c r="A16" s="3">
        <v>2019</v>
      </c>
      <c r="B16">
        <v>18134</v>
      </c>
      <c r="C16">
        <v>1052509</v>
      </c>
      <c r="D16">
        <v>1086406</v>
      </c>
      <c r="H16">
        <v>32818</v>
      </c>
      <c r="J16">
        <v>98</v>
      </c>
      <c r="L16">
        <v>2189965</v>
      </c>
      <c r="N16" s="9">
        <v>2019</v>
      </c>
      <c r="O16" s="12">
        <f t="shared" si="14"/>
        <v>8.2804976335238232E-3</v>
      </c>
      <c r="P16" s="12">
        <f t="shared" si="9"/>
        <v>1.4985627624185774E-2</v>
      </c>
      <c r="Q16" s="12">
        <f t="shared" si="10"/>
        <v>0.49608372736550582</v>
      </c>
      <c r="R16" s="12">
        <f t="shared" si="15"/>
        <v>0.48060539780316125</v>
      </c>
      <c r="S16" s="12">
        <f t="shared" si="11"/>
        <v>4.4749573623322746E-5</v>
      </c>
      <c r="T16" s="12">
        <f t="shared" si="12"/>
        <v>0</v>
      </c>
      <c r="U16" s="12">
        <f t="shared" si="13"/>
        <v>0</v>
      </c>
      <c r="V16" s="12">
        <f t="shared" si="16"/>
        <v>0</v>
      </c>
      <c r="W16" s="12">
        <f t="shared" si="17"/>
        <v>0</v>
      </c>
    </row>
    <row r="17" spans="1:23" x14ac:dyDescent="0.2">
      <c r="A17" s="3">
        <v>2020</v>
      </c>
      <c r="B17">
        <v>15349</v>
      </c>
      <c r="C17">
        <v>1319180</v>
      </c>
      <c r="D17">
        <v>1157774</v>
      </c>
      <c r="H17">
        <v>21626</v>
      </c>
      <c r="J17">
        <v>318</v>
      </c>
      <c r="L17">
        <v>2514247</v>
      </c>
      <c r="N17" s="9">
        <v>2020</v>
      </c>
      <c r="O17" s="12">
        <f t="shared" si="14"/>
        <v>6.1048099092889446E-3</v>
      </c>
      <c r="P17" s="12">
        <f t="shared" si="9"/>
        <v>8.6013824417410061E-3</v>
      </c>
      <c r="Q17" s="12">
        <f t="shared" si="10"/>
        <v>0.46048538588293036</v>
      </c>
      <c r="R17" s="12">
        <f t="shared" si="15"/>
        <v>0.5246819425458199</v>
      </c>
      <c r="S17" s="12">
        <f t="shared" si="11"/>
        <v>1.2647922021981133E-4</v>
      </c>
      <c r="T17" s="12">
        <f t="shared" si="12"/>
        <v>0</v>
      </c>
      <c r="U17" s="12">
        <f t="shared" si="13"/>
        <v>0</v>
      </c>
      <c r="V17" s="12">
        <f t="shared" si="16"/>
        <v>0</v>
      </c>
      <c r="W17" s="12">
        <f t="shared" si="17"/>
        <v>0</v>
      </c>
    </row>
    <row r="18" spans="1:23" x14ac:dyDescent="0.2">
      <c r="A18" s="3">
        <v>2021</v>
      </c>
      <c r="B18">
        <v>38485</v>
      </c>
      <c r="C18">
        <v>1211565</v>
      </c>
      <c r="D18">
        <v>1076644</v>
      </c>
      <c r="E18">
        <v>8</v>
      </c>
      <c r="F18">
        <v>3</v>
      </c>
      <c r="H18">
        <v>21916</v>
      </c>
      <c r="J18">
        <v>1250</v>
      </c>
      <c r="L18">
        <v>2349871</v>
      </c>
      <c r="N18" s="9">
        <v>2021</v>
      </c>
      <c r="O18" s="12">
        <f t="shared" si="14"/>
        <v>1.6377494764606228E-2</v>
      </c>
      <c r="P18" s="12">
        <f t="shared" si="9"/>
        <v>9.3264694104484881E-3</v>
      </c>
      <c r="Q18" s="12">
        <f t="shared" si="10"/>
        <v>0.45817153367142283</v>
      </c>
      <c r="R18" s="12">
        <f t="shared" si="15"/>
        <v>0.51558787695154329</v>
      </c>
      <c r="S18" s="12">
        <f t="shared" si="11"/>
        <v>5.3194409395239145E-4</v>
      </c>
      <c r="T18" s="12">
        <f t="shared" si="12"/>
        <v>0</v>
      </c>
      <c r="U18" s="12">
        <f t="shared" si="13"/>
        <v>1.2766658254857395E-6</v>
      </c>
      <c r="V18" s="12">
        <f t="shared" si="16"/>
        <v>3.404442201295305E-6</v>
      </c>
      <c r="W18" s="12">
        <f t="shared" si="17"/>
        <v>0</v>
      </c>
    </row>
    <row r="19" spans="1:23" x14ac:dyDescent="0.2">
      <c r="A19" s="2" t="s">
        <v>63</v>
      </c>
      <c r="B19">
        <v>512915</v>
      </c>
      <c r="C19">
        <v>547268</v>
      </c>
      <c r="D19">
        <v>102586</v>
      </c>
      <c r="E19">
        <v>24163</v>
      </c>
      <c r="F19">
        <v>4155</v>
      </c>
      <c r="H19">
        <v>53334</v>
      </c>
      <c r="I19">
        <v>5</v>
      </c>
      <c r="J19">
        <v>51218</v>
      </c>
      <c r="K19">
        <v>38</v>
      </c>
      <c r="L19">
        <v>1295682</v>
      </c>
      <c r="N19" s="6" t="s">
        <v>64</v>
      </c>
      <c r="O19" s="6"/>
      <c r="P19" s="6"/>
      <c r="Q19" s="6"/>
      <c r="R19" s="6"/>
      <c r="S19" s="6"/>
      <c r="T19" s="6"/>
      <c r="U19" s="6"/>
      <c r="V19" s="6"/>
      <c r="W19" s="6"/>
    </row>
    <row r="20" spans="1:23" x14ac:dyDescent="0.2">
      <c r="A20" s="3">
        <v>2015</v>
      </c>
      <c r="B20">
        <v>85938</v>
      </c>
      <c r="C20">
        <v>123176</v>
      </c>
      <c r="D20">
        <v>18249</v>
      </c>
      <c r="E20">
        <v>8354</v>
      </c>
      <c r="H20">
        <v>25597</v>
      </c>
      <c r="J20">
        <v>16901</v>
      </c>
      <c r="K20">
        <v>38</v>
      </c>
      <c r="L20">
        <v>278253</v>
      </c>
      <c r="N20" s="9">
        <v>2015</v>
      </c>
      <c r="O20" s="12">
        <f>B20/($L20-$K20)</f>
        <v>0.30889060618586345</v>
      </c>
      <c r="P20" s="12">
        <f t="shared" ref="P20:P26" si="18">H20/($L20-$K20)</f>
        <v>9.2004385097855981E-2</v>
      </c>
      <c r="Q20" s="12">
        <f t="shared" ref="Q20:Q26" si="19">D20/($L20-$K20)</f>
        <v>6.5593156371870673E-2</v>
      </c>
      <c r="R20" s="12">
        <f>C20/($L20-$K20)</f>
        <v>0.4427367323832288</v>
      </c>
      <c r="S20" s="12">
        <f t="shared" ref="S20:S26" si="20">J20/($L20-$K20)</f>
        <v>6.0747982675269124E-2</v>
      </c>
      <c r="T20" s="12">
        <f t="shared" ref="T20:T26" si="21">G20/($L20-$K20)</f>
        <v>0</v>
      </c>
      <c r="U20" s="12">
        <f t="shared" ref="U20:U26" si="22">F20/($L20-$K20)</f>
        <v>0</v>
      </c>
      <c r="V20" s="12">
        <f>E20/($L20-$K20)</f>
        <v>3.0027137285911974E-2</v>
      </c>
      <c r="W20" s="12">
        <f>I20/($L20-$K20)</f>
        <v>0</v>
      </c>
    </row>
    <row r="21" spans="1:23" x14ac:dyDescent="0.2">
      <c r="A21" s="3">
        <v>2016</v>
      </c>
      <c r="B21">
        <v>91058</v>
      </c>
      <c r="C21">
        <v>113793</v>
      </c>
      <c r="D21">
        <v>19181</v>
      </c>
      <c r="E21">
        <v>13270</v>
      </c>
      <c r="F21">
        <v>29</v>
      </c>
      <c r="H21">
        <v>11598</v>
      </c>
      <c r="J21">
        <v>5344</v>
      </c>
      <c r="L21">
        <v>254273</v>
      </c>
      <c r="N21" s="9">
        <v>2016</v>
      </c>
      <c r="O21" s="12">
        <f t="shared" ref="O21:O26" si="23">B21/($L21-$K21)</f>
        <v>0.35811116398516557</v>
      </c>
      <c r="P21" s="12">
        <f t="shared" si="18"/>
        <v>4.5612392979199522E-2</v>
      </c>
      <c r="Q21" s="12">
        <f t="shared" si="19"/>
        <v>7.5434670609934987E-2</v>
      </c>
      <c r="R21" s="12">
        <f t="shared" ref="R21:R26" si="24">C21/($L21-$K21)</f>
        <v>0.44752293794465003</v>
      </c>
      <c r="S21" s="12">
        <f t="shared" si="20"/>
        <v>2.1016781176137457E-2</v>
      </c>
      <c r="T21" s="12">
        <f t="shared" si="21"/>
        <v>0</v>
      </c>
      <c r="U21" s="12">
        <f t="shared" si="22"/>
        <v>1.1405064635254235E-4</v>
      </c>
      <c r="V21" s="12">
        <f t="shared" ref="V21:V26" si="25">E21/($L21-$K21)</f>
        <v>5.2188002658559891E-2</v>
      </c>
      <c r="W21" s="12">
        <f t="shared" ref="W21:W26" si="26">I21/($L21-$K21)</f>
        <v>0</v>
      </c>
    </row>
    <row r="22" spans="1:23" x14ac:dyDescent="0.2">
      <c r="A22" s="3">
        <v>2017</v>
      </c>
      <c r="B22">
        <v>76566</v>
      </c>
      <c r="C22">
        <v>85307</v>
      </c>
      <c r="D22">
        <v>16807</v>
      </c>
      <c r="E22">
        <v>2295</v>
      </c>
      <c r="F22">
        <v>115</v>
      </c>
      <c r="H22">
        <v>8781</v>
      </c>
      <c r="J22">
        <v>12561</v>
      </c>
      <c r="L22">
        <v>202432</v>
      </c>
      <c r="N22" s="9">
        <v>2017</v>
      </c>
      <c r="O22" s="12">
        <f t="shared" si="23"/>
        <v>0.37823071451153967</v>
      </c>
      <c r="P22" s="12">
        <f t="shared" si="18"/>
        <v>4.3377529244388237E-2</v>
      </c>
      <c r="Q22" s="12">
        <f t="shared" si="19"/>
        <v>8.3025411002213084E-2</v>
      </c>
      <c r="R22" s="12">
        <f t="shared" si="24"/>
        <v>0.42141064653809673</v>
      </c>
      <c r="S22" s="12">
        <f t="shared" si="20"/>
        <v>6.2050466329434083E-2</v>
      </c>
      <c r="T22" s="12">
        <f t="shared" si="21"/>
        <v>0</v>
      </c>
      <c r="U22" s="12">
        <f t="shared" si="22"/>
        <v>5.6809200126462216E-4</v>
      </c>
      <c r="V22" s="12">
        <f t="shared" si="25"/>
        <v>1.1337140373063548E-2</v>
      </c>
      <c r="W22" s="12">
        <f t="shared" si="26"/>
        <v>0</v>
      </c>
    </row>
    <row r="23" spans="1:23" x14ac:dyDescent="0.2">
      <c r="A23" s="3">
        <v>2018</v>
      </c>
      <c r="B23">
        <v>85927</v>
      </c>
      <c r="C23">
        <v>72442</v>
      </c>
      <c r="D23">
        <v>12754</v>
      </c>
      <c r="E23">
        <v>239</v>
      </c>
      <c r="F23">
        <v>437</v>
      </c>
      <c r="H23">
        <v>3832</v>
      </c>
      <c r="I23">
        <v>5</v>
      </c>
      <c r="J23">
        <v>5839</v>
      </c>
      <c r="L23">
        <v>181475</v>
      </c>
      <c r="N23" s="9">
        <v>2018</v>
      </c>
      <c r="O23" s="12">
        <f t="shared" si="23"/>
        <v>0.47349221655875467</v>
      </c>
      <c r="P23" s="12">
        <f t="shared" si="18"/>
        <v>2.111585617853699E-2</v>
      </c>
      <c r="Q23" s="12">
        <f t="shared" si="19"/>
        <v>7.0279652844744453E-2</v>
      </c>
      <c r="R23" s="12">
        <f t="shared" si="24"/>
        <v>0.39918446066951369</v>
      </c>
      <c r="S23" s="12">
        <f t="shared" si="20"/>
        <v>3.2175230748036916E-2</v>
      </c>
      <c r="T23" s="12">
        <f t="shared" si="21"/>
        <v>0</v>
      </c>
      <c r="U23" s="12">
        <f t="shared" si="22"/>
        <v>2.4080451852872297E-3</v>
      </c>
      <c r="V23" s="12">
        <f t="shared" si="25"/>
        <v>1.3169858107177296E-3</v>
      </c>
      <c r="W23" s="12">
        <f t="shared" si="26"/>
        <v>2.7552004408320707E-5</v>
      </c>
    </row>
    <row r="24" spans="1:23" x14ac:dyDescent="0.2">
      <c r="A24" s="3">
        <v>2019</v>
      </c>
      <c r="B24">
        <v>72243</v>
      </c>
      <c r="C24">
        <v>70020</v>
      </c>
      <c r="D24">
        <v>15305</v>
      </c>
      <c r="E24">
        <v>3</v>
      </c>
      <c r="F24">
        <v>1176</v>
      </c>
      <c r="H24">
        <v>2082</v>
      </c>
      <c r="J24">
        <v>4298</v>
      </c>
      <c r="L24">
        <v>165127</v>
      </c>
      <c r="N24" s="9">
        <v>2019</v>
      </c>
      <c r="O24" s="12">
        <f t="shared" si="23"/>
        <v>0.43749962150344884</v>
      </c>
      <c r="P24" s="12">
        <f t="shared" si="18"/>
        <v>1.2608477111556559E-2</v>
      </c>
      <c r="Q24" s="12">
        <f t="shared" si="19"/>
        <v>9.2686235443022638E-2</v>
      </c>
      <c r="R24" s="12">
        <f t="shared" si="24"/>
        <v>0.42403725617252175</v>
      </c>
      <c r="S24" s="12">
        <f t="shared" si="20"/>
        <v>2.6028450828756048E-2</v>
      </c>
      <c r="T24" s="12">
        <f t="shared" si="21"/>
        <v>0</v>
      </c>
      <c r="U24" s="12">
        <f t="shared" si="22"/>
        <v>7.1217911062394397E-3</v>
      </c>
      <c r="V24" s="12">
        <f t="shared" si="25"/>
        <v>1.8167834454692448E-5</v>
      </c>
      <c r="W24" s="12">
        <f t="shared" si="26"/>
        <v>0</v>
      </c>
    </row>
    <row r="25" spans="1:23" x14ac:dyDescent="0.2">
      <c r="A25" s="3">
        <v>2020</v>
      </c>
      <c r="B25">
        <v>55145</v>
      </c>
      <c r="C25">
        <v>35741</v>
      </c>
      <c r="D25">
        <v>7949</v>
      </c>
      <c r="F25">
        <v>1351</v>
      </c>
      <c r="H25">
        <v>915</v>
      </c>
      <c r="J25">
        <v>5049</v>
      </c>
      <c r="L25">
        <v>106150</v>
      </c>
      <c r="N25" s="9">
        <v>2020</v>
      </c>
      <c r="O25" s="12">
        <f t="shared" si="23"/>
        <v>0.51950070654733871</v>
      </c>
      <c r="P25" s="12">
        <f t="shared" si="18"/>
        <v>8.6198775317946306E-3</v>
      </c>
      <c r="Q25" s="12">
        <f t="shared" si="19"/>
        <v>7.4884597268016953E-2</v>
      </c>
      <c r="R25" s="12">
        <f t="shared" si="24"/>
        <v>0.33670277908619878</v>
      </c>
      <c r="S25" s="12">
        <f t="shared" si="20"/>
        <v>4.7564766839378235E-2</v>
      </c>
      <c r="T25" s="12">
        <f t="shared" si="21"/>
        <v>0</v>
      </c>
      <c r="U25" s="12">
        <f t="shared" si="22"/>
        <v>1.2727272727272728E-2</v>
      </c>
      <c r="V25" s="12">
        <f t="shared" si="25"/>
        <v>0</v>
      </c>
      <c r="W25" s="12">
        <f t="shared" si="26"/>
        <v>0</v>
      </c>
    </row>
    <row r="26" spans="1:23" x14ac:dyDescent="0.2">
      <c r="A26" s="3">
        <v>2021</v>
      </c>
      <c r="B26">
        <v>46038</v>
      </c>
      <c r="C26">
        <v>46789</v>
      </c>
      <c r="D26">
        <v>12341</v>
      </c>
      <c r="E26">
        <v>2</v>
      </c>
      <c r="F26">
        <v>1047</v>
      </c>
      <c r="H26">
        <v>529</v>
      </c>
      <c r="J26">
        <v>1226</v>
      </c>
      <c r="L26">
        <v>107972</v>
      </c>
      <c r="N26" s="9">
        <v>2021</v>
      </c>
      <c r="O26" s="12">
        <f t="shared" si="23"/>
        <v>0.42638832289852924</v>
      </c>
      <c r="P26" s="12">
        <f t="shared" si="18"/>
        <v>4.8994183677249659E-3</v>
      </c>
      <c r="Q26" s="12">
        <f t="shared" si="19"/>
        <v>0.11429815137257808</v>
      </c>
      <c r="R26" s="12">
        <f t="shared" si="24"/>
        <v>0.43334382988182119</v>
      </c>
      <c r="S26" s="12">
        <f t="shared" si="20"/>
        <v>1.1354795687770904E-2</v>
      </c>
      <c r="T26" s="12">
        <f t="shared" si="21"/>
        <v>0</v>
      </c>
      <c r="U26" s="12">
        <f t="shared" si="22"/>
        <v>9.696958470714629E-3</v>
      </c>
      <c r="V26" s="12">
        <f t="shared" si="25"/>
        <v>1.8523320860963953E-5</v>
      </c>
      <c r="W26" s="12">
        <f t="shared" si="26"/>
        <v>0</v>
      </c>
    </row>
    <row r="27" spans="1:23" x14ac:dyDescent="0.2">
      <c r="A27" s="2" t="s">
        <v>61</v>
      </c>
      <c r="B27">
        <v>5711717</v>
      </c>
      <c r="C27">
        <v>1203924</v>
      </c>
      <c r="D27">
        <v>144403802</v>
      </c>
      <c r="E27">
        <v>2485070</v>
      </c>
      <c r="F27">
        <v>77</v>
      </c>
      <c r="G27">
        <v>10354</v>
      </c>
      <c r="H27">
        <v>2028005</v>
      </c>
      <c r="I27">
        <v>26020</v>
      </c>
      <c r="J27">
        <v>1106569</v>
      </c>
      <c r="L27">
        <v>156975538</v>
      </c>
      <c r="N27" s="6" t="s">
        <v>62</v>
      </c>
      <c r="O27" s="6"/>
      <c r="P27" s="6"/>
      <c r="Q27" s="6"/>
      <c r="R27" s="6"/>
      <c r="S27" s="6"/>
      <c r="T27" s="6"/>
      <c r="U27" s="6"/>
      <c r="V27" s="6"/>
      <c r="W27" s="6"/>
    </row>
    <row r="28" spans="1:23" x14ac:dyDescent="0.2">
      <c r="A28" s="3">
        <v>2015</v>
      </c>
      <c r="B28">
        <v>135782</v>
      </c>
      <c r="C28">
        <v>163367</v>
      </c>
      <c r="D28">
        <v>19291074</v>
      </c>
      <c r="E28">
        <v>69444</v>
      </c>
      <c r="H28">
        <v>1495689</v>
      </c>
      <c r="I28">
        <v>578</v>
      </c>
      <c r="J28">
        <v>12662</v>
      </c>
      <c r="L28">
        <v>21168596</v>
      </c>
      <c r="N28" s="9">
        <v>2015</v>
      </c>
      <c r="O28" s="12">
        <f>B28/($L28-$K28)</f>
        <v>6.4143129756928608E-3</v>
      </c>
      <c r="P28" s="12">
        <f t="shared" ref="P28:P34" si="27">H28/($L28-$K28)</f>
        <v>7.0656032171429795E-2</v>
      </c>
      <c r="Q28" s="12">
        <f t="shared" ref="Q28:Q34" si="28">D28/($L28-$K28)</f>
        <v>0.91130625762804485</v>
      </c>
      <c r="R28" s="12">
        <f>C28/($L28-$K28)</f>
        <v>7.717422544225418E-3</v>
      </c>
      <c r="S28" s="12">
        <f t="shared" ref="S28:S34" si="29">J28/($L28-$K28)</f>
        <v>5.9815020325391444E-4</v>
      </c>
      <c r="T28" s="12">
        <f t="shared" ref="T28:T34" si="30">G28/($L28-$K28)</f>
        <v>0</v>
      </c>
      <c r="U28" s="12">
        <f t="shared" ref="U28:U34" si="31">F28/($L28-$K28)</f>
        <v>0</v>
      </c>
      <c r="V28" s="12">
        <f>E28/($L28-$K28)</f>
        <v>3.2805198795423183E-3</v>
      </c>
      <c r="W28" s="12">
        <f>I28/($L28-$K28)</f>
        <v>2.7304597810832614E-5</v>
      </c>
    </row>
    <row r="29" spans="1:23" x14ac:dyDescent="0.2">
      <c r="A29" s="3">
        <v>2016</v>
      </c>
      <c r="B29">
        <v>246143</v>
      </c>
      <c r="C29">
        <v>154701</v>
      </c>
      <c r="D29">
        <v>24058794</v>
      </c>
      <c r="E29">
        <v>157772</v>
      </c>
      <c r="F29">
        <v>8</v>
      </c>
      <c r="G29">
        <v>1722</v>
      </c>
      <c r="H29">
        <v>110827</v>
      </c>
      <c r="I29">
        <v>205</v>
      </c>
      <c r="J29">
        <v>24705</v>
      </c>
      <c r="L29">
        <v>24754877</v>
      </c>
      <c r="N29" s="9">
        <v>2016</v>
      </c>
      <c r="O29" s="12">
        <f t="shared" ref="O29:O34" si="32">B29/($L29-$K29)</f>
        <v>9.943212402146049E-3</v>
      </c>
      <c r="P29" s="12">
        <f t="shared" si="27"/>
        <v>4.4769763953987733E-3</v>
      </c>
      <c r="Q29" s="12">
        <f t="shared" si="28"/>
        <v>0.97188097521147043</v>
      </c>
      <c r="R29" s="12">
        <f t="shared" ref="R29:R34" si="33">C29/($L29-$K29)</f>
        <v>6.2493140240607939E-3</v>
      </c>
      <c r="S29" s="12">
        <f t="shared" si="29"/>
        <v>9.9798516470108096E-4</v>
      </c>
      <c r="T29" s="12">
        <f t="shared" si="30"/>
        <v>6.9562050338606001E-5</v>
      </c>
      <c r="U29" s="12">
        <f t="shared" si="31"/>
        <v>3.2316864268806508E-7</v>
      </c>
      <c r="V29" s="12">
        <f t="shared" ref="V29:V34" si="34">E29/($L29-$K29)</f>
        <v>6.3733703867726752E-3</v>
      </c>
      <c r="W29" s="12">
        <f t="shared" ref="W29:W34" si="35">I29/($L29-$K29)</f>
        <v>8.281196468881668E-6</v>
      </c>
    </row>
    <row r="30" spans="1:23" x14ac:dyDescent="0.2">
      <c r="A30" s="3">
        <v>2017</v>
      </c>
      <c r="B30">
        <v>508748</v>
      </c>
      <c r="C30">
        <v>160842</v>
      </c>
      <c r="D30">
        <v>23725630</v>
      </c>
      <c r="E30">
        <v>222304</v>
      </c>
      <c r="F30">
        <v>50</v>
      </c>
      <c r="G30">
        <v>5287</v>
      </c>
      <c r="H30">
        <v>99873</v>
      </c>
      <c r="I30">
        <v>2309</v>
      </c>
      <c r="J30">
        <v>58890</v>
      </c>
      <c r="L30">
        <v>24783933</v>
      </c>
      <c r="N30" s="9">
        <v>2017</v>
      </c>
      <c r="O30" s="12">
        <f t="shared" si="32"/>
        <v>2.0527331154421697E-2</v>
      </c>
      <c r="P30" s="12">
        <f t="shared" si="27"/>
        <v>4.0297478208967076E-3</v>
      </c>
      <c r="Q30" s="12">
        <f t="shared" si="28"/>
        <v>0.9572988274298514</v>
      </c>
      <c r="R30" s="12">
        <f t="shared" si="33"/>
        <v>6.4897689967125076E-3</v>
      </c>
      <c r="S30" s="12">
        <f t="shared" si="29"/>
        <v>2.3761361846806155E-3</v>
      </c>
      <c r="T30" s="12">
        <f t="shared" si="30"/>
        <v>2.1332368837504524E-4</v>
      </c>
      <c r="U30" s="12">
        <f t="shared" si="31"/>
        <v>2.0174360542372349E-6</v>
      </c>
      <c r="V30" s="12">
        <f t="shared" si="34"/>
        <v>8.9696820920230867E-3</v>
      </c>
      <c r="W30" s="12">
        <f t="shared" si="35"/>
        <v>9.3165196984675513E-5</v>
      </c>
    </row>
    <row r="31" spans="1:23" x14ac:dyDescent="0.2">
      <c r="A31" s="3">
        <v>2018</v>
      </c>
      <c r="B31">
        <v>744374</v>
      </c>
      <c r="C31">
        <v>188491</v>
      </c>
      <c r="D31">
        <v>21161732</v>
      </c>
      <c r="E31">
        <v>308721</v>
      </c>
      <c r="G31">
        <v>3142</v>
      </c>
      <c r="H31">
        <v>127403</v>
      </c>
      <c r="I31">
        <v>1842</v>
      </c>
      <c r="J31">
        <v>187801</v>
      </c>
      <c r="L31">
        <v>22723506</v>
      </c>
      <c r="N31" s="9">
        <v>2018</v>
      </c>
      <c r="O31" s="12">
        <f t="shared" si="32"/>
        <v>3.2757885160855017E-2</v>
      </c>
      <c r="P31" s="12">
        <f t="shared" si="27"/>
        <v>5.606661225604887E-3</v>
      </c>
      <c r="Q31" s="12">
        <f t="shared" si="28"/>
        <v>0.9312705530563814</v>
      </c>
      <c r="R31" s="12">
        <f t="shared" si="33"/>
        <v>8.2949787766025181E-3</v>
      </c>
      <c r="S31" s="12">
        <f t="shared" si="29"/>
        <v>8.2646137440234788E-3</v>
      </c>
      <c r="T31" s="12">
        <f t="shared" si="30"/>
        <v>1.3827091646861185E-4</v>
      </c>
      <c r="U31" s="12">
        <f t="shared" si="31"/>
        <v>0</v>
      </c>
      <c r="V31" s="12">
        <f t="shared" si="34"/>
        <v>1.3585975685266174E-2</v>
      </c>
      <c r="W31" s="12">
        <f t="shared" si="35"/>
        <v>8.1061434797957677E-5</v>
      </c>
    </row>
    <row r="32" spans="1:23" x14ac:dyDescent="0.2">
      <c r="A32" s="3">
        <v>2019</v>
      </c>
      <c r="B32">
        <v>724626</v>
      </c>
      <c r="C32">
        <v>157907</v>
      </c>
      <c r="D32">
        <v>20272632</v>
      </c>
      <c r="E32">
        <v>376905</v>
      </c>
      <c r="G32">
        <v>203</v>
      </c>
      <c r="H32">
        <v>107211</v>
      </c>
      <c r="I32">
        <v>14561</v>
      </c>
      <c r="J32">
        <v>200475</v>
      </c>
      <c r="L32">
        <v>21854520</v>
      </c>
      <c r="N32" s="9">
        <v>2019</v>
      </c>
      <c r="O32" s="12">
        <f t="shared" si="32"/>
        <v>3.3156802345693251E-2</v>
      </c>
      <c r="P32" s="12">
        <f t="shared" si="27"/>
        <v>4.9056671114259204E-3</v>
      </c>
      <c r="Q32" s="12">
        <f t="shared" si="28"/>
        <v>0.92761735329808204</v>
      </c>
      <c r="R32" s="12">
        <f t="shared" si="33"/>
        <v>7.225370312411346E-3</v>
      </c>
      <c r="S32" s="12">
        <f t="shared" si="29"/>
        <v>9.1731596026817328E-3</v>
      </c>
      <c r="T32" s="12">
        <f t="shared" si="30"/>
        <v>9.2886963429075536E-6</v>
      </c>
      <c r="U32" s="12">
        <f t="shared" si="31"/>
        <v>0</v>
      </c>
      <c r="V32" s="12">
        <f t="shared" si="34"/>
        <v>1.7246089138539762E-2</v>
      </c>
      <c r="W32" s="12">
        <f t="shared" si="35"/>
        <v>6.6626949482303892E-4</v>
      </c>
    </row>
    <row r="33" spans="1:23" x14ac:dyDescent="0.2">
      <c r="A33" s="3">
        <v>2020</v>
      </c>
      <c r="B33">
        <v>939086</v>
      </c>
      <c r="C33">
        <v>187404</v>
      </c>
      <c r="D33">
        <v>18373144</v>
      </c>
      <c r="E33">
        <v>552189</v>
      </c>
      <c r="H33">
        <v>41878</v>
      </c>
      <c r="I33">
        <v>5688</v>
      </c>
      <c r="J33">
        <v>207790</v>
      </c>
      <c r="L33">
        <v>20307179</v>
      </c>
      <c r="N33" s="9">
        <v>2020</v>
      </c>
      <c r="O33" s="12">
        <f t="shared" si="32"/>
        <v>4.6244040100301476E-2</v>
      </c>
      <c r="P33" s="12">
        <f t="shared" si="27"/>
        <v>2.0622263683202869E-3</v>
      </c>
      <c r="Q33" s="12">
        <f t="shared" si="28"/>
        <v>0.90476102072080022</v>
      </c>
      <c r="R33" s="12">
        <f t="shared" si="33"/>
        <v>9.2284605360498373E-3</v>
      </c>
      <c r="S33" s="12">
        <f t="shared" si="29"/>
        <v>1.0232341971280206E-2</v>
      </c>
      <c r="T33" s="12">
        <f t="shared" si="30"/>
        <v>0</v>
      </c>
      <c r="U33" s="12">
        <f t="shared" si="31"/>
        <v>0</v>
      </c>
      <c r="V33" s="12">
        <f t="shared" si="34"/>
        <v>2.7191812314255957E-2</v>
      </c>
      <c r="W33" s="12">
        <f t="shared" si="35"/>
        <v>2.8009798899197174E-4</v>
      </c>
    </row>
    <row r="34" spans="1:23" x14ac:dyDescent="0.2">
      <c r="A34" s="3">
        <v>2021</v>
      </c>
      <c r="B34">
        <v>2412958</v>
      </c>
      <c r="C34">
        <v>191212</v>
      </c>
      <c r="D34">
        <v>17520796</v>
      </c>
      <c r="E34">
        <v>797735</v>
      </c>
      <c r="F34">
        <v>19</v>
      </c>
      <c r="H34">
        <v>45124</v>
      </c>
      <c r="I34">
        <v>837</v>
      </c>
      <c r="J34">
        <v>414246</v>
      </c>
      <c r="L34">
        <v>21382927</v>
      </c>
      <c r="N34" s="9">
        <v>2021</v>
      </c>
      <c r="O34" s="12">
        <f t="shared" si="32"/>
        <v>0.11284507495161911</v>
      </c>
      <c r="P34" s="12">
        <f t="shared" si="27"/>
        <v>2.1102817214874278E-3</v>
      </c>
      <c r="Q34" s="12">
        <f t="shared" si="28"/>
        <v>0.81938249146152908</v>
      </c>
      <c r="R34" s="12">
        <f t="shared" si="33"/>
        <v>8.9422743668348126E-3</v>
      </c>
      <c r="S34" s="12">
        <f t="shared" si="29"/>
        <v>1.9372745368302479E-2</v>
      </c>
      <c r="T34" s="12">
        <f t="shared" si="30"/>
        <v>0</v>
      </c>
      <c r="U34" s="12">
        <f t="shared" si="31"/>
        <v>8.8855936327145482E-7</v>
      </c>
      <c r="V34" s="12">
        <f t="shared" si="34"/>
        <v>3.730710019259758E-2</v>
      </c>
      <c r="W34" s="12">
        <f t="shared" si="35"/>
        <v>3.9143378266221461E-5</v>
      </c>
    </row>
    <row r="35" spans="1:23" x14ac:dyDescent="0.2">
      <c r="A35" s="2" t="s">
        <v>67</v>
      </c>
      <c r="B35">
        <v>3058</v>
      </c>
      <c r="C35">
        <v>16503</v>
      </c>
      <c r="D35">
        <v>2339472</v>
      </c>
      <c r="E35">
        <v>22971</v>
      </c>
      <c r="H35">
        <v>10200</v>
      </c>
      <c r="J35">
        <v>6003</v>
      </c>
      <c r="K35">
        <v>192895</v>
      </c>
      <c r="L35">
        <v>2591102</v>
      </c>
    </row>
    <row r="36" spans="1:23" x14ac:dyDescent="0.2">
      <c r="A36" s="3">
        <v>2015</v>
      </c>
      <c r="B36">
        <v>261</v>
      </c>
      <c r="C36">
        <v>16431</v>
      </c>
      <c r="D36">
        <v>2172590</v>
      </c>
      <c r="H36">
        <v>10200</v>
      </c>
      <c r="K36">
        <v>192895</v>
      </c>
      <c r="L36">
        <v>2392377</v>
      </c>
    </row>
    <row r="37" spans="1:23" x14ac:dyDescent="0.2">
      <c r="A37" s="3">
        <v>2021</v>
      </c>
      <c r="B37">
        <v>2797</v>
      </c>
      <c r="C37">
        <v>72</v>
      </c>
      <c r="D37">
        <v>166882</v>
      </c>
      <c r="E37">
        <v>22971</v>
      </c>
      <c r="J37">
        <v>6003</v>
      </c>
      <c r="L37">
        <v>198725</v>
      </c>
    </row>
    <row r="38" spans="1:23" x14ac:dyDescent="0.2">
      <c r="A38" s="2" t="s">
        <v>53</v>
      </c>
      <c r="B38">
        <v>6494663</v>
      </c>
      <c r="C38">
        <v>16608165</v>
      </c>
      <c r="D38">
        <v>153408672</v>
      </c>
      <c r="E38">
        <v>2532322</v>
      </c>
      <c r="F38">
        <v>8557</v>
      </c>
      <c r="G38">
        <v>10354</v>
      </c>
      <c r="H38">
        <v>2752373</v>
      </c>
      <c r="I38">
        <v>26142</v>
      </c>
      <c r="J38">
        <v>1166613</v>
      </c>
      <c r="K38">
        <v>192937</v>
      </c>
      <c r="L38">
        <v>183200798</v>
      </c>
    </row>
  </sheetData>
  <phoneticPr fontId="19" type="noConversion"/>
  <conditionalFormatting sqref="O4:W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2:W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0:W26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8:W34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C6FF0-B672-49A1-8E91-D112C487E38F}">
  <sheetPr codeName="Sheet3"/>
  <dimension ref="A1:BB78"/>
  <sheetViews>
    <sheetView workbookViewId="0">
      <pane xSplit="1" ySplit="2" topLeftCell="B33" activePane="bottomRight" state="frozen"/>
      <selection pane="topRight" activeCell="B1" sqref="B1"/>
      <selection pane="bottomLeft" activeCell="A3" sqref="A3"/>
      <selection pane="bottomRight" activeCell="L37" sqref="L37"/>
    </sheetView>
  </sheetViews>
  <sheetFormatPr defaultRowHeight="14.25" x14ac:dyDescent="0.2"/>
  <cols>
    <col min="1" max="1" width="16.875" bestFit="1" customWidth="1"/>
    <col min="2" max="12" width="9.25" customWidth="1"/>
    <col min="14" max="14" width="23.125" style="4" bestFit="1" customWidth="1"/>
    <col min="15" max="54" width="8.625" customWidth="1"/>
  </cols>
  <sheetData>
    <row r="1" spans="1:54" x14ac:dyDescent="0.2">
      <c r="A1" s="1" t="s">
        <v>74</v>
      </c>
      <c r="B1" s="1" t="s">
        <v>52</v>
      </c>
    </row>
    <row r="2" spans="1:54" s="15" customFormat="1" ht="42.75" x14ac:dyDescent="0.2">
      <c r="A2" s="14" t="s">
        <v>54</v>
      </c>
      <c r="B2" s="15" t="s">
        <v>37</v>
      </c>
      <c r="C2" s="15" t="s">
        <v>40</v>
      </c>
      <c r="D2" s="15" t="s">
        <v>39</v>
      </c>
      <c r="E2" s="15" t="s">
        <v>44</v>
      </c>
      <c r="F2" s="15" t="s">
        <v>43</v>
      </c>
      <c r="G2" s="15" t="s">
        <v>42</v>
      </c>
      <c r="H2" s="15" t="s">
        <v>38</v>
      </c>
      <c r="I2" s="15" t="s">
        <v>47</v>
      </c>
      <c r="J2" s="15" t="s">
        <v>41</v>
      </c>
      <c r="K2" s="15" t="s">
        <v>55</v>
      </c>
      <c r="L2" s="15" t="s">
        <v>53</v>
      </c>
      <c r="N2" s="81"/>
      <c r="O2" s="81" t="s">
        <v>84</v>
      </c>
      <c r="P2" s="81" t="s">
        <v>85</v>
      </c>
      <c r="Q2" s="81" t="s">
        <v>86</v>
      </c>
      <c r="R2" s="81" t="s">
        <v>87</v>
      </c>
      <c r="S2" s="81" t="s">
        <v>84</v>
      </c>
      <c r="T2" s="81" t="s">
        <v>85</v>
      </c>
      <c r="U2" s="81" t="s">
        <v>86</v>
      </c>
      <c r="V2" s="81" t="s">
        <v>87</v>
      </c>
      <c r="W2" s="81" t="s">
        <v>84</v>
      </c>
      <c r="X2" s="81" t="s">
        <v>85</v>
      </c>
      <c r="Y2" s="81" t="s">
        <v>86</v>
      </c>
      <c r="Z2" s="81" t="s">
        <v>87</v>
      </c>
      <c r="AA2" s="81" t="s">
        <v>84</v>
      </c>
      <c r="AB2" s="81" t="s">
        <v>85</v>
      </c>
      <c r="AC2" s="81" t="s">
        <v>86</v>
      </c>
      <c r="AD2" s="81" t="s">
        <v>87</v>
      </c>
      <c r="AE2" s="81" t="s">
        <v>84</v>
      </c>
      <c r="AF2" s="81" t="s">
        <v>85</v>
      </c>
      <c r="AG2" s="81" t="s">
        <v>86</v>
      </c>
      <c r="AH2" s="81" t="s">
        <v>87</v>
      </c>
      <c r="AI2" s="81" t="s">
        <v>84</v>
      </c>
      <c r="AJ2" s="81" t="s">
        <v>85</v>
      </c>
      <c r="AK2" s="81" t="s">
        <v>86</v>
      </c>
      <c r="AL2" s="81" t="s">
        <v>87</v>
      </c>
      <c r="AM2" s="81" t="s">
        <v>84</v>
      </c>
      <c r="AN2" s="81" t="s">
        <v>85</v>
      </c>
      <c r="AO2" s="81" t="s">
        <v>86</v>
      </c>
      <c r="AP2" s="81" t="s">
        <v>87</v>
      </c>
      <c r="AQ2" s="81" t="s">
        <v>84</v>
      </c>
      <c r="AR2" s="81" t="s">
        <v>85</v>
      </c>
      <c r="AS2" s="81" t="s">
        <v>86</v>
      </c>
      <c r="AT2" s="81" t="s">
        <v>87</v>
      </c>
      <c r="AU2" s="81" t="s">
        <v>84</v>
      </c>
      <c r="AV2" s="81" t="s">
        <v>85</v>
      </c>
      <c r="AW2" s="81" t="s">
        <v>86</v>
      </c>
      <c r="AX2" s="81" t="s">
        <v>87</v>
      </c>
      <c r="AY2" s="81" t="s">
        <v>84</v>
      </c>
      <c r="AZ2" s="81" t="s">
        <v>85</v>
      </c>
      <c r="BA2" s="81" t="s">
        <v>86</v>
      </c>
      <c r="BB2" s="81" t="s">
        <v>87</v>
      </c>
    </row>
    <row r="3" spans="1:54" x14ac:dyDescent="0.2">
      <c r="A3" s="2" t="s">
        <v>69</v>
      </c>
      <c r="B3">
        <v>49887</v>
      </c>
      <c r="C3">
        <v>7556854</v>
      </c>
      <c r="D3">
        <v>402</v>
      </c>
      <c r="E3">
        <v>106</v>
      </c>
      <c r="F3">
        <v>4322</v>
      </c>
      <c r="H3">
        <v>484270</v>
      </c>
      <c r="I3">
        <v>117</v>
      </c>
      <c r="J3">
        <v>1156</v>
      </c>
      <c r="K3">
        <v>4</v>
      </c>
      <c r="L3">
        <v>8097118</v>
      </c>
      <c r="N3" s="28" t="s">
        <v>95</v>
      </c>
      <c r="O3" s="139" t="s">
        <v>70</v>
      </c>
      <c r="P3" s="139"/>
      <c r="Q3" s="139"/>
      <c r="R3" s="139"/>
      <c r="S3" s="140" t="s">
        <v>66</v>
      </c>
      <c r="T3" s="140"/>
      <c r="U3" s="140"/>
      <c r="V3" s="140"/>
      <c r="W3" s="147" t="s">
        <v>64</v>
      </c>
      <c r="X3" s="147"/>
      <c r="Y3" s="147"/>
      <c r="Z3" s="147"/>
      <c r="AA3" s="148"/>
      <c r="AB3" s="148"/>
      <c r="AC3" s="148"/>
      <c r="AD3" s="148"/>
      <c r="AE3" s="148"/>
      <c r="AF3" s="148"/>
      <c r="AG3" s="148"/>
      <c r="AH3" s="148"/>
      <c r="AI3" s="145" t="s">
        <v>62</v>
      </c>
      <c r="AJ3" s="145"/>
      <c r="AK3" s="145"/>
      <c r="AL3" s="145"/>
      <c r="AM3" s="146"/>
      <c r="AN3" s="146"/>
      <c r="AO3" s="146"/>
      <c r="AP3" s="146"/>
      <c r="AQ3" s="146"/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</row>
    <row r="4" spans="1:54" x14ac:dyDescent="0.2">
      <c r="A4" s="3" t="s">
        <v>83</v>
      </c>
      <c r="B4">
        <v>49887</v>
      </c>
      <c r="C4">
        <v>7556854</v>
      </c>
      <c r="D4">
        <v>402</v>
      </c>
      <c r="E4">
        <v>106</v>
      </c>
      <c r="F4">
        <v>4322</v>
      </c>
      <c r="H4">
        <v>484270</v>
      </c>
      <c r="I4">
        <v>117</v>
      </c>
      <c r="J4">
        <v>1156</v>
      </c>
      <c r="K4">
        <v>4</v>
      </c>
      <c r="L4">
        <v>8097118</v>
      </c>
      <c r="N4" s="9" t="s">
        <v>96</v>
      </c>
      <c r="O4" s="139" t="s">
        <v>79</v>
      </c>
      <c r="P4" s="139"/>
      <c r="Q4" s="139"/>
      <c r="R4" s="139"/>
      <c r="S4" s="140" t="s">
        <v>88</v>
      </c>
      <c r="T4" s="140"/>
      <c r="U4" s="140"/>
      <c r="V4" s="149"/>
      <c r="W4" s="150" t="s">
        <v>91</v>
      </c>
      <c r="X4" s="151"/>
      <c r="Y4" s="151"/>
      <c r="Z4" s="152"/>
      <c r="AA4" s="153" t="s">
        <v>78</v>
      </c>
      <c r="AB4" s="154"/>
      <c r="AC4" s="154"/>
      <c r="AD4" s="154"/>
      <c r="AE4" s="154" t="s">
        <v>89</v>
      </c>
      <c r="AF4" s="154"/>
      <c r="AG4" s="154"/>
      <c r="AH4" s="155"/>
      <c r="AI4" s="142" t="s">
        <v>91</v>
      </c>
      <c r="AJ4" s="143"/>
      <c r="AK4" s="143"/>
      <c r="AL4" s="144"/>
      <c r="AM4" s="141" t="s">
        <v>75</v>
      </c>
      <c r="AN4" s="138"/>
      <c r="AO4" s="138"/>
      <c r="AP4" s="138"/>
      <c r="AQ4" s="138" t="s">
        <v>90</v>
      </c>
      <c r="AR4" s="138"/>
      <c r="AS4" s="138"/>
      <c r="AT4" s="138"/>
      <c r="AU4" s="138" t="s">
        <v>78</v>
      </c>
      <c r="AV4" s="138"/>
      <c r="AW4" s="138"/>
      <c r="AX4" s="138"/>
      <c r="AY4" s="138" t="s">
        <v>89</v>
      </c>
      <c r="AZ4" s="138"/>
      <c r="BA4" s="138"/>
      <c r="BB4" s="138"/>
    </row>
    <row r="5" spans="1:54" x14ac:dyDescent="0.2">
      <c r="A5" s="13">
        <v>2015</v>
      </c>
      <c r="B5">
        <v>5722</v>
      </c>
      <c r="C5">
        <v>543387</v>
      </c>
      <c r="D5">
        <v>213</v>
      </c>
      <c r="H5">
        <v>14079</v>
      </c>
      <c r="L5">
        <v>563401</v>
      </c>
      <c r="N5" s="9" t="s">
        <v>97</v>
      </c>
      <c r="O5" s="67">
        <f>L4/L4</f>
        <v>1</v>
      </c>
      <c r="P5" s="67">
        <f t="shared" ref="P5:P12" si="0">(J4+B4)/L4</f>
        <v>6.3038478629062833E-3</v>
      </c>
      <c r="Q5" s="67">
        <f t="shared" ref="Q5:Q12" si="1">J4/(J4+B4)</f>
        <v>2.2647571655271048E-2</v>
      </c>
      <c r="R5" s="68">
        <f t="shared" ref="R5:R12" si="2">B4/(B4+J4)</f>
        <v>0.97735242834472891</v>
      </c>
      <c r="S5" s="69">
        <f>L13/L13</f>
        <v>1</v>
      </c>
      <c r="T5" s="70">
        <f t="shared" ref="T5:T12" si="3">(J13+B13)/L13</f>
        <v>1.5360403130094756E-2</v>
      </c>
      <c r="U5" s="70">
        <f t="shared" ref="U5:U12" si="4">J13/(J13+B13)</f>
        <v>7.6204669193108213E-3</v>
      </c>
      <c r="V5" s="71">
        <f t="shared" ref="V5:V12" si="5">B13/(B13+J13)</f>
        <v>0.99237953308068916</v>
      </c>
      <c r="W5" s="72">
        <f t="shared" ref="W5:W20" si="6">AA5+AE5</f>
        <v>1</v>
      </c>
      <c r="X5" s="73">
        <f t="shared" ref="X5:X20" si="7">AB5*AA5+AF5*AE5</f>
        <v>0.43539464158643865</v>
      </c>
      <c r="Y5" s="73">
        <f t="shared" ref="Y5:Y20" si="8">(AA5*AB5*AC5+AE5*AF5*AG5)/(AA5*AB5+AE5*AF5)</f>
        <v>1.2057219570544331E-2</v>
      </c>
      <c r="Z5" s="74">
        <f t="shared" ref="Z5:Z20" si="9">(AA5*AB5*AD5+AE5*AF5*AH5)/(AA5*AB5+AE5*AF5)</f>
        <v>0.90920935311353879</v>
      </c>
      <c r="AA5" s="75">
        <f t="shared" ref="AA5:AA12" si="10">L22/(L22+L30)</f>
        <v>0.54903054916252603</v>
      </c>
      <c r="AB5" s="76">
        <f t="shared" ref="AB5:AB12" si="11">(J22+B22)/L22</f>
        <v>0.15372753100008574</v>
      </c>
      <c r="AC5" s="76">
        <f t="shared" ref="AC5:AC12" si="12">J22/(J22+B22)</f>
        <v>1.8581343672558683E-2</v>
      </c>
      <c r="AD5" s="77">
        <f t="shared" ref="AD5:AD12" si="13">B22/(B22+J22)</f>
        <v>0.9814186563274413</v>
      </c>
      <c r="AE5" s="75">
        <f t="shared" ref="AE5:AE12" si="14">L30/(L22+L30)</f>
        <v>0.45096945083747403</v>
      </c>
      <c r="AF5" s="76">
        <f t="shared" ref="AF5:AF12" si="15">(B30+J30)/L30</f>
        <v>0.77830888581975755</v>
      </c>
      <c r="AG5" s="76">
        <f t="shared" ref="AG5:AG12" si="16">J30/(J30+B39)</f>
        <v>1.0488406265919674E-2</v>
      </c>
      <c r="AH5" s="77">
        <f t="shared" ref="AH5:AH12" si="17">B30/(B30+J30)</f>
        <v>0.89184565588333597</v>
      </c>
      <c r="AI5" s="78">
        <f t="shared" ref="AI5:AI20" si="18">AM5+AQ5+AU5+AY5</f>
        <v>1</v>
      </c>
      <c r="AJ5" s="79">
        <f t="shared" ref="AJ5:AJ20" si="19">(AM5*AN5+AQ5*AR5+AU5*AV5+AY5*AZ5)</f>
        <v>4.3435340861835425E-2</v>
      </c>
      <c r="AK5" s="79">
        <f t="shared" ref="AK5:AK20" si="20">(AM5*AN5*AO5+AQ5*AR5*AS5+AU5*AV5*AW5+AY5*AZ5*BA5)/(AM5*AN5+AQ5*AR5+AU5*AV5+AY5*AZ5)</f>
        <v>0.16229430680965862</v>
      </c>
      <c r="AL5" s="80">
        <f t="shared" ref="AL5:AL20" si="21">(AM5*AN5*AP5+AQ5*AR5*AT5+AU5*AV5*AX5+AY5*AZ5*BB5)/(AM5*AN5+AQ5*AR5+AU5*AV5+AY5*AZ5)</f>
        <v>0.83770569319034138</v>
      </c>
      <c r="AM5" s="75">
        <f t="shared" ref="AM5:AM12" si="22">L39/(L39+L47+L55+L63)</f>
        <v>0.97785900883486698</v>
      </c>
      <c r="AN5" s="76">
        <f t="shared" ref="AN5:AN12" si="23">(J39+B39)/L39</f>
        <v>3.7040691037646241E-2</v>
      </c>
      <c r="AO5" s="76">
        <f t="shared" ref="AO5:AO12" si="24">J39/(J39+B39)</f>
        <v>0.18385826023823795</v>
      </c>
      <c r="AP5" s="77">
        <f t="shared" ref="AP5:AP12" si="25">B39/(B39+J39)</f>
        <v>0.81614173976176208</v>
      </c>
      <c r="AQ5" s="75">
        <f t="shared" ref="AQ5:AQ12" si="26">L47/(L39+L47+L55+L63)</f>
        <v>2.1366481954659712E-2</v>
      </c>
      <c r="AR5" s="76">
        <f t="shared" ref="AR5:AR12" si="27">(B47+J47)/L47</f>
        <v>0.33657422521962482</v>
      </c>
      <c r="AS5" s="76">
        <f t="shared" ref="AS5:AS12" si="28">J47/(J47+B47)</f>
        <v>5.4196434503377258E-2</v>
      </c>
      <c r="AT5" s="77">
        <f t="shared" ref="AT5:AT12" si="29">B47/(B47+J47)</f>
        <v>0.9458035654966227</v>
      </c>
      <c r="AU5" s="75">
        <f t="shared" ref="AU5:AU12" si="30">L55/(L39+L47+L55+L63)</f>
        <v>7.3858004551002085E-4</v>
      </c>
      <c r="AV5" s="76">
        <f t="shared" ref="AV5:AV12" si="31">(B55+J55)/L55</f>
        <v>2.3374360655172115E-2</v>
      </c>
      <c r="AW5" s="76">
        <f t="shared" ref="AW5:AW12" si="32">J55/(J55+B55)</f>
        <v>6.2730627306273063E-3</v>
      </c>
      <c r="AX5" s="77">
        <f t="shared" ref="AX5:AX12" si="33">B55/(B55+J55)</f>
        <v>0.99372693726937267</v>
      </c>
      <c r="AY5" s="75">
        <f t="shared" ref="AY5:AY12" si="34">L63/(L39+L47+L55+L63)</f>
        <v>3.5929164963269628E-5</v>
      </c>
      <c r="AZ5" s="76">
        <f t="shared" ref="AZ5:AZ12" si="35">(B63+J63)/L63</f>
        <v>0.1696808510638298</v>
      </c>
      <c r="BA5" s="76">
        <f>J63/(J63+B63)</f>
        <v>0</v>
      </c>
      <c r="BB5" s="77">
        <f>B63/(B63+J63)</f>
        <v>1</v>
      </c>
    </row>
    <row r="6" spans="1:54" x14ac:dyDescent="0.2">
      <c r="A6" s="13">
        <v>2016</v>
      </c>
      <c r="B6">
        <v>4529</v>
      </c>
      <c r="C6">
        <v>761880</v>
      </c>
      <c r="D6">
        <v>25</v>
      </c>
      <c r="E6">
        <v>6</v>
      </c>
      <c r="H6">
        <v>15344</v>
      </c>
      <c r="K6">
        <v>4</v>
      </c>
      <c r="L6">
        <v>781788</v>
      </c>
      <c r="N6" s="29">
        <v>2015</v>
      </c>
      <c r="O6" s="44">
        <f>L5/L5</f>
        <v>1</v>
      </c>
      <c r="P6" s="44">
        <f t="shared" si="0"/>
        <v>1.0156176506608969E-2</v>
      </c>
      <c r="Q6" s="44">
        <f t="shared" si="1"/>
        <v>0</v>
      </c>
      <c r="R6" s="45">
        <f t="shared" si="2"/>
        <v>1</v>
      </c>
      <c r="S6" s="53">
        <f>L14/L14</f>
        <v>1</v>
      </c>
      <c r="T6" s="54">
        <f t="shared" si="3"/>
        <v>1.6196795145339851E-2</v>
      </c>
      <c r="U6" s="54">
        <f t="shared" si="4"/>
        <v>0</v>
      </c>
      <c r="V6" s="55">
        <f t="shared" si="5"/>
        <v>1</v>
      </c>
      <c r="W6" s="34">
        <f t="shared" si="6"/>
        <v>1</v>
      </c>
      <c r="X6" s="35">
        <f t="shared" si="7"/>
        <v>0.36958810866369818</v>
      </c>
      <c r="Y6" s="35">
        <f t="shared" si="8"/>
        <v>7.8797614150232995E-2</v>
      </c>
      <c r="Z6" s="36">
        <f t="shared" si="9"/>
        <v>0.8356557337196977</v>
      </c>
      <c r="AA6" s="18">
        <f t="shared" si="10"/>
        <v>0.53563483592270345</v>
      </c>
      <c r="AB6" s="19">
        <f t="shared" si="11"/>
        <v>0.28081346197716078</v>
      </c>
      <c r="AC6" s="19">
        <f t="shared" si="12"/>
        <v>1.447924879936922E-2</v>
      </c>
      <c r="AD6" s="20">
        <f t="shared" si="13"/>
        <v>0.98552075120063076</v>
      </c>
      <c r="AE6" s="18">
        <f t="shared" si="14"/>
        <v>0.46436516407729655</v>
      </c>
      <c r="AF6" s="19">
        <f t="shared" si="15"/>
        <v>0.47198767906757166</v>
      </c>
      <c r="AG6" s="19">
        <f t="shared" si="16"/>
        <v>0.12293752404807351</v>
      </c>
      <c r="AH6" s="20">
        <f t="shared" si="17"/>
        <v>0.73280752959695672</v>
      </c>
      <c r="AI6" s="59">
        <f t="shared" si="18"/>
        <v>1</v>
      </c>
      <c r="AJ6" s="60">
        <f t="shared" si="19"/>
        <v>7.0124631789467758E-3</v>
      </c>
      <c r="AK6" s="60">
        <f t="shared" si="20"/>
        <v>8.5298159575328075E-2</v>
      </c>
      <c r="AL6" s="61">
        <f t="shared" si="21"/>
        <v>0.91470184042467195</v>
      </c>
      <c r="AM6" s="18">
        <f t="shared" si="22"/>
        <v>0.98191226286334721</v>
      </c>
      <c r="AN6" s="19">
        <f t="shared" si="23"/>
        <v>6.0755700167769155E-3</v>
      </c>
      <c r="AO6" s="19">
        <f t="shared" si="24"/>
        <v>7.9447281941639941E-2</v>
      </c>
      <c r="AP6" s="20">
        <f t="shared" si="25"/>
        <v>0.92055271805836003</v>
      </c>
      <c r="AQ6" s="18">
        <f t="shared" si="26"/>
        <v>1.7548731148726161E-2</v>
      </c>
      <c r="AR6" s="19">
        <f t="shared" si="27"/>
        <v>5.9238401860655432E-2</v>
      </c>
      <c r="AS6" s="19">
        <f t="shared" si="28"/>
        <v>0.11946741797691539</v>
      </c>
      <c r="AT6" s="20">
        <f t="shared" si="29"/>
        <v>0.8805325820230846</v>
      </c>
      <c r="AU6" s="18">
        <f t="shared" si="30"/>
        <v>5.0683569189000533E-4</v>
      </c>
      <c r="AV6" s="19">
        <f t="shared" si="31"/>
        <v>2.7961599403485881E-4</v>
      </c>
      <c r="AW6" s="19">
        <f t="shared" si="32"/>
        <v>0</v>
      </c>
      <c r="AX6" s="20">
        <f t="shared" si="33"/>
        <v>1</v>
      </c>
      <c r="AY6" s="18">
        <f t="shared" si="34"/>
        <v>3.2170296036638425E-5</v>
      </c>
      <c r="AZ6" s="19">
        <f t="shared" si="35"/>
        <v>0.22026431718061673</v>
      </c>
      <c r="BA6" s="19">
        <f>J64/(J64+B64)</f>
        <v>0</v>
      </c>
      <c r="BB6" s="20">
        <f>B64/(B64+J64)</f>
        <v>1</v>
      </c>
    </row>
    <row r="7" spans="1:54" x14ac:dyDescent="0.2">
      <c r="A7" s="13">
        <v>2017</v>
      </c>
      <c r="B7">
        <v>16933</v>
      </c>
      <c r="C7">
        <v>1061952</v>
      </c>
      <c r="D7">
        <v>46</v>
      </c>
      <c r="E7">
        <v>56</v>
      </c>
      <c r="F7">
        <v>933</v>
      </c>
      <c r="H7">
        <v>70507</v>
      </c>
      <c r="J7">
        <v>1120</v>
      </c>
      <c r="L7">
        <v>1151547</v>
      </c>
      <c r="N7" s="29">
        <v>2016</v>
      </c>
      <c r="O7" s="44">
        <f t="shared" ref="O7:O12" si="36">L5/L5</f>
        <v>1</v>
      </c>
      <c r="P7" s="44">
        <f t="shared" si="0"/>
        <v>5.7931306185308546E-3</v>
      </c>
      <c r="Q7" s="44">
        <f t="shared" si="1"/>
        <v>0</v>
      </c>
      <c r="R7" s="45">
        <f t="shared" si="2"/>
        <v>1</v>
      </c>
      <c r="S7" s="53">
        <f t="shared" ref="S7:S12" si="37">L14/L14</f>
        <v>1</v>
      </c>
      <c r="T7" s="54">
        <f t="shared" si="3"/>
        <v>1.0646226870465011E-2</v>
      </c>
      <c r="U7" s="54">
        <f t="shared" si="4"/>
        <v>0</v>
      </c>
      <c r="V7" s="55">
        <f t="shared" si="5"/>
        <v>1</v>
      </c>
      <c r="W7" s="34">
        <f t="shared" si="6"/>
        <v>1</v>
      </c>
      <c r="X7" s="35">
        <f t="shared" si="7"/>
        <v>0.37912794516130299</v>
      </c>
      <c r="Y7" s="35">
        <f t="shared" si="8"/>
        <v>2.2941065590904485E-2</v>
      </c>
      <c r="Z7" s="36">
        <f t="shared" si="9"/>
        <v>0.94456546544677489</v>
      </c>
      <c r="AA7" s="18">
        <f t="shared" si="10"/>
        <v>0.62035292775874751</v>
      </c>
      <c r="AB7" s="19">
        <f t="shared" si="11"/>
        <v>0.19620385573637464</v>
      </c>
      <c r="AC7" s="19">
        <f t="shared" si="12"/>
        <v>2.8110762867944037E-2</v>
      </c>
      <c r="AD7" s="20">
        <f t="shared" si="13"/>
        <v>0.97188923713205599</v>
      </c>
      <c r="AE7" s="18">
        <f t="shared" si="14"/>
        <v>0.37964707224125249</v>
      </c>
      <c r="AF7" s="19">
        <f t="shared" si="15"/>
        <v>0.67803053846313222</v>
      </c>
      <c r="AG7" s="19">
        <f t="shared" si="16"/>
        <v>2.0496609858896831E-2</v>
      </c>
      <c r="AH7" s="20">
        <f t="shared" si="17"/>
        <v>0.93164560829908483</v>
      </c>
      <c r="AI7" s="59">
        <f t="shared" si="18"/>
        <v>1</v>
      </c>
      <c r="AJ7" s="60">
        <f t="shared" si="19"/>
        <v>1.094119756684713E-2</v>
      </c>
      <c r="AK7" s="60">
        <f t="shared" si="20"/>
        <v>9.121352197542533E-2</v>
      </c>
      <c r="AL7" s="61">
        <f t="shared" si="21"/>
        <v>0.90878647802457468</v>
      </c>
      <c r="AM7" s="18">
        <f t="shared" si="22"/>
        <v>0.98613190443240739</v>
      </c>
      <c r="AN7" s="19">
        <f t="shared" si="23"/>
        <v>9.6563212187792558E-3</v>
      </c>
      <c r="AO7" s="19">
        <f t="shared" si="24"/>
        <v>9.2989318106615301E-2</v>
      </c>
      <c r="AP7" s="20">
        <f t="shared" si="25"/>
        <v>0.90701068189338474</v>
      </c>
      <c r="AQ7" s="18">
        <f t="shared" si="26"/>
        <v>1.3550218811428552E-2</v>
      </c>
      <c r="AR7" s="19">
        <f t="shared" si="27"/>
        <v>0.10466440492019294</v>
      </c>
      <c r="AS7" s="19">
        <f t="shared" si="28"/>
        <v>7.9326649196764271E-2</v>
      </c>
      <c r="AT7" s="20">
        <f t="shared" si="29"/>
        <v>0.92067335080323576</v>
      </c>
      <c r="AU7" s="18">
        <f t="shared" si="30"/>
        <v>3.0272822603804494E-4</v>
      </c>
      <c r="AV7" s="19">
        <f t="shared" si="31"/>
        <v>1.8681611956231651E-3</v>
      </c>
      <c r="AW7" s="19">
        <f t="shared" si="32"/>
        <v>0</v>
      </c>
      <c r="AX7" s="20">
        <f t="shared" si="33"/>
        <v>1</v>
      </c>
      <c r="AY7" s="18">
        <f t="shared" si="34"/>
        <v>1.514853012600305E-5</v>
      </c>
      <c r="AZ7" s="19">
        <f t="shared" si="35"/>
        <v>0</v>
      </c>
      <c r="BA7" s="19">
        <f>IFERROR(J65/(J65+B65),BA5)</f>
        <v>0</v>
      </c>
      <c r="BB7" s="20">
        <f>IFERROR(B65/(B65+J65),BB5)</f>
        <v>1</v>
      </c>
    </row>
    <row r="8" spans="1:54" x14ac:dyDescent="0.2">
      <c r="A8" s="13">
        <v>2018</v>
      </c>
      <c r="B8">
        <v>1648</v>
      </c>
      <c r="C8">
        <v>1070295</v>
      </c>
      <c r="D8">
        <v>40</v>
      </c>
      <c r="E8">
        <v>2</v>
      </c>
      <c r="F8">
        <v>404</v>
      </c>
      <c r="H8">
        <v>65710</v>
      </c>
      <c r="L8">
        <v>1138099</v>
      </c>
      <c r="N8" s="29">
        <v>2017</v>
      </c>
      <c r="O8" s="44">
        <f t="shared" si="36"/>
        <v>1</v>
      </c>
      <c r="P8" s="44">
        <f t="shared" si="0"/>
        <v>1.5677171665594198E-2</v>
      </c>
      <c r="Q8" s="44">
        <f t="shared" si="1"/>
        <v>6.2039550213260956E-2</v>
      </c>
      <c r="R8" s="45">
        <f t="shared" si="2"/>
        <v>0.93796044978673909</v>
      </c>
      <c r="S8" s="53">
        <f t="shared" si="37"/>
        <v>1</v>
      </c>
      <c r="T8" s="54">
        <f t="shared" si="3"/>
        <v>3.1765911361251509E-2</v>
      </c>
      <c r="U8" s="54">
        <f t="shared" si="4"/>
        <v>0</v>
      </c>
      <c r="V8" s="55">
        <f t="shared" si="5"/>
        <v>1</v>
      </c>
      <c r="W8" s="34">
        <f t="shared" si="6"/>
        <v>1</v>
      </c>
      <c r="X8" s="35">
        <f t="shared" si="7"/>
        <v>0.44028118084097378</v>
      </c>
      <c r="Y8" s="35">
        <f t="shared" si="8"/>
        <v>2.6759719967301903E-2</v>
      </c>
      <c r="Z8" s="36">
        <f t="shared" si="9"/>
        <v>0.85906627621259546</v>
      </c>
      <c r="AA8" s="18">
        <f t="shared" si="10"/>
        <v>0.57428173411318373</v>
      </c>
      <c r="AB8" s="19">
        <f t="shared" si="11"/>
        <v>0.16203452814120925</v>
      </c>
      <c r="AC8" s="19">
        <f t="shared" si="12"/>
        <v>2.4738546477676912E-2</v>
      </c>
      <c r="AD8" s="20">
        <f t="shared" si="13"/>
        <v>0.97526145352232307</v>
      </c>
      <c r="AE8" s="18">
        <f t="shared" si="14"/>
        <v>0.42571826588681633</v>
      </c>
      <c r="AF8" s="19">
        <f t="shared" si="15"/>
        <v>0.8156279372004781</v>
      </c>
      <c r="AG8" s="19">
        <f t="shared" si="16"/>
        <v>2.7301373759079768E-2</v>
      </c>
      <c r="AH8" s="20">
        <f t="shared" si="17"/>
        <v>0.82792715891307445</v>
      </c>
      <c r="AI8" s="59">
        <f t="shared" si="18"/>
        <v>1</v>
      </c>
      <c r="AJ8" s="60">
        <f t="shared" si="19"/>
        <v>2.2903467339102312E-2</v>
      </c>
      <c r="AK8" s="60">
        <f t="shared" si="20"/>
        <v>0.10374569708159073</v>
      </c>
      <c r="AL8" s="61">
        <f t="shared" si="21"/>
        <v>0.89625430291840924</v>
      </c>
      <c r="AM8" s="18">
        <f t="shared" si="22"/>
        <v>0.97716544827651042</v>
      </c>
      <c r="AN8" s="19">
        <f t="shared" si="23"/>
        <v>2.004640927660303E-2</v>
      </c>
      <c r="AO8" s="19">
        <f t="shared" si="24"/>
        <v>0.11238475418345403</v>
      </c>
      <c r="AP8" s="20">
        <f t="shared" si="25"/>
        <v>0.88761524581654594</v>
      </c>
      <c r="AQ8" s="18">
        <f t="shared" si="26"/>
        <v>2.1733193032760379E-2</v>
      </c>
      <c r="AR8" s="19">
        <f t="shared" si="27"/>
        <v>0.15131610704114482</v>
      </c>
      <c r="AS8" s="19">
        <f t="shared" si="28"/>
        <v>5.3113957597173148E-2</v>
      </c>
      <c r="AT8" s="20">
        <f t="shared" si="29"/>
        <v>0.94688604240282681</v>
      </c>
      <c r="AU8" s="18">
        <f t="shared" si="30"/>
        <v>1.0505596508834979E-3</v>
      </c>
      <c r="AV8" s="19">
        <f t="shared" si="31"/>
        <v>2.3812267158274763E-2</v>
      </c>
      <c r="AW8" s="19">
        <f t="shared" si="32"/>
        <v>0</v>
      </c>
      <c r="AX8" s="20">
        <f t="shared" si="33"/>
        <v>1</v>
      </c>
      <c r="AY8" s="18">
        <f t="shared" si="34"/>
        <v>5.0799039845693577E-5</v>
      </c>
      <c r="AZ8" s="19">
        <f t="shared" si="35"/>
        <v>2.3828435266084195E-2</v>
      </c>
      <c r="BA8" s="19">
        <f>J66/(J66+B66)</f>
        <v>0</v>
      </c>
      <c r="BB8" s="20">
        <f>B66/(B66+J66)</f>
        <v>1</v>
      </c>
    </row>
    <row r="9" spans="1:54" x14ac:dyDescent="0.2">
      <c r="A9" s="13">
        <v>2019</v>
      </c>
      <c r="B9">
        <v>5962</v>
      </c>
      <c r="C9">
        <v>1141356</v>
      </c>
      <c r="D9">
        <v>30</v>
      </c>
      <c r="F9">
        <v>2014</v>
      </c>
      <c r="H9">
        <v>116202</v>
      </c>
      <c r="I9">
        <v>13</v>
      </c>
      <c r="L9">
        <v>1265577</v>
      </c>
      <c r="N9" s="29">
        <v>2018</v>
      </c>
      <c r="O9" s="44">
        <f t="shared" si="36"/>
        <v>1</v>
      </c>
      <c r="P9" s="44">
        <f t="shared" si="0"/>
        <v>1.4480286864323754E-3</v>
      </c>
      <c r="Q9" s="44">
        <f t="shared" si="1"/>
        <v>0</v>
      </c>
      <c r="R9" s="45">
        <f t="shared" si="2"/>
        <v>1</v>
      </c>
      <c r="S9" s="53">
        <f t="shared" si="37"/>
        <v>1</v>
      </c>
      <c r="T9" s="54">
        <f t="shared" si="3"/>
        <v>1.9954839536537809E-2</v>
      </c>
      <c r="U9" s="54">
        <f t="shared" si="4"/>
        <v>2.4514009756575884E-5</v>
      </c>
      <c r="V9" s="55">
        <f t="shared" si="5"/>
        <v>0.99997548599024344</v>
      </c>
      <c r="W9" s="34">
        <f t="shared" si="6"/>
        <v>1</v>
      </c>
      <c r="X9" s="35">
        <f t="shared" si="7"/>
        <v>0.50566744730679158</v>
      </c>
      <c r="Y9" s="35">
        <f t="shared" si="8"/>
        <v>1.0064986200577308E-2</v>
      </c>
      <c r="Z9" s="36">
        <f t="shared" si="9"/>
        <v>0.93637076913017903</v>
      </c>
      <c r="AA9" s="18">
        <f t="shared" si="10"/>
        <v>0.49390274142443863</v>
      </c>
      <c r="AB9" s="19">
        <f t="shared" si="11"/>
        <v>6.931753522776718E-2</v>
      </c>
      <c r="AC9" s="19">
        <f t="shared" si="12"/>
        <v>1.2071463061323033E-2</v>
      </c>
      <c r="AD9" s="20">
        <f t="shared" si="13"/>
        <v>0.98792853693867699</v>
      </c>
      <c r="AE9" s="18">
        <f t="shared" si="14"/>
        <v>0.50609725857556143</v>
      </c>
      <c r="AF9" s="19">
        <f t="shared" si="15"/>
        <v>0.93150341884064281</v>
      </c>
      <c r="AG9" s="19">
        <f t="shared" si="16"/>
        <v>9.9192725407896525E-3</v>
      </c>
      <c r="AH9" s="20">
        <f t="shared" si="17"/>
        <v>0.93262655897513824</v>
      </c>
      <c r="AI9" s="59">
        <f t="shared" si="18"/>
        <v>1</v>
      </c>
      <c r="AJ9" s="60">
        <f t="shared" si="19"/>
        <v>4.1022498904878496E-2</v>
      </c>
      <c r="AK9" s="60">
        <f t="shared" si="20"/>
        <v>0.20146539008233433</v>
      </c>
      <c r="AL9" s="61">
        <f t="shared" si="21"/>
        <v>0.79853460991766567</v>
      </c>
      <c r="AM9" s="18">
        <f t="shared" si="22"/>
        <v>0.97463142351360743</v>
      </c>
      <c r="AN9" s="19">
        <f t="shared" si="23"/>
        <v>3.3992077407354111E-2</v>
      </c>
      <c r="AO9" s="19">
        <f t="shared" si="24"/>
        <v>0.23577489559312667</v>
      </c>
      <c r="AP9" s="20">
        <f t="shared" si="25"/>
        <v>0.7642251044068733</v>
      </c>
      <c r="AQ9" s="18">
        <f t="shared" si="26"/>
        <v>2.4276227444831797E-2</v>
      </c>
      <c r="AR9" s="19">
        <f t="shared" si="27"/>
        <v>0.32499034698291096</v>
      </c>
      <c r="AS9" s="19">
        <f t="shared" si="28"/>
        <v>5.7474982987315786E-2</v>
      </c>
      <c r="AT9" s="20">
        <f t="shared" si="29"/>
        <v>0.94252501701268421</v>
      </c>
      <c r="AU9" s="18">
        <f t="shared" si="30"/>
        <v>1.0431928946175823E-3</v>
      </c>
      <c r="AV9" s="19">
        <f t="shared" si="31"/>
        <v>2.5311115798354778E-3</v>
      </c>
      <c r="AW9" s="19">
        <f t="shared" si="32"/>
        <v>0</v>
      </c>
      <c r="AX9" s="20">
        <f t="shared" si="33"/>
        <v>1</v>
      </c>
      <c r="AY9" s="18">
        <f t="shared" si="34"/>
        <v>4.9156146943169772E-5</v>
      </c>
      <c r="AZ9" s="19">
        <f t="shared" si="35"/>
        <v>1.1638316920322292E-2</v>
      </c>
      <c r="BA9" s="19">
        <f>J67/(J67+B67)</f>
        <v>0</v>
      </c>
      <c r="BB9" s="20">
        <f>B67/(B67+J67)</f>
        <v>1</v>
      </c>
    </row>
    <row r="10" spans="1:54" x14ac:dyDescent="0.2">
      <c r="A10" s="13">
        <v>2020</v>
      </c>
      <c r="B10">
        <v>4111</v>
      </c>
      <c r="C10">
        <v>1530088</v>
      </c>
      <c r="D10">
        <v>44</v>
      </c>
      <c r="E10">
        <v>24</v>
      </c>
      <c r="F10">
        <v>146</v>
      </c>
      <c r="H10">
        <v>142829</v>
      </c>
      <c r="I10">
        <v>14</v>
      </c>
      <c r="J10">
        <v>11</v>
      </c>
      <c r="L10">
        <v>1677267</v>
      </c>
      <c r="N10" s="29">
        <v>2019</v>
      </c>
      <c r="O10" s="44">
        <f t="shared" si="36"/>
        <v>1</v>
      </c>
      <c r="P10" s="44">
        <f t="shared" si="0"/>
        <v>4.7108947144267003E-3</v>
      </c>
      <c r="Q10" s="44">
        <f t="shared" si="1"/>
        <v>0</v>
      </c>
      <c r="R10" s="45">
        <f t="shared" si="2"/>
        <v>1</v>
      </c>
      <c r="S10" s="53">
        <f t="shared" si="37"/>
        <v>1</v>
      </c>
      <c r="T10" s="54">
        <f t="shared" si="3"/>
        <v>8.3252472071471458E-3</v>
      </c>
      <c r="U10" s="54">
        <f t="shared" si="4"/>
        <v>5.3751645458534449E-3</v>
      </c>
      <c r="V10" s="55">
        <f t="shared" si="5"/>
        <v>0.99462483545414659</v>
      </c>
      <c r="W10" s="34">
        <f t="shared" si="6"/>
        <v>1</v>
      </c>
      <c r="X10" s="35">
        <f t="shared" si="7"/>
        <v>0.46352807233220489</v>
      </c>
      <c r="Y10" s="35">
        <f t="shared" si="8"/>
        <v>8.3553449828855167E-3</v>
      </c>
      <c r="Z10" s="36">
        <f t="shared" si="9"/>
        <v>0.9438470884885225</v>
      </c>
      <c r="AA10" s="18">
        <f t="shared" si="10"/>
        <v>0.5376831166314413</v>
      </c>
      <c r="AB10" s="19">
        <f t="shared" si="11"/>
        <v>4.6313608001261462E-2</v>
      </c>
      <c r="AC10" s="19">
        <f t="shared" si="12"/>
        <v>9.727626459143969E-4</v>
      </c>
      <c r="AD10" s="20">
        <f t="shared" si="13"/>
        <v>0.99902723735408561</v>
      </c>
      <c r="AE10" s="18">
        <f t="shared" si="14"/>
        <v>0.46231688336855875</v>
      </c>
      <c r="AF10" s="19">
        <f t="shared" si="15"/>
        <v>0.94875623845639956</v>
      </c>
      <c r="AG10" s="19">
        <f t="shared" si="16"/>
        <v>8.7744751457985107E-3</v>
      </c>
      <c r="AH10" s="20">
        <f t="shared" si="17"/>
        <v>0.94071435474740783</v>
      </c>
      <c r="AI10" s="59">
        <f t="shared" si="18"/>
        <v>1</v>
      </c>
      <c r="AJ10" s="60">
        <f t="shared" si="19"/>
        <v>4.2329961948374982E-2</v>
      </c>
      <c r="AK10" s="60">
        <f t="shared" si="20"/>
        <v>0.21670606776989754</v>
      </c>
      <c r="AL10" s="61">
        <f t="shared" si="21"/>
        <v>0.78329393223010246</v>
      </c>
      <c r="AM10" s="18">
        <f t="shared" si="22"/>
        <v>0.97004953666335381</v>
      </c>
      <c r="AN10" s="19">
        <f t="shared" si="23"/>
        <v>3.153962456639673E-2</v>
      </c>
      <c r="AO10" s="19">
        <f t="shared" si="24"/>
        <v>0.27452631390032589</v>
      </c>
      <c r="AP10" s="20">
        <f t="shared" si="25"/>
        <v>0.72547368609967411</v>
      </c>
      <c r="AQ10" s="18">
        <f t="shared" si="26"/>
        <v>2.9315995043588238E-2</v>
      </c>
      <c r="AR10" s="19">
        <f t="shared" si="27"/>
        <v>0.40004245442782516</v>
      </c>
      <c r="AS10" s="19">
        <f t="shared" si="28"/>
        <v>6.5953445544708972E-2</v>
      </c>
      <c r="AT10" s="20">
        <f t="shared" si="29"/>
        <v>0.93404655445529106</v>
      </c>
      <c r="AU10" s="18">
        <f t="shared" si="30"/>
        <v>6.1090337376432883E-4</v>
      </c>
      <c r="AV10" s="19">
        <f t="shared" si="31"/>
        <v>8.6884877537263122E-3</v>
      </c>
      <c r="AW10" s="19">
        <f t="shared" si="32"/>
        <v>0.10344827586206896</v>
      </c>
      <c r="AX10" s="20">
        <f t="shared" si="33"/>
        <v>0.89655172413793105</v>
      </c>
      <c r="AY10" s="18">
        <f t="shared" si="34"/>
        <v>2.3564919293583202E-5</v>
      </c>
      <c r="AZ10" s="19">
        <f t="shared" si="35"/>
        <v>8.5436893203883493E-2</v>
      </c>
      <c r="BA10" s="19">
        <f>J68/(J68+B68)</f>
        <v>0</v>
      </c>
      <c r="BB10" s="20">
        <f>B68/(B68+J68)</f>
        <v>1</v>
      </c>
    </row>
    <row r="11" spans="1:54" x14ac:dyDescent="0.2">
      <c r="A11" s="13">
        <v>2021</v>
      </c>
      <c r="B11">
        <v>10982</v>
      </c>
      <c r="C11">
        <v>1447896</v>
      </c>
      <c r="D11">
        <v>4</v>
      </c>
      <c r="E11">
        <v>18</v>
      </c>
      <c r="F11">
        <v>825</v>
      </c>
      <c r="H11">
        <v>59599</v>
      </c>
      <c r="I11">
        <v>90</v>
      </c>
      <c r="J11">
        <v>25</v>
      </c>
      <c r="L11">
        <v>1519439</v>
      </c>
      <c r="N11" s="29">
        <v>2020</v>
      </c>
      <c r="O11" s="44">
        <f t="shared" si="36"/>
        <v>1</v>
      </c>
      <c r="P11" s="44">
        <f t="shared" si="0"/>
        <v>2.4575693673100345E-3</v>
      </c>
      <c r="Q11" s="44">
        <f t="shared" si="1"/>
        <v>2.6686074721009221E-3</v>
      </c>
      <c r="R11" s="45">
        <f t="shared" si="2"/>
        <v>0.99733139252789904</v>
      </c>
      <c r="S11" s="53">
        <f t="shared" si="37"/>
        <v>1</v>
      </c>
      <c r="T11" s="54">
        <f t="shared" si="3"/>
        <v>6.2312891295087554E-3</v>
      </c>
      <c r="U11" s="54">
        <f t="shared" si="4"/>
        <v>2.0297440479989787E-2</v>
      </c>
      <c r="V11" s="55">
        <f t="shared" si="5"/>
        <v>0.97970255952001017</v>
      </c>
      <c r="W11" s="34">
        <f t="shared" si="6"/>
        <v>1</v>
      </c>
      <c r="X11" s="35">
        <f t="shared" si="7"/>
        <v>0.56706547338671698</v>
      </c>
      <c r="Y11" s="35">
        <f t="shared" si="8"/>
        <v>6.413217443048352E-3</v>
      </c>
      <c r="Z11" s="36">
        <f t="shared" si="9"/>
        <v>0.91612120809382991</v>
      </c>
      <c r="AA11" s="18">
        <f t="shared" si="10"/>
        <v>0.43130475741874708</v>
      </c>
      <c r="AB11" s="19">
        <f t="shared" si="11"/>
        <v>5.375357665509032E-2</v>
      </c>
      <c r="AC11" s="19">
        <f t="shared" si="12"/>
        <v>3.6570499796830555E-3</v>
      </c>
      <c r="AD11" s="20">
        <f t="shared" si="13"/>
        <v>0.99634295002031692</v>
      </c>
      <c r="AE11" s="18">
        <f t="shared" si="14"/>
        <v>0.56869524258125292</v>
      </c>
      <c r="AF11" s="19">
        <f t="shared" si="15"/>
        <v>0.95636688919442747</v>
      </c>
      <c r="AG11" s="19">
        <f t="shared" si="16"/>
        <v>6.5307053291332948E-3</v>
      </c>
      <c r="AH11" s="20">
        <f t="shared" si="17"/>
        <v>0.9127015744894601</v>
      </c>
      <c r="AI11" s="59">
        <f t="shared" si="18"/>
        <v>1</v>
      </c>
      <c r="AJ11" s="60">
        <f t="shared" si="19"/>
        <v>5.6476382071581684E-2</v>
      </c>
      <c r="AK11" s="60">
        <f t="shared" si="20"/>
        <v>0.18117913357677726</v>
      </c>
      <c r="AL11" s="61">
        <f t="shared" si="21"/>
        <v>0.81882086642322272</v>
      </c>
      <c r="AM11" s="18">
        <f t="shared" si="22"/>
        <v>0.98018572643694135</v>
      </c>
      <c r="AN11" s="19">
        <f t="shared" si="23"/>
        <v>4.8318529287925273E-2</v>
      </c>
      <c r="AO11" s="19">
        <f t="shared" si="24"/>
        <v>0.202825828601611</v>
      </c>
      <c r="AP11" s="20">
        <f t="shared" si="25"/>
        <v>0.79717417139838898</v>
      </c>
      <c r="AQ11" s="18">
        <f t="shared" si="26"/>
        <v>1.8810441371497243E-2</v>
      </c>
      <c r="AR11" s="19">
        <f t="shared" si="27"/>
        <v>0.48163419173950944</v>
      </c>
      <c r="AS11" s="19">
        <f t="shared" si="28"/>
        <v>6.9127830501473003E-2</v>
      </c>
      <c r="AT11" s="20">
        <f t="shared" si="29"/>
        <v>0.93087216949852702</v>
      </c>
      <c r="AU11" s="18">
        <f t="shared" si="30"/>
        <v>9.3114853619008335E-4</v>
      </c>
      <c r="AV11" s="19">
        <f t="shared" si="31"/>
        <v>2.5331852556983447E-2</v>
      </c>
      <c r="AW11" s="19">
        <f t="shared" si="32"/>
        <v>0</v>
      </c>
      <c r="AX11" s="20">
        <f t="shared" si="33"/>
        <v>1</v>
      </c>
      <c r="AY11" s="18">
        <f t="shared" si="34"/>
        <v>7.268365537133444E-5</v>
      </c>
      <c r="AZ11" s="19">
        <f t="shared" si="35"/>
        <v>0.43902439024390244</v>
      </c>
      <c r="BA11" s="19">
        <f>J69/(J69+B69)</f>
        <v>0</v>
      </c>
      <c r="BB11" s="20">
        <f>B69/(B69+J69)</f>
        <v>1</v>
      </c>
    </row>
    <row r="12" spans="1:54" x14ac:dyDescent="0.2">
      <c r="A12" s="2" t="s">
        <v>65</v>
      </c>
      <c r="B12">
        <v>217086</v>
      </c>
      <c r="C12">
        <v>7283616</v>
      </c>
      <c r="D12">
        <v>6562410</v>
      </c>
      <c r="E12">
        <v>12</v>
      </c>
      <c r="F12">
        <v>3</v>
      </c>
      <c r="H12">
        <v>176564</v>
      </c>
      <c r="J12">
        <v>1667</v>
      </c>
      <c r="L12">
        <v>14241358</v>
      </c>
      <c r="N12" s="32">
        <v>2021</v>
      </c>
      <c r="O12" s="46">
        <f t="shared" si="36"/>
        <v>1</v>
      </c>
      <c r="P12" s="46">
        <f t="shared" si="0"/>
        <v>7.2441210209820859E-3</v>
      </c>
      <c r="Q12" s="46">
        <f t="shared" si="1"/>
        <v>2.2712819115108568E-3</v>
      </c>
      <c r="R12" s="47">
        <f t="shared" si="2"/>
        <v>0.99772871808848917</v>
      </c>
      <c r="S12" s="56">
        <f t="shared" si="37"/>
        <v>1</v>
      </c>
      <c r="T12" s="57">
        <f t="shared" si="3"/>
        <v>1.6909438858558619E-2</v>
      </c>
      <c r="U12" s="57">
        <f t="shared" si="4"/>
        <v>3.1458411979363284E-2</v>
      </c>
      <c r="V12" s="58">
        <f t="shared" si="5"/>
        <v>0.96854158802063672</v>
      </c>
      <c r="W12" s="37">
        <f t="shared" si="6"/>
        <v>1</v>
      </c>
      <c r="X12" s="38">
        <f t="shared" si="7"/>
        <v>0.43774311858630016</v>
      </c>
      <c r="Y12" s="38">
        <f t="shared" si="8"/>
        <v>5.7617000648001258E-4</v>
      </c>
      <c r="Z12" s="39">
        <f t="shared" si="9"/>
        <v>0.97406059580230209</v>
      </c>
      <c r="AA12" s="21">
        <f t="shared" si="10"/>
        <v>0.59399659170896157</v>
      </c>
      <c r="AB12" s="22">
        <f t="shared" si="11"/>
        <v>7.6900288454042259E-2</v>
      </c>
      <c r="AC12" s="22">
        <f t="shared" si="12"/>
        <v>4.0551500405515005E-4</v>
      </c>
      <c r="AD12" s="23">
        <f t="shared" si="13"/>
        <v>0.99959448499594483</v>
      </c>
      <c r="AE12" s="21">
        <f t="shared" si="14"/>
        <v>0.40600340829103843</v>
      </c>
      <c r="AF12" s="22">
        <f t="shared" si="15"/>
        <v>0.9656682710951936</v>
      </c>
      <c r="AG12" s="22">
        <f t="shared" si="16"/>
        <v>5.9605261235640443E-4</v>
      </c>
      <c r="AH12" s="23">
        <f t="shared" si="17"/>
        <v>0.97108570348672396</v>
      </c>
      <c r="AI12" s="62">
        <f t="shared" si="18"/>
        <v>1</v>
      </c>
      <c r="AJ12" s="63">
        <f t="shared" si="19"/>
        <v>0.13221782031992158</v>
      </c>
      <c r="AK12" s="63">
        <f t="shared" si="20"/>
        <v>0.14652143955653715</v>
      </c>
      <c r="AL12" s="64">
        <f t="shared" si="21"/>
        <v>0.85347856044346304</v>
      </c>
      <c r="AM12" s="21">
        <f t="shared" si="22"/>
        <v>0.9742747566785408</v>
      </c>
      <c r="AN12" s="22">
        <f t="shared" si="23"/>
        <v>0.11784347659460451</v>
      </c>
      <c r="AO12" s="22">
        <f t="shared" si="24"/>
        <v>0.1640433968835221</v>
      </c>
      <c r="AP12" s="23">
        <f t="shared" si="25"/>
        <v>0.8359566031164779</v>
      </c>
      <c r="AQ12" s="21">
        <f t="shared" si="26"/>
        <v>2.4980209678497241E-2</v>
      </c>
      <c r="AR12" s="22">
        <f t="shared" si="27"/>
        <v>0.6939979406533745</v>
      </c>
      <c r="AS12" s="22">
        <f t="shared" si="28"/>
        <v>3.1054845035999559E-2</v>
      </c>
      <c r="AT12" s="23">
        <f t="shared" si="29"/>
        <v>0.96894515496400047</v>
      </c>
      <c r="AU12" s="21">
        <f t="shared" si="30"/>
        <v>7.3488535970777063E-4</v>
      </c>
      <c r="AV12" s="22">
        <f t="shared" si="31"/>
        <v>9.0238004327351407E-2</v>
      </c>
      <c r="AW12" s="22">
        <f t="shared" si="32"/>
        <v>3.526093088857546E-3</v>
      </c>
      <c r="AX12" s="23">
        <f t="shared" si="33"/>
        <v>0.99647390691114246</v>
      </c>
      <c r="AY12" s="21">
        <f t="shared" si="34"/>
        <v>1.0148283254205563E-5</v>
      </c>
      <c r="AZ12" s="22">
        <f t="shared" si="35"/>
        <v>0.33179723502304148</v>
      </c>
      <c r="BA12" s="22">
        <f>J70/(J70+B70)</f>
        <v>0</v>
      </c>
      <c r="BB12" s="23">
        <f>B70/(B70+J70)</f>
        <v>1</v>
      </c>
    </row>
    <row r="13" spans="1:54" x14ac:dyDescent="0.2">
      <c r="A13" s="3" t="s">
        <v>23</v>
      </c>
      <c r="B13">
        <v>217086</v>
      </c>
      <c r="C13">
        <v>7283616</v>
      </c>
      <c r="D13">
        <v>6562410</v>
      </c>
      <c r="E13">
        <v>12</v>
      </c>
      <c r="F13">
        <v>3</v>
      </c>
      <c r="H13">
        <v>176564</v>
      </c>
      <c r="J13">
        <v>1667</v>
      </c>
      <c r="L13">
        <v>14241358</v>
      </c>
      <c r="N13" s="30">
        <v>2025</v>
      </c>
      <c r="O13" s="48">
        <v>1</v>
      </c>
      <c r="P13" s="43">
        <f t="shared" ref="P13:P20" si="38">HLOOKUP(O$4,$O$24:$U$33,ROW(P13)-10,FALSE)</f>
        <v>2.6420038649863066E-2</v>
      </c>
      <c r="Q13" s="43">
        <f>Q5</f>
        <v>2.2647571655271048E-2</v>
      </c>
      <c r="R13" s="43">
        <f>R5</f>
        <v>0.97735242834472891</v>
      </c>
      <c r="S13" s="51">
        <f>100%</f>
        <v>1</v>
      </c>
      <c r="T13" s="52">
        <f t="shared" ref="T13:T20" si="39">HLOOKUP(S$4,$O$24:$U$33,ROW(T13)-10,FALSE)</f>
        <v>8.9203147277815906E-2</v>
      </c>
      <c r="U13" s="52">
        <f>U5</f>
        <v>7.6204669193108213E-3</v>
      </c>
      <c r="V13" s="52">
        <f>V5</f>
        <v>0.99237953308068916</v>
      </c>
      <c r="W13" s="40">
        <f t="shared" si="6"/>
        <v>1</v>
      </c>
      <c r="X13" s="41">
        <f t="shared" si="7"/>
        <v>0.34046608336294037</v>
      </c>
      <c r="Y13" s="41">
        <f t="shared" si="8"/>
        <v>1.319456206206064E-2</v>
      </c>
      <c r="Z13" s="42">
        <f t="shared" si="9"/>
        <v>0.92179751169908741</v>
      </c>
      <c r="AA13" s="33">
        <f t="shared" ref="AA13:AA20" si="40">S36/(R36+S36)</f>
        <v>0.75096771708473053</v>
      </c>
      <c r="AB13" s="16">
        <f t="shared" ref="AB13:AB20" si="41">HLOOKUP(AA$4,$O$24:$U$33,ROW(AB13)-10,FALSE)</f>
        <v>0.15160000000000001</v>
      </c>
      <c r="AC13" s="16">
        <f>AC5</f>
        <v>1.8581343672558683E-2</v>
      </c>
      <c r="AD13" s="16">
        <f>AD5</f>
        <v>0.9814186563274413</v>
      </c>
      <c r="AE13" s="33">
        <f t="shared" ref="AE13:AE20" si="42">R36/(R36+S36)</f>
        <v>0.24903228291526944</v>
      </c>
      <c r="AF13" s="16">
        <f t="shared" ref="AF13:AF20" si="43">HLOOKUP(AE$4,$O$24:$U$33,ROW(AF13)-10,FALSE)</f>
        <v>0.91</v>
      </c>
      <c r="AG13" s="16">
        <f>AG5</f>
        <v>1.0488406265919674E-2</v>
      </c>
      <c r="AH13" s="16">
        <f>AH5</f>
        <v>0.89184565588333597</v>
      </c>
      <c r="AI13" s="65">
        <f t="shared" si="18"/>
        <v>0.99999999999999989</v>
      </c>
      <c r="AJ13" s="66">
        <f t="shared" si="19"/>
        <v>0.1062205737688578</v>
      </c>
      <c r="AK13" s="66">
        <f t="shared" si="20"/>
        <v>0.17368892732913752</v>
      </c>
      <c r="AL13" s="66">
        <f t="shared" si="21"/>
        <v>0.82631107267086246</v>
      </c>
      <c r="AM13" s="33">
        <f t="shared" ref="AM13:AM20" si="44">O36/(O36+P36+R36+S36)</f>
        <v>0.98776333104745662</v>
      </c>
      <c r="AN13" s="16">
        <f t="shared" ref="AN13:AN20" si="45">HLOOKUP(AM$4,$O$24:$U$33,ROW(AN13)-10,FALSE)</f>
        <v>0.1</v>
      </c>
      <c r="AO13" s="16">
        <f>AO5</f>
        <v>0.18385826023823795</v>
      </c>
      <c r="AP13" s="16">
        <f>AP5</f>
        <v>0.81614173976176208</v>
      </c>
      <c r="AQ13" s="33">
        <f t="shared" ref="AQ13:AQ20" si="46">P36/(O36+P36+R36+S36)</f>
        <v>5.7557062304330088E-3</v>
      </c>
      <c r="AR13" s="16">
        <f t="shared" ref="AR13:AR20" si="47">HLOOKUP(AQ$4,$O$24:$U$33,ROW(AR13)-10,FALSE)</f>
        <v>0.91</v>
      </c>
      <c r="AS13" s="16">
        <f>AS5</f>
        <v>5.4196434503377258E-2</v>
      </c>
      <c r="AT13" s="16">
        <f>AT5</f>
        <v>0.9458035654966227</v>
      </c>
      <c r="AU13" s="33">
        <f t="shared" ref="AU13:AU20" si="48">S36/(O36+P36+R36+S36)</f>
        <v>4.8669937799343446E-3</v>
      </c>
      <c r="AV13" s="16">
        <f t="shared" ref="AV13:AV20" si="49">HLOOKUP(AU$4,$O$24:$U$33,ROW(AV13)-10,FALSE)</f>
        <v>0.15160000000000001</v>
      </c>
      <c r="AW13" s="16">
        <f>AW5</f>
        <v>6.2730627306273063E-3</v>
      </c>
      <c r="AX13" s="16">
        <f>AX5</f>
        <v>0.99372693726937267</v>
      </c>
      <c r="AY13" s="33">
        <f t="shared" ref="AY13:AY20" si="50">R36/(O36+P36+R36+S36)</f>
        <v>1.6139689421758644E-3</v>
      </c>
      <c r="AZ13" s="16">
        <f t="shared" ref="AZ13:AZ20" si="51">HLOOKUP(AY$4,$O$24:$U$33,ROW(AZ13)-10,FALSE)</f>
        <v>0.91</v>
      </c>
      <c r="BA13" s="16">
        <f>BA5</f>
        <v>0</v>
      </c>
      <c r="BB13" s="17">
        <f>BB5</f>
        <v>1</v>
      </c>
    </row>
    <row r="14" spans="1:54" x14ac:dyDescent="0.2">
      <c r="A14" s="13">
        <v>2015</v>
      </c>
      <c r="B14">
        <v>24785</v>
      </c>
      <c r="C14">
        <v>763006</v>
      </c>
      <c r="D14">
        <v>706406</v>
      </c>
      <c r="E14">
        <v>4</v>
      </c>
      <c r="H14">
        <v>36040</v>
      </c>
      <c r="L14">
        <v>1530241</v>
      </c>
      <c r="N14" s="30">
        <v>2030</v>
      </c>
      <c r="O14" s="49">
        <v>1</v>
      </c>
      <c r="P14" s="44">
        <f t="shared" si="38"/>
        <v>5.9427602641469165E-2</v>
      </c>
      <c r="Q14" s="44">
        <f t="shared" ref="Q14:R20" si="52">Q13</f>
        <v>2.2647571655271048E-2</v>
      </c>
      <c r="R14" s="44">
        <f t="shared" si="52"/>
        <v>0.97735242834472891</v>
      </c>
      <c r="S14" s="53">
        <f>100%</f>
        <v>1</v>
      </c>
      <c r="T14" s="54">
        <f t="shared" si="39"/>
        <v>0.180868546209773</v>
      </c>
      <c r="U14" s="54">
        <f t="shared" ref="U14:V20" si="53">U13</f>
        <v>7.6204669193108213E-3</v>
      </c>
      <c r="V14" s="54">
        <f t="shared" si="53"/>
        <v>0.99237953308068916</v>
      </c>
      <c r="W14" s="34">
        <f t="shared" si="6"/>
        <v>1</v>
      </c>
      <c r="X14" s="35">
        <f t="shared" si="7"/>
        <v>0.52305414959742058</v>
      </c>
      <c r="Y14" s="35">
        <f t="shared" si="8"/>
        <v>1.3646501302823515E-2</v>
      </c>
      <c r="Z14" s="36">
        <f t="shared" si="9"/>
        <v>0.9267995958348616</v>
      </c>
      <c r="AA14" s="18">
        <f t="shared" si="40"/>
        <v>0.67119226837947521</v>
      </c>
      <c r="AB14" s="19">
        <f t="shared" si="41"/>
        <v>0.304101610732668</v>
      </c>
      <c r="AC14" s="19">
        <f t="shared" ref="AC14:AD20" si="54">AC13</f>
        <v>1.8581343672558683E-2</v>
      </c>
      <c r="AD14" s="19">
        <f t="shared" si="54"/>
        <v>0.9814186563274413</v>
      </c>
      <c r="AE14" s="18">
        <f t="shared" si="42"/>
        <v>0.32880773162052479</v>
      </c>
      <c r="AF14" s="19">
        <f t="shared" si="43"/>
        <v>0.97</v>
      </c>
      <c r="AG14" s="19">
        <f t="shared" ref="AG14:AH20" si="55">AG13</f>
        <v>1.0488406265919674E-2</v>
      </c>
      <c r="AH14" s="19">
        <f t="shared" si="55"/>
        <v>0.89184565588333597</v>
      </c>
      <c r="AI14" s="59">
        <f t="shared" si="18"/>
        <v>0.99999999999999989</v>
      </c>
      <c r="AJ14" s="60">
        <f t="shared" si="19"/>
        <v>0.15655173335418227</v>
      </c>
      <c r="AK14" s="60">
        <f t="shared" si="20"/>
        <v>0.1758185740825613</v>
      </c>
      <c r="AL14" s="60">
        <f t="shared" si="21"/>
        <v>0.82418142591743881</v>
      </c>
      <c r="AM14" s="18">
        <f t="shared" si="44"/>
        <v>0.98833878871528913</v>
      </c>
      <c r="AN14" s="19">
        <f t="shared" si="45"/>
        <v>0.15</v>
      </c>
      <c r="AO14" s="19">
        <f t="shared" ref="AO14:AP20" si="56">AO13</f>
        <v>0.18385826023823795</v>
      </c>
      <c r="AP14" s="19">
        <f t="shared" si="56"/>
        <v>0.81614173976176208</v>
      </c>
      <c r="AQ14" s="18">
        <f t="shared" si="46"/>
        <v>4.9255857126891027E-3</v>
      </c>
      <c r="AR14" s="19">
        <f t="shared" si="47"/>
        <v>0.97</v>
      </c>
      <c r="AS14" s="19">
        <f t="shared" ref="AS14:AT20" si="57">AS13</f>
        <v>5.4196434503377258E-2</v>
      </c>
      <c r="AT14" s="19">
        <f t="shared" si="57"/>
        <v>0.9458035654966227</v>
      </c>
      <c r="AU14" s="18">
        <f t="shared" si="48"/>
        <v>4.5208998066400847E-3</v>
      </c>
      <c r="AV14" s="19">
        <f t="shared" si="49"/>
        <v>0.304101610732668</v>
      </c>
      <c r="AW14" s="19">
        <f t="shared" ref="AW14:AX20" si="58">AW13</f>
        <v>6.2730627306273063E-3</v>
      </c>
      <c r="AX14" s="19">
        <f t="shared" si="58"/>
        <v>0.99372693726937267</v>
      </c>
      <c r="AY14" s="18">
        <f t="shared" si="50"/>
        <v>2.2147257653816746E-3</v>
      </c>
      <c r="AZ14" s="19">
        <f t="shared" si="51"/>
        <v>0.97</v>
      </c>
      <c r="BA14" s="19">
        <f t="shared" ref="BA14:BB20" si="59">BA13</f>
        <v>0</v>
      </c>
      <c r="BB14" s="20">
        <f t="shared" si="59"/>
        <v>1</v>
      </c>
    </row>
    <row r="15" spans="1:54" x14ac:dyDescent="0.2">
      <c r="A15" s="13">
        <v>2016</v>
      </c>
      <c r="B15">
        <v>17755</v>
      </c>
      <c r="C15">
        <v>876597</v>
      </c>
      <c r="D15">
        <v>756679</v>
      </c>
      <c r="H15">
        <v>16696</v>
      </c>
      <c r="L15">
        <v>1667727</v>
      </c>
      <c r="N15" s="30">
        <v>2035</v>
      </c>
      <c r="O15" s="49">
        <v>1</v>
      </c>
      <c r="P15" s="44">
        <f t="shared" si="38"/>
        <v>0.10442110567062254</v>
      </c>
      <c r="Q15" s="44">
        <f t="shared" si="52"/>
        <v>2.2647571655271048E-2</v>
      </c>
      <c r="R15" s="44">
        <f t="shared" si="52"/>
        <v>0.97735242834472891</v>
      </c>
      <c r="S15" s="53">
        <f>100%</f>
        <v>1</v>
      </c>
      <c r="T15" s="54">
        <f t="shared" si="39"/>
        <v>0.29922704510701198</v>
      </c>
      <c r="U15" s="54">
        <f t="shared" si="53"/>
        <v>7.6204669193108213E-3</v>
      </c>
      <c r="V15" s="54">
        <f t="shared" si="53"/>
        <v>0.99237953308068916</v>
      </c>
      <c r="W15" s="34">
        <f t="shared" si="6"/>
        <v>0.99999999999999989</v>
      </c>
      <c r="X15" s="35">
        <f t="shared" si="7"/>
        <v>0.60054663643244832</v>
      </c>
      <c r="Y15" s="35">
        <f t="shared" si="8"/>
        <v>1.5441440831748247E-2</v>
      </c>
      <c r="Z15" s="36">
        <f t="shared" si="9"/>
        <v>0.94666606843226775</v>
      </c>
      <c r="AA15" s="18">
        <f t="shared" si="40"/>
        <v>0.76699954602064435</v>
      </c>
      <c r="AB15" s="19">
        <f t="shared" si="41"/>
        <v>0.47920000000000001</v>
      </c>
      <c r="AC15" s="19">
        <f t="shared" si="54"/>
        <v>1.8581343672558683E-2</v>
      </c>
      <c r="AD15" s="19">
        <f t="shared" si="54"/>
        <v>0.9814186563274413</v>
      </c>
      <c r="AE15" s="18">
        <f t="shared" si="42"/>
        <v>0.23300045397935554</v>
      </c>
      <c r="AF15" s="19">
        <f t="shared" si="43"/>
        <v>1</v>
      </c>
      <c r="AG15" s="19">
        <f t="shared" si="55"/>
        <v>1.0488406265919674E-2</v>
      </c>
      <c r="AH15" s="19">
        <f t="shared" si="55"/>
        <v>0.89184565588333597</v>
      </c>
      <c r="AI15" s="59">
        <f t="shared" si="18"/>
        <v>1</v>
      </c>
      <c r="AJ15" s="60">
        <f t="shared" si="19"/>
        <v>0.20655035226363611</v>
      </c>
      <c r="AK15" s="60">
        <f t="shared" si="20"/>
        <v>0.17727153998327003</v>
      </c>
      <c r="AL15" s="60">
        <f t="shared" si="21"/>
        <v>0.82272846001672995</v>
      </c>
      <c r="AM15" s="18">
        <f t="shared" si="44"/>
        <v>0.98835737586988892</v>
      </c>
      <c r="AN15" s="19">
        <f t="shared" si="45"/>
        <v>0.2</v>
      </c>
      <c r="AO15" s="19">
        <f t="shared" si="56"/>
        <v>0.18385826023823795</v>
      </c>
      <c r="AP15" s="19">
        <f t="shared" si="56"/>
        <v>0.81614173976176208</v>
      </c>
      <c r="AQ15" s="18">
        <f t="shared" si="46"/>
        <v>4.723801327445128E-3</v>
      </c>
      <c r="AR15" s="19">
        <f t="shared" si="47"/>
        <v>1</v>
      </c>
      <c r="AS15" s="19">
        <f t="shared" si="57"/>
        <v>5.4196434503377258E-2</v>
      </c>
      <c r="AT15" s="19">
        <f t="shared" si="57"/>
        <v>0.9458035654966227</v>
      </c>
      <c r="AU15" s="18">
        <f t="shared" si="48"/>
        <v>5.3067339486420851E-3</v>
      </c>
      <c r="AV15" s="19">
        <f t="shared" si="49"/>
        <v>0.47920000000000001</v>
      </c>
      <c r="AW15" s="19">
        <f t="shared" si="58"/>
        <v>6.2730627306273063E-3</v>
      </c>
      <c r="AX15" s="19">
        <f t="shared" si="58"/>
        <v>0.99372693726937267</v>
      </c>
      <c r="AY15" s="18">
        <f t="shared" si="50"/>
        <v>1.612088854023889E-3</v>
      </c>
      <c r="AZ15" s="19">
        <f t="shared" si="51"/>
        <v>1</v>
      </c>
      <c r="BA15" s="19">
        <f t="shared" si="59"/>
        <v>0</v>
      </c>
      <c r="BB15" s="20">
        <f t="shared" si="59"/>
        <v>1</v>
      </c>
    </row>
    <row r="16" spans="1:54" x14ac:dyDescent="0.2">
      <c r="A16" s="13">
        <v>2017</v>
      </c>
      <c r="B16">
        <v>61786</v>
      </c>
      <c r="C16">
        <v>1024613</v>
      </c>
      <c r="D16">
        <v>838364</v>
      </c>
      <c r="H16">
        <v>20278</v>
      </c>
      <c r="L16">
        <v>1945041</v>
      </c>
      <c r="N16" s="30">
        <v>2040</v>
      </c>
      <c r="O16" s="49">
        <v>1</v>
      </c>
      <c r="P16" s="44">
        <f t="shared" si="38"/>
        <v>0.17782076422397952</v>
      </c>
      <c r="Q16" s="44">
        <f t="shared" si="52"/>
        <v>2.2647571655271048E-2</v>
      </c>
      <c r="R16" s="44">
        <f t="shared" si="52"/>
        <v>0.97735242834472891</v>
      </c>
      <c r="S16" s="53">
        <f>100%</f>
        <v>1</v>
      </c>
      <c r="T16" s="54">
        <f t="shared" si="39"/>
        <v>0.450187952438039</v>
      </c>
      <c r="U16" s="54">
        <f t="shared" si="53"/>
        <v>7.6204669193108213E-3</v>
      </c>
      <c r="V16" s="54">
        <f t="shared" si="53"/>
        <v>0.99237953308068916</v>
      </c>
      <c r="W16" s="34">
        <f t="shared" si="6"/>
        <v>0.99999999999999989</v>
      </c>
      <c r="X16" s="35">
        <f t="shared" si="7"/>
        <v>0.7577286086795334</v>
      </c>
      <c r="Y16" s="35">
        <f t="shared" si="8"/>
        <v>1.5066661808159356E-2</v>
      </c>
      <c r="Z16" s="36">
        <f t="shared" si="9"/>
        <v>0.94251799710048767</v>
      </c>
      <c r="AA16" s="18">
        <f t="shared" si="40"/>
        <v>0.67092603522699124</v>
      </c>
      <c r="AB16" s="19">
        <f t="shared" si="41"/>
        <v>0.63890000000000002</v>
      </c>
      <c r="AC16" s="19">
        <f t="shared" si="54"/>
        <v>1.8581343672558683E-2</v>
      </c>
      <c r="AD16" s="19">
        <f t="shared" si="54"/>
        <v>0.9814186563274413</v>
      </c>
      <c r="AE16" s="18">
        <f t="shared" si="42"/>
        <v>0.32907396477300865</v>
      </c>
      <c r="AF16" s="19">
        <f t="shared" si="43"/>
        <v>1</v>
      </c>
      <c r="AG16" s="19">
        <f t="shared" si="55"/>
        <v>1.0488406265919674E-2</v>
      </c>
      <c r="AH16" s="19">
        <f t="shared" si="55"/>
        <v>0.89184565588333597</v>
      </c>
      <c r="AI16" s="59">
        <f t="shared" si="18"/>
        <v>1</v>
      </c>
      <c r="AJ16" s="60">
        <f t="shared" si="19"/>
        <v>0.28653447792763642</v>
      </c>
      <c r="AK16" s="60">
        <f t="shared" si="20"/>
        <v>0.17855992420514666</v>
      </c>
      <c r="AL16" s="60">
        <f t="shared" si="21"/>
        <v>0.82144007579485312</v>
      </c>
      <c r="AM16" s="18">
        <f t="shared" si="44"/>
        <v>0.98865382279551872</v>
      </c>
      <c r="AN16" s="19">
        <f t="shared" si="45"/>
        <v>0.28000000000000003</v>
      </c>
      <c r="AO16" s="19">
        <f t="shared" si="56"/>
        <v>0.18385826023823795</v>
      </c>
      <c r="AP16" s="19">
        <f t="shared" si="56"/>
        <v>0.81614173976176208</v>
      </c>
      <c r="AQ16" s="18">
        <f t="shared" si="46"/>
        <v>4.5984978739578115E-3</v>
      </c>
      <c r="AR16" s="19">
        <f t="shared" si="47"/>
        <v>1</v>
      </c>
      <c r="AS16" s="19">
        <f t="shared" si="57"/>
        <v>5.4196434503377258E-2</v>
      </c>
      <c r="AT16" s="19">
        <f t="shared" si="57"/>
        <v>0.9458035654966227</v>
      </c>
      <c r="AU16" s="18">
        <f t="shared" si="48"/>
        <v>4.527193740211299E-3</v>
      </c>
      <c r="AV16" s="19">
        <f t="shared" si="49"/>
        <v>0.63890000000000002</v>
      </c>
      <c r="AW16" s="19">
        <f t="shared" si="58"/>
        <v>6.2730627306273063E-3</v>
      </c>
      <c r="AX16" s="19">
        <f t="shared" si="58"/>
        <v>0.99372693726937267</v>
      </c>
      <c r="AY16" s="18">
        <f t="shared" si="50"/>
        <v>2.2204855903122729E-3</v>
      </c>
      <c r="AZ16" s="19">
        <f t="shared" si="51"/>
        <v>1</v>
      </c>
      <c r="BA16" s="19">
        <f t="shared" si="59"/>
        <v>0</v>
      </c>
      <c r="BB16" s="20">
        <f t="shared" si="59"/>
        <v>1</v>
      </c>
    </row>
    <row r="17" spans="1:54" x14ac:dyDescent="0.2">
      <c r="A17" s="13">
        <v>2018</v>
      </c>
      <c r="B17">
        <v>40792</v>
      </c>
      <c r="C17">
        <v>1036146</v>
      </c>
      <c r="D17">
        <v>940137</v>
      </c>
      <c r="H17">
        <v>27190</v>
      </c>
      <c r="J17">
        <v>1</v>
      </c>
      <c r="L17">
        <v>2044266</v>
      </c>
      <c r="N17" s="30">
        <v>2045</v>
      </c>
      <c r="O17" s="49">
        <v>1</v>
      </c>
      <c r="P17" s="44">
        <f t="shared" si="38"/>
        <v>0.27339725182875502</v>
      </c>
      <c r="Q17" s="44">
        <f t="shared" si="52"/>
        <v>2.2647571655271048E-2</v>
      </c>
      <c r="R17" s="44">
        <f t="shared" si="52"/>
        <v>0.97735242834472891</v>
      </c>
      <c r="S17" s="53">
        <f>100%</f>
        <v>1</v>
      </c>
      <c r="T17" s="54">
        <f t="shared" si="39"/>
        <v>0.61094921683207104</v>
      </c>
      <c r="U17" s="54">
        <f t="shared" si="53"/>
        <v>7.6204669193108213E-3</v>
      </c>
      <c r="V17" s="54">
        <f t="shared" si="53"/>
        <v>0.99237953308068916</v>
      </c>
      <c r="W17" s="34">
        <f t="shared" si="6"/>
        <v>1.0000000000000002</v>
      </c>
      <c r="X17" s="35">
        <f t="shared" si="7"/>
        <v>0.85030307328532495</v>
      </c>
      <c r="Y17" s="35">
        <f t="shared" si="8"/>
        <v>1.6248565462349034E-2</v>
      </c>
      <c r="Z17" s="36">
        <f t="shared" si="9"/>
        <v>0.95559936066753737</v>
      </c>
      <c r="AA17" s="18">
        <f t="shared" si="40"/>
        <v>0.75490129457728272</v>
      </c>
      <c r="AB17" s="19">
        <f t="shared" si="41"/>
        <v>0.80169999999999997</v>
      </c>
      <c r="AC17" s="19">
        <f t="shared" si="54"/>
        <v>1.8581343672558683E-2</v>
      </c>
      <c r="AD17" s="19">
        <f t="shared" si="54"/>
        <v>0.9814186563274413</v>
      </c>
      <c r="AE17" s="18">
        <f t="shared" si="42"/>
        <v>0.24509870542271742</v>
      </c>
      <c r="AF17" s="19">
        <f t="shared" si="43"/>
        <v>1</v>
      </c>
      <c r="AG17" s="19">
        <f t="shared" si="55"/>
        <v>1.0488406265919674E-2</v>
      </c>
      <c r="AH17" s="19">
        <f t="shared" si="55"/>
        <v>0.89184565588333597</v>
      </c>
      <c r="AI17" s="59">
        <f t="shared" si="18"/>
        <v>0.99999999999999989</v>
      </c>
      <c r="AJ17" s="60">
        <f t="shared" si="19"/>
        <v>0.40680742112456264</v>
      </c>
      <c r="AK17" s="60">
        <f t="shared" si="20"/>
        <v>0.17928344493217421</v>
      </c>
      <c r="AL17" s="60">
        <f t="shared" si="21"/>
        <v>0.82071655506782581</v>
      </c>
      <c r="AM17" s="18">
        <f t="shared" si="44"/>
        <v>0.98689258183194128</v>
      </c>
      <c r="AN17" s="19">
        <f t="shared" si="45"/>
        <v>0.4</v>
      </c>
      <c r="AO17" s="19">
        <f t="shared" si="56"/>
        <v>0.18385826023823795</v>
      </c>
      <c r="AP17" s="19">
        <f t="shared" si="56"/>
        <v>0.81614173976176208</v>
      </c>
      <c r="AQ17" s="18">
        <f t="shared" si="46"/>
        <v>6.0462860561937412E-3</v>
      </c>
      <c r="AR17" s="19">
        <f t="shared" si="47"/>
        <v>1</v>
      </c>
      <c r="AS17" s="19">
        <f t="shared" si="57"/>
        <v>5.4196434503377258E-2</v>
      </c>
      <c r="AT17" s="19">
        <f t="shared" si="57"/>
        <v>0.9458035654966227</v>
      </c>
      <c r="AU17" s="18">
        <f t="shared" si="48"/>
        <v>5.3304577724280454E-3</v>
      </c>
      <c r="AV17" s="19">
        <f t="shared" si="49"/>
        <v>0.80169999999999997</v>
      </c>
      <c r="AW17" s="19">
        <f t="shared" si="58"/>
        <v>6.2730627306273063E-3</v>
      </c>
      <c r="AX17" s="19">
        <f t="shared" si="58"/>
        <v>0.99372693726937267</v>
      </c>
      <c r="AY17" s="18">
        <f t="shared" si="50"/>
        <v>1.730674339436869E-3</v>
      </c>
      <c r="AZ17" s="19">
        <f t="shared" si="51"/>
        <v>1</v>
      </c>
      <c r="BA17" s="19">
        <f t="shared" si="59"/>
        <v>0</v>
      </c>
      <c r="BB17" s="20">
        <f t="shared" si="59"/>
        <v>1</v>
      </c>
    </row>
    <row r="18" spans="1:54" x14ac:dyDescent="0.2">
      <c r="A18" s="13">
        <v>2019</v>
      </c>
      <c r="B18">
        <v>18134</v>
      </c>
      <c r="C18">
        <v>1052509</v>
      </c>
      <c r="D18">
        <v>1086406</v>
      </c>
      <c r="H18">
        <v>32818</v>
      </c>
      <c r="J18">
        <v>98</v>
      </c>
      <c r="L18">
        <v>2189965</v>
      </c>
      <c r="N18" s="30">
        <v>2050</v>
      </c>
      <c r="O18" s="49">
        <v>1</v>
      </c>
      <c r="P18" s="44">
        <f t="shared" si="38"/>
        <v>0.38</v>
      </c>
      <c r="Q18" s="44">
        <f t="shared" si="52"/>
        <v>2.2647571655271048E-2</v>
      </c>
      <c r="R18" s="44">
        <f t="shared" si="52"/>
        <v>0.97735242834472891</v>
      </c>
      <c r="S18" s="53">
        <f>100%</f>
        <v>1</v>
      </c>
      <c r="T18" s="54">
        <f t="shared" si="39"/>
        <v>0.79601573638907996</v>
      </c>
      <c r="U18" s="54">
        <f t="shared" si="53"/>
        <v>7.6204669193108213E-3</v>
      </c>
      <c r="V18" s="54">
        <f t="shared" si="53"/>
        <v>0.99237953308068916</v>
      </c>
      <c r="W18" s="34">
        <f t="shared" si="6"/>
        <v>1</v>
      </c>
      <c r="X18" s="35">
        <f t="shared" si="7"/>
        <v>1</v>
      </c>
      <c r="Y18" s="35">
        <f t="shared" si="8"/>
        <v>1.6021875589917561E-2</v>
      </c>
      <c r="Z18" s="36">
        <f t="shared" si="9"/>
        <v>0.95309034681710036</v>
      </c>
      <c r="AA18" s="18">
        <f t="shared" si="40"/>
        <v>0.68374053152301983</v>
      </c>
      <c r="AB18" s="19">
        <f t="shared" si="41"/>
        <v>1</v>
      </c>
      <c r="AC18" s="19">
        <f t="shared" si="54"/>
        <v>1.8581343672558683E-2</v>
      </c>
      <c r="AD18" s="19">
        <f t="shared" si="54"/>
        <v>0.9814186563274413</v>
      </c>
      <c r="AE18" s="18">
        <f t="shared" si="42"/>
        <v>0.31625946847698028</v>
      </c>
      <c r="AF18" s="19">
        <f t="shared" si="43"/>
        <v>1</v>
      </c>
      <c r="AG18" s="19">
        <f t="shared" si="55"/>
        <v>1.0488406265919674E-2</v>
      </c>
      <c r="AH18" s="19">
        <f t="shared" si="55"/>
        <v>0.89184565588333597</v>
      </c>
      <c r="AI18" s="59">
        <f t="shared" si="18"/>
        <v>1</v>
      </c>
      <c r="AJ18" s="60">
        <f t="shared" si="19"/>
        <v>0.50634652863898288</v>
      </c>
      <c r="AK18" s="60">
        <f t="shared" si="20"/>
        <v>0.1798665157918273</v>
      </c>
      <c r="AL18" s="60">
        <f t="shared" si="21"/>
        <v>0.82013348420817256</v>
      </c>
      <c r="AM18" s="18">
        <f t="shared" si="44"/>
        <v>0.98730694272203434</v>
      </c>
      <c r="AN18" s="19">
        <f t="shared" si="45"/>
        <v>0.5</v>
      </c>
      <c r="AO18" s="19">
        <f t="shared" si="56"/>
        <v>0.18385826023823795</v>
      </c>
      <c r="AP18" s="19">
        <f t="shared" si="56"/>
        <v>0.81614173976176208</v>
      </c>
      <c r="AQ18" s="18">
        <f t="shared" si="46"/>
        <v>5.1710903776680944E-3</v>
      </c>
      <c r="AR18" s="19">
        <f t="shared" si="47"/>
        <v>1</v>
      </c>
      <c r="AS18" s="19">
        <f t="shared" si="57"/>
        <v>5.4196434503377258E-2</v>
      </c>
      <c r="AT18" s="19">
        <f t="shared" si="57"/>
        <v>0.9458035654966227</v>
      </c>
      <c r="AU18" s="18">
        <f t="shared" si="48"/>
        <v>5.1430736465080283E-3</v>
      </c>
      <c r="AV18" s="19">
        <f t="shared" si="49"/>
        <v>1</v>
      </c>
      <c r="AW18" s="19">
        <f t="shared" si="58"/>
        <v>6.2730627306273063E-3</v>
      </c>
      <c r="AX18" s="19">
        <f t="shared" si="58"/>
        <v>0.99372693726937267</v>
      </c>
      <c r="AY18" s="18">
        <f t="shared" si="50"/>
        <v>2.378893253789551E-3</v>
      </c>
      <c r="AZ18" s="19">
        <f t="shared" si="51"/>
        <v>1</v>
      </c>
      <c r="BA18" s="19">
        <f t="shared" si="59"/>
        <v>0</v>
      </c>
      <c r="BB18" s="20">
        <f t="shared" si="59"/>
        <v>1</v>
      </c>
    </row>
    <row r="19" spans="1:54" x14ac:dyDescent="0.2">
      <c r="A19" s="13">
        <v>2020</v>
      </c>
      <c r="B19">
        <v>15349</v>
      </c>
      <c r="C19">
        <v>1319180</v>
      </c>
      <c r="D19">
        <v>1157774</v>
      </c>
      <c r="H19">
        <v>21626</v>
      </c>
      <c r="J19">
        <v>318</v>
      </c>
      <c r="L19">
        <v>2514247</v>
      </c>
      <c r="N19" s="30">
        <v>2055</v>
      </c>
      <c r="O19" s="49">
        <v>1</v>
      </c>
      <c r="P19" s="44">
        <f t="shared" si="38"/>
        <v>0.48312407673064839</v>
      </c>
      <c r="Q19" s="44">
        <f t="shared" si="52"/>
        <v>2.2647571655271048E-2</v>
      </c>
      <c r="R19" s="44">
        <f t="shared" si="52"/>
        <v>0.97735242834472891</v>
      </c>
      <c r="S19" s="53">
        <f>100%</f>
        <v>1</v>
      </c>
      <c r="T19" s="54">
        <f t="shared" si="39"/>
        <v>0.9</v>
      </c>
      <c r="U19" s="54">
        <f t="shared" si="53"/>
        <v>7.6204669193108213E-3</v>
      </c>
      <c r="V19" s="54">
        <f t="shared" si="53"/>
        <v>0.99237953308068916</v>
      </c>
      <c r="W19" s="34">
        <f t="shared" si="6"/>
        <v>1</v>
      </c>
      <c r="X19" s="35">
        <f t="shared" si="7"/>
        <v>1</v>
      </c>
      <c r="Y19" s="35">
        <f t="shared" si="8"/>
        <v>1.6507814616961838E-2</v>
      </c>
      <c r="Z19" s="36">
        <f t="shared" si="9"/>
        <v>0.9584687421386231</v>
      </c>
      <c r="AA19" s="18">
        <f t="shared" si="40"/>
        <v>0.74378535858984518</v>
      </c>
      <c r="AB19" s="19">
        <f t="shared" si="41"/>
        <v>1</v>
      </c>
      <c r="AC19" s="19">
        <f t="shared" si="54"/>
        <v>1.8581343672558683E-2</v>
      </c>
      <c r="AD19" s="19">
        <f t="shared" si="54"/>
        <v>0.9814186563274413</v>
      </c>
      <c r="AE19" s="18">
        <f t="shared" si="42"/>
        <v>0.25621464141015476</v>
      </c>
      <c r="AF19" s="19">
        <f t="shared" si="43"/>
        <v>1</v>
      </c>
      <c r="AG19" s="19">
        <f t="shared" si="55"/>
        <v>1.0488406265919674E-2</v>
      </c>
      <c r="AH19" s="19">
        <f t="shared" si="55"/>
        <v>0.89184565588333597</v>
      </c>
      <c r="AI19" s="59">
        <f t="shared" si="18"/>
        <v>0.99999999999999989</v>
      </c>
      <c r="AJ19" s="60">
        <f t="shared" si="19"/>
        <v>0.65423161045237577</v>
      </c>
      <c r="AK19" s="60">
        <f t="shared" si="20"/>
        <v>0.18092210589082322</v>
      </c>
      <c r="AL19" s="60">
        <f t="shared" si="21"/>
        <v>0.81907789410917675</v>
      </c>
      <c r="AM19" s="18">
        <f t="shared" si="44"/>
        <v>0.98790968442178329</v>
      </c>
      <c r="AN19" s="19">
        <f t="shared" si="45"/>
        <v>0.65</v>
      </c>
      <c r="AO19" s="19">
        <f t="shared" si="56"/>
        <v>0.18385826023823795</v>
      </c>
      <c r="AP19" s="19">
        <f t="shared" si="56"/>
        <v>0.81614173976176208</v>
      </c>
      <c r="AQ19" s="18">
        <f t="shared" si="46"/>
        <v>4.9579078004698554E-3</v>
      </c>
      <c r="AR19" s="19">
        <f t="shared" si="47"/>
        <v>1</v>
      </c>
      <c r="AS19" s="19">
        <f t="shared" si="57"/>
        <v>5.4196434503377258E-2</v>
      </c>
      <c r="AT19" s="19">
        <f t="shared" si="57"/>
        <v>0.9458035654966227</v>
      </c>
      <c r="AU19" s="18">
        <f t="shared" si="48"/>
        <v>5.3049804765803376E-3</v>
      </c>
      <c r="AV19" s="19">
        <f t="shared" si="49"/>
        <v>1</v>
      </c>
      <c r="AW19" s="19">
        <f t="shared" si="58"/>
        <v>6.2730627306273063E-3</v>
      </c>
      <c r="AX19" s="19">
        <f t="shared" si="58"/>
        <v>0.99372693726937267</v>
      </c>
      <c r="AY19" s="18">
        <f t="shared" si="50"/>
        <v>1.827427301166372E-3</v>
      </c>
      <c r="AZ19" s="19">
        <f t="shared" si="51"/>
        <v>1</v>
      </c>
      <c r="BA19" s="19">
        <f t="shared" si="59"/>
        <v>0</v>
      </c>
      <c r="BB19" s="20">
        <f t="shared" si="59"/>
        <v>1</v>
      </c>
    </row>
    <row r="20" spans="1:54" x14ac:dyDescent="0.2">
      <c r="A20" s="13">
        <v>2021</v>
      </c>
      <c r="B20">
        <v>38485</v>
      </c>
      <c r="C20">
        <v>1211565</v>
      </c>
      <c r="D20">
        <v>1076644</v>
      </c>
      <c r="E20">
        <v>8</v>
      </c>
      <c r="F20">
        <v>3</v>
      </c>
      <c r="H20">
        <v>21916</v>
      </c>
      <c r="J20">
        <v>1250</v>
      </c>
      <c r="L20">
        <v>2349871</v>
      </c>
      <c r="N20" s="31">
        <v>2060</v>
      </c>
      <c r="O20" s="50">
        <v>1</v>
      </c>
      <c r="P20" s="46">
        <f t="shared" si="38"/>
        <v>0.58094619488541399</v>
      </c>
      <c r="Q20" s="46">
        <f t="shared" si="52"/>
        <v>2.2647571655271048E-2</v>
      </c>
      <c r="R20" s="46">
        <f t="shared" si="52"/>
        <v>0.97735242834472891</v>
      </c>
      <c r="S20" s="56">
        <f>100%</f>
        <v>1</v>
      </c>
      <c r="T20" s="57">
        <f t="shared" si="39"/>
        <v>1</v>
      </c>
      <c r="U20" s="57">
        <f t="shared" si="53"/>
        <v>7.6204669193108213E-3</v>
      </c>
      <c r="V20" s="57">
        <f t="shared" si="53"/>
        <v>0.99237953308068916</v>
      </c>
      <c r="W20" s="37">
        <f t="shared" si="6"/>
        <v>1</v>
      </c>
      <c r="X20" s="38">
        <f t="shared" si="7"/>
        <v>1</v>
      </c>
      <c r="Y20" s="38">
        <f t="shared" si="8"/>
        <v>1.6051969496479749E-2</v>
      </c>
      <c r="Z20" s="39">
        <f t="shared" si="9"/>
        <v>0.9534234275479172</v>
      </c>
      <c r="AA20" s="21">
        <f t="shared" si="40"/>
        <v>0.68745907091731984</v>
      </c>
      <c r="AB20" s="22">
        <f t="shared" si="41"/>
        <v>1</v>
      </c>
      <c r="AC20" s="22">
        <f t="shared" si="54"/>
        <v>1.8581343672558683E-2</v>
      </c>
      <c r="AD20" s="22">
        <f t="shared" si="54"/>
        <v>0.9814186563274413</v>
      </c>
      <c r="AE20" s="21">
        <f t="shared" si="42"/>
        <v>0.31254092908268011</v>
      </c>
      <c r="AF20" s="22">
        <f t="shared" si="43"/>
        <v>1</v>
      </c>
      <c r="AG20" s="22">
        <f t="shared" si="55"/>
        <v>1.0488406265919674E-2</v>
      </c>
      <c r="AH20" s="22">
        <f t="shared" si="55"/>
        <v>0.89184565588333597</v>
      </c>
      <c r="AI20" s="62">
        <f t="shared" si="18"/>
        <v>1</v>
      </c>
      <c r="AJ20" s="63">
        <f t="shared" si="19"/>
        <v>0.80289880749913833</v>
      </c>
      <c r="AK20" s="63">
        <f t="shared" si="20"/>
        <v>0.18101569101601725</v>
      </c>
      <c r="AL20" s="63">
        <f t="shared" si="21"/>
        <v>0.81898430898398278</v>
      </c>
      <c r="AM20" s="21">
        <f t="shared" si="44"/>
        <v>0.985505962504309</v>
      </c>
      <c r="AN20" s="22">
        <f t="shared" si="45"/>
        <v>0.8</v>
      </c>
      <c r="AO20" s="22">
        <f t="shared" si="56"/>
        <v>0.18385826023823795</v>
      </c>
      <c r="AP20" s="22">
        <f t="shared" si="56"/>
        <v>0.81614173976176208</v>
      </c>
      <c r="AQ20" s="21">
        <f t="shared" si="46"/>
        <v>6.4158482394505506E-3</v>
      </c>
      <c r="AR20" s="22">
        <f t="shared" si="47"/>
        <v>1</v>
      </c>
      <c r="AS20" s="22">
        <f t="shared" si="57"/>
        <v>5.4196434503377258E-2</v>
      </c>
      <c r="AT20" s="22">
        <f t="shared" si="57"/>
        <v>0.9458035654966227</v>
      </c>
      <c r="AU20" s="21">
        <f t="shared" si="48"/>
        <v>5.5534244807893922E-3</v>
      </c>
      <c r="AV20" s="22">
        <f t="shared" si="49"/>
        <v>1</v>
      </c>
      <c r="AW20" s="22">
        <f t="shared" si="58"/>
        <v>6.2730627306273063E-3</v>
      </c>
      <c r="AX20" s="22">
        <f t="shared" si="58"/>
        <v>0.99372693726937267</v>
      </c>
      <c r="AY20" s="21">
        <f t="shared" si="50"/>
        <v>2.5247647754511409E-3</v>
      </c>
      <c r="AZ20" s="22">
        <f t="shared" si="51"/>
        <v>1</v>
      </c>
      <c r="BA20" s="22">
        <f t="shared" si="59"/>
        <v>0</v>
      </c>
      <c r="BB20" s="23">
        <f t="shared" si="59"/>
        <v>1</v>
      </c>
    </row>
    <row r="21" spans="1:54" x14ac:dyDescent="0.2">
      <c r="A21" s="2" t="s">
        <v>63</v>
      </c>
      <c r="B21">
        <v>512915</v>
      </c>
      <c r="C21">
        <v>547268</v>
      </c>
      <c r="D21">
        <v>102586</v>
      </c>
      <c r="E21">
        <v>24163</v>
      </c>
      <c r="F21">
        <v>4155</v>
      </c>
      <c r="H21">
        <v>53334</v>
      </c>
      <c r="I21">
        <v>5</v>
      </c>
      <c r="J21">
        <v>51218</v>
      </c>
      <c r="K21">
        <v>38</v>
      </c>
      <c r="L21">
        <v>1295682</v>
      </c>
    </row>
    <row r="22" spans="1:54" x14ac:dyDescent="0.2">
      <c r="A22" s="3" t="s">
        <v>82</v>
      </c>
      <c r="B22">
        <v>107325</v>
      </c>
      <c r="C22">
        <v>488708</v>
      </c>
      <c r="D22">
        <v>98628</v>
      </c>
      <c r="E22">
        <v>957</v>
      </c>
      <c r="F22">
        <v>936</v>
      </c>
      <c r="H22">
        <v>12740</v>
      </c>
      <c r="I22">
        <v>5</v>
      </c>
      <c r="J22">
        <v>2032</v>
      </c>
      <c r="K22">
        <v>38</v>
      </c>
      <c r="L22">
        <v>711369</v>
      </c>
    </row>
    <row r="23" spans="1:54" x14ac:dyDescent="0.2">
      <c r="A23" s="13">
        <v>2015</v>
      </c>
      <c r="B23">
        <v>41247</v>
      </c>
      <c r="C23">
        <v>87105</v>
      </c>
      <c r="D23">
        <v>14744</v>
      </c>
      <c r="E23">
        <v>414</v>
      </c>
      <c r="H23">
        <v>4888</v>
      </c>
      <c r="J23">
        <v>606</v>
      </c>
      <c r="K23">
        <v>38</v>
      </c>
      <c r="L23">
        <v>149042</v>
      </c>
    </row>
    <row r="24" spans="1:54" x14ac:dyDescent="0.2">
      <c r="A24" s="13">
        <v>2016</v>
      </c>
      <c r="B24">
        <v>30079</v>
      </c>
      <c r="C24">
        <v>104312</v>
      </c>
      <c r="D24">
        <v>19137</v>
      </c>
      <c r="E24">
        <v>528</v>
      </c>
      <c r="F24">
        <v>5</v>
      </c>
      <c r="H24">
        <v>2808</v>
      </c>
      <c r="J24">
        <v>870</v>
      </c>
      <c r="L24">
        <v>157739</v>
      </c>
      <c r="N24" s="24" t="s">
        <v>93</v>
      </c>
      <c r="O24" s="9" t="s">
        <v>75</v>
      </c>
      <c r="P24" s="9" t="s">
        <v>76</v>
      </c>
      <c r="Q24" s="9" t="s">
        <v>23</v>
      </c>
      <c r="R24" s="9" t="s">
        <v>77</v>
      </c>
      <c r="S24" s="9" t="s">
        <v>78</v>
      </c>
      <c r="T24" s="9" t="s">
        <v>92</v>
      </c>
      <c r="U24" s="9" t="s">
        <v>79</v>
      </c>
    </row>
    <row r="25" spans="1:54" x14ac:dyDescent="0.2">
      <c r="A25" s="13">
        <v>2017</v>
      </c>
      <c r="B25">
        <v>18371</v>
      </c>
      <c r="C25">
        <v>78701</v>
      </c>
      <c r="D25">
        <v>16714</v>
      </c>
      <c r="E25">
        <v>4</v>
      </c>
      <c r="F25">
        <v>112</v>
      </c>
      <c r="H25">
        <v>1885</v>
      </c>
      <c r="J25">
        <v>466</v>
      </c>
      <c r="L25">
        <v>116253</v>
      </c>
      <c r="N25" s="25">
        <v>2020</v>
      </c>
      <c r="O25" s="26">
        <v>7.4999999999999997E-2</v>
      </c>
      <c r="P25" s="26">
        <v>0.8</v>
      </c>
      <c r="Q25" s="26">
        <v>8.8393182770642592E-3</v>
      </c>
      <c r="R25" s="26">
        <v>0.8</v>
      </c>
      <c r="S25" s="26">
        <v>0.06</v>
      </c>
      <c r="T25" s="26">
        <v>2.6466098254161598E-2</v>
      </c>
      <c r="U25" s="26">
        <v>1.3456518904051121E-3</v>
      </c>
    </row>
    <row r="26" spans="1:54" x14ac:dyDescent="0.2">
      <c r="A26" s="13">
        <v>2018</v>
      </c>
      <c r="B26">
        <v>6138</v>
      </c>
      <c r="C26">
        <v>69234</v>
      </c>
      <c r="D26">
        <v>12719</v>
      </c>
      <c r="E26">
        <v>11</v>
      </c>
      <c r="F26">
        <v>132</v>
      </c>
      <c r="H26">
        <v>1317</v>
      </c>
      <c r="I26">
        <v>5</v>
      </c>
      <c r="J26">
        <v>75</v>
      </c>
      <c r="L26">
        <v>89631</v>
      </c>
      <c r="N26" s="25">
        <v>2025</v>
      </c>
      <c r="O26" s="26">
        <v>0.1</v>
      </c>
      <c r="P26" s="26">
        <v>0.91</v>
      </c>
      <c r="Q26" s="26">
        <v>8.9203147277815906E-2</v>
      </c>
      <c r="R26" s="26">
        <v>0.91</v>
      </c>
      <c r="S26" s="26">
        <v>0.15160000000000001</v>
      </c>
      <c r="T26" s="26">
        <v>5.0728989037758826E-2</v>
      </c>
      <c r="U26" s="26">
        <v>2.6420038649863066E-2</v>
      </c>
    </row>
    <row r="27" spans="1:54" x14ac:dyDescent="0.2">
      <c r="A27" s="13">
        <v>2019</v>
      </c>
      <c r="B27">
        <v>4108</v>
      </c>
      <c r="C27">
        <v>68141</v>
      </c>
      <c r="D27">
        <v>15158</v>
      </c>
      <c r="F27">
        <v>436</v>
      </c>
      <c r="H27">
        <v>939</v>
      </c>
      <c r="J27">
        <v>4</v>
      </c>
      <c r="L27">
        <v>88786</v>
      </c>
      <c r="N27" s="25">
        <v>2030</v>
      </c>
      <c r="O27" s="26">
        <v>0.15</v>
      </c>
      <c r="P27" s="26">
        <v>0.97</v>
      </c>
      <c r="Q27" s="26">
        <v>0.180868546209773</v>
      </c>
      <c r="R27" s="26">
        <v>0.97</v>
      </c>
      <c r="S27" s="26">
        <v>0.304101610732668</v>
      </c>
      <c r="T27" s="26">
        <v>8.6030247665448645E-2</v>
      </c>
      <c r="U27" s="26">
        <v>5.9427602641469165E-2</v>
      </c>
    </row>
    <row r="28" spans="1:54" x14ac:dyDescent="0.2">
      <c r="A28" s="13">
        <v>2020</v>
      </c>
      <c r="B28">
        <v>2452</v>
      </c>
      <c r="C28">
        <v>34949</v>
      </c>
      <c r="D28">
        <v>7877</v>
      </c>
      <c r="F28">
        <v>12</v>
      </c>
      <c r="H28">
        <v>484</v>
      </c>
      <c r="J28">
        <v>9</v>
      </c>
      <c r="L28">
        <v>45783</v>
      </c>
      <c r="N28" s="25">
        <v>2035</v>
      </c>
      <c r="O28" s="26">
        <v>0.2</v>
      </c>
      <c r="P28" s="26">
        <v>1</v>
      </c>
      <c r="Q28" s="26">
        <v>0.29922704510701198</v>
      </c>
      <c r="R28" s="26">
        <v>1</v>
      </c>
      <c r="S28" s="26">
        <v>0.47920000000000001</v>
      </c>
      <c r="T28" s="26">
        <v>0.13804053322506429</v>
      </c>
      <c r="U28" s="26">
        <v>0.10442110567062254</v>
      </c>
    </row>
    <row r="29" spans="1:54" x14ac:dyDescent="0.2">
      <c r="A29" s="13">
        <v>2021</v>
      </c>
      <c r="B29">
        <v>4930</v>
      </c>
      <c r="C29">
        <v>46266</v>
      </c>
      <c r="D29">
        <v>12279</v>
      </c>
      <c r="F29">
        <v>239</v>
      </c>
      <c r="H29">
        <v>419</v>
      </c>
      <c r="J29">
        <v>2</v>
      </c>
      <c r="L29">
        <v>64135</v>
      </c>
      <c r="N29" s="25">
        <v>2040</v>
      </c>
      <c r="O29" s="26">
        <v>0.28000000000000003</v>
      </c>
      <c r="P29" s="26">
        <v>1</v>
      </c>
      <c r="Q29" s="26">
        <v>0.450187952438039</v>
      </c>
      <c r="R29" s="26">
        <v>1</v>
      </c>
      <c r="S29" s="26">
        <v>0.63890000000000002</v>
      </c>
      <c r="T29" s="26">
        <v>0.20773315062931386</v>
      </c>
      <c r="U29" s="26">
        <v>0.17782076422397952</v>
      </c>
    </row>
    <row r="30" spans="1:54" x14ac:dyDescent="0.2">
      <c r="A30" s="3" t="s">
        <v>77</v>
      </c>
      <c r="B30">
        <v>405590</v>
      </c>
      <c r="C30">
        <v>58560</v>
      </c>
      <c r="D30">
        <v>3958</v>
      </c>
      <c r="E30">
        <v>23206</v>
      </c>
      <c r="F30">
        <v>3219</v>
      </c>
      <c r="H30">
        <v>40594</v>
      </c>
      <c r="J30">
        <v>49186</v>
      </c>
      <c r="L30">
        <v>584313</v>
      </c>
      <c r="N30" s="25">
        <v>2045</v>
      </c>
      <c r="O30" s="26">
        <v>0.4</v>
      </c>
      <c r="P30" s="26">
        <v>1</v>
      </c>
      <c r="Q30" s="26">
        <v>0.61094921683207104</v>
      </c>
      <c r="R30" s="26">
        <v>1</v>
      </c>
      <c r="S30" s="26">
        <v>0.80169999999999997</v>
      </c>
      <c r="T30" s="26">
        <v>0.30051292461767493</v>
      </c>
      <c r="U30" s="26">
        <v>0.27339725182875502</v>
      </c>
    </row>
    <row r="31" spans="1:54" x14ac:dyDescent="0.2">
      <c r="A31" s="13">
        <v>2015</v>
      </c>
      <c r="B31">
        <v>44691</v>
      </c>
      <c r="C31">
        <v>36071</v>
      </c>
      <c r="D31">
        <v>3505</v>
      </c>
      <c r="E31">
        <v>7940</v>
      </c>
      <c r="H31">
        <v>20709</v>
      </c>
      <c r="J31">
        <v>16295</v>
      </c>
      <c r="L31">
        <v>129211</v>
      </c>
      <c r="N31" s="25">
        <v>2050</v>
      </c>
      <c r="O31" s="26">
        <v>0.5</v>
      </c>
      <c r="P31" s="26">
        <v>1</v>
      </c>
      <c r="Q31" s="26">
        <v>0.79601573638907996</v>
      </c>
      <c r="R31" s="26">
        <v>1</v>
      </c>
      <c r="S31" s="26">
        <v>1</v>
      </c>
      <c r="T31" s="26">
        <v>0.55000000000000004</v>
      </c>
      <c r="U31" s="26">
        <v>0.38</v>
      </c>
    </row>
    <row r="32" spans="1:54" x14ac:dyDescent="0.2">
      <c r="A32" s="13">
        <v>2016</v>
      </c>
      <c r="B32">
        <v>60979</v>
      </c>
      <c r="C32">
        <v>9481</v>
      </c>
      <c r="D32">
        <v>44</v>
      </c>
      <c r="E32">
        <v>12742</v>
      </c>
      <c r="F32">
        <v>24</v>
      </c>
      <c r="H32">
        <v>8790</v>
      </c>
      <c r="J32">
        <v>4474</v>
      </c>
      <c r="L32">
        <v>96534</v>
      </c>
      <c r="N32" s="25">
        <v>2055</v>
      </c>
      <c r="O32" s="26">
        <v>0.65</v>
      </c>
      <c r="P32" s="26">
        <v>1</v>
      </c>
      <c r="Q32" s="26">
        <v>0.9</v>
      </c>
      <c r="R32" s="26">
        <v>1</v>
      </c>
      <c r="S32" s="26">
        <v>1</v>
      </c>
      <c r="T32" s="26">
        <v>0.65</v>
      </c>
      <c r="U32" s="26">
        <v>0.48312407673064839</v>
      </c>
    </row>
    <row r="33" spans="1:21" x14ac:dyDescent="0.2">
      <c r="A33" s="13">
        <v>2017</v>
      </c>
      <c r="B33">
        <v>58195</v>
      </c>
      <c r="C33">
        <v>6606</v>
      </c>
      <c r="D33">
        <v>93</v>
      </c>
      <c r="E33">
        <v>2291</v>
      </c>
      <c r="F33">
        <v>3</v>
      </c>
      <c r="H33">
        <v>6896</v>
      </c>
      <c r="J33">
        <v>12095</v>
      </c>
      <c r="L33">
        <v>86179</v>
      </c>
      <c r="N33" s="25">
        <v>2060</v>
      </c>
      <c r="O33" s="26">
        <v>0.8</v>
      </c>
      <c r="P33" s="26">
        <v>1</v>
      </c>
      <c r="Q33" s="26">
        <v>1</v>
      </c>
      <c r="R33" s="26">
        <v>1</v>
      </c>
      <c r="S33" s="26">
        <v>1</v>
      </c>
      <c r="T33" s="26">
        <v>0.8</v>
      </c>
      <c r="U33" s="26">
        <v>0.58094619488541399</v>
      </c>
    </row>
    <row r="34" spans="1:21" x14ac:dyDescent="0.2">
      <c r="A34" s="13">
        <v>2018</v>
      </c>
      <c r="B34">
        <v>79789</v>
      </c>
      <c r="C34">
        <v>3208</v>
      </c>
      <c r="D34">
        <v>35</v>
      </c>
      <c r="E34">
        <v>228</v>
      </c>
      <c r="F34">
        <v>305</v>
      </c>
      <c r="H34">
        <v>2515</v>
      </c>
      <c r="J34">
        <v>5764</v>
      </c>
      <c r="L34">
        <v>91844</v>
      </c>
    </row>
    <row r="35" spans="1:21" x14ac:dyDescent="0.2">
      <c r="A35" s="13">
        <v>2019</v>
      </c>
      <c r="B35">
        <v>68135</v>
      </c>
      <c r="C35">
        <v>1879</v>
      </c>
      <c r="D35">
        <v>147</v>
      </c>
      <c r="E35">
        <v>3</v>
      </c>
      <c r="F35">
        <v>740</v>
      </c>
      <c r="H35">
        <v>1143</v>
      </c>
      <c r="J35">
        <v>4294</v>
      </c>
      <c r="L35">
        <v>76341</v>
      </c>
      <c r="N35" s="24" t="s">
        <v>94</v>
      </c>
      <c r="O35" s="9" t="s">
        <v>75</v>
      </c>
      <c r="P35" s="9" t="s">
        <v>76</v>
      </c>
      <c r="Q35" s="9" t="s">
        <v>23</v>
      </c>
      <c r="R35" s="9" t="s">
        <v>77</v>
      </c>
      <c r="S35" s="9" t="s">
        <v>78</v>
      </c>
      <c r="T35" s="9" t="s">
        <v>92</v>
      </c>
      <c r="U35" s="9" t="s">
        <v>79</v>
      </c>
    </row>
    <row r="36" spans="1:21" x14ac:dyDescent="0.2">
      <c r="A36" s="13">
        <v>2020</v>
      </c>
      <c r="B36">
        <v>52693</v>
      </c>
      <c r="C36">
        <v>792</v>
      </c>
      <c r="D36">
        <v>72</v>
      </c>
      <c r="F36">
        <v>1339</v>
      </c>
      <c r="H36">
        <v>431</v>
      </c>
      <c r="J36">
        <v>5040</v>
      </c>
      <c r="L36">
        <v>60367</v>
      </c>
      <c r="N36" s="25">
        <v>2025</v>
      </c>
      <c r="O36" s="27">
        <v>3082.6338839385025</v>
      </c>
      <c r="P36" s="27">
        <v>17.962536666666665</v>
      </c>
      <c r="Q36" s="27">
        <v>335.59622784101509</v>
      </c>
      <c r="R36" s="27">
        <v>5.0369103533128285</v>
      </c>
      <c r="S36" s="27">
        <v>15.189022984922612</v>
      </c>
      <c r="T36" s="27">
        <v>8.7615080896024189</v>
      </c>
      <c r="U36" s="27">
        <v>71.220315994563606</v>
      </c>
    </row>
    <row r="37" spans="1:21" x14ac:dyDescent="0.2">
      <c r="A37" s="13">
        <v>2021</v>
      </c>
      <c r="B37">
        <v>41108</v>
      </c>
      <c r="C37">
        <v>523</v>
      </c>
      <c r="D37">
        <v>62</v>
      </c>
      <c r="E37">
        <v>2</v>
      </c>
      <c r="F37">
        <v>808</v>
      </c>
      <c r="H37">
        <v>110</v>
      </c>
      <c r="J37">
        <v>1224</v>
      </c>
      <c r="L37">
        <v>43837</v>
      </c>
      <c r="N37" s="25">
        <v>2030</v>
      </c>
      <c r="O37" s="27">
        <v>3068.982499208892</v>
      </c>
      <c r="P37" s="27">
        <v>15.294893333333331</v>
      </c>
      <c r="Q37" s="27">
        <v>453.21816857920129</v>
      </c>
      <c r="R37" s="27">
        <v>6.8771505197509528</v>
      </c>
      <c r="S37" s="27">
        <v>14.038265568115966</v>
      </c>
      <c r="T37" s="27">
        <v>12.515838701043741</v>
      </c>
      <c r="U37" s="27">
        <v>103.80690277509618</v>
      </c>
    </row>
    <row r="38" spans="1:21" x14ac:dyDescent="0.2">
      <c r="A38" s="2" t="s">
        <v>61</v>
      </c>
      <c r="B38">
        <v>5711717</v>
      </c>
      <c r="C38">
        <v>1203924</v>
      </c>
      <c r="D38">
        <v>144403802</v>
      </c>
      <c r="E38">
        <v>2485070</v>
      </c>
      <c r="F38">
        <v>77</v>
      </c>
      <c r="G38">
        <v>10354</v>
      </c>
      <c r="H38">
        <v>2028005</v>
      </c>
      <c r="I38">
        <v>26020</v>
      </c>
      <c r="J38">
        <v>1106569</v>
      </c>
      <c r="L38">
        <v>156975538</v>
      </c>
      <c r="N38" s="25">
        <v>2035</v>
      </c>
      <c r="O38" s="27">
        <v>3138.6799562068163</v>
      </c>
      <c r="P38" s="27">
        <v>15.001153333333338</v>
      </c>
      <c r="Q38" s="27">
        <v>525.2993213726902</v>
      </c>
      <c r="R38" s="27">
        <v>5.119434626868502</v>
      </c>
      <c r="S38" s="27">
        <v>16.85234499602484</v>
      </c>
      <c r="T38" s="27">
        <v>13.781220933030852</v>
      </c>
      <c r="U38" s="27">
        <v>85.065555364589954</v>
      </c>
    </row>
    <row r="39" spans="1:21" x14ac:dyDescent="0.2">
      <c r="A39" s="3" t="s">
        <v>33</v>
      </c>
      <c r="B39">
        <v>4640373</v>
      </c>
      <c r="C39">
        <v>1082981</v>
      </c>
      <c r="D39">
        <v>142926417</v>
      </c>
      <c r="E39">
        <v>2386515</v>
      </c>
      <c r="F39">
        <v>9</v>
      </c>
      <c r="G39">
        <v>705</v>
      </c>
      <c r="H39">
        <v>1416706</v>
      </c>
      <c r="I39">
        <v>867</v>
      </c>
      <c r="J39">
        <v>1045371</v>
      </c>
      <c r="L39">
        <v>153499944</v>
      </c>
      <c r="N39" s="25">
        <v>2040</v>
      </c>
      <c r="O39" s="27">
        <v>3094.8207798848234</v>
      </c>
      <c r="P39" s="27">
        <v>14.394853333333334</v>
      </c>
      <c r="Q39" s="27">
        <v>620.49783707431686</v>
      </c>
      <c r="R39" s="27">
        <v>6.9508707576752711</v>
      </c>
      <c r="S39" s="27">
        <v>14.171647283124155</v>
      </c>
      <c r="T39" s="27">
        <v>16.929402284887789</v>
      </c>
      <c r="U39" s="27">
        <v>101.63246073557839</v>
      </c>
    </row>
    <row r="40" spans="1:21" x14ac:dyDescent="0.2">
      <c r="A40" s="13">
        <v>2015</v>
      </c>
      <c r="B40">
        <v>116252</v>
      </c>
      <c r="C40">
        <v>162140</v>
      </c>
      <c r="D40">
        <v>19122611</v>
      </c>
      <c r="E40">
        <v>64210</v>
      </c>
      <c r="H40">
        <v>1310439</v>
      </c>
      <c r="I40">
        <v>19</v>
      </c>
      <c r="J40">
        <v>10033</v>
      </c>
      <c r="L40">
        <v>20785704</v>
      </c>
      <c r="N40" s="25">
        <v>2045</v>
      </c>
      <c r="O40" s="27">
        <v>2957.5436199147007</v>
      </c>
      <c r="P40" s="27">
        <v>18.119656666666668</v>
      </c>
      <c r="Q40" s="27">
        <v>725.55273347324317</v>
      </c>
      <c r="R40" s="27">
        <v>5.186526826709132</v>
      </c>
      <c r="S40" s="27">
        <v>15.974445108103911</v>
      </c>
      <c r="T40" s="27">
        <v>19.117452516885436</v>
      </c>
      <c r="U40" s="27">
        <v>94.06723834897295</v>
      </c>
    </row>
    <row r="41" spans="1:21" x14ac:dyDescent="0.2">
      <c r="A41" s="13">
        <v>2016</v>
      </c>
      <c r="B41">
        <v>213806</v>
      </c>
      <c r="C41">
        <v>135244</v>
      </c>
      <c r="D41">
        <v>23861857</v>
      </c>
      <c r="E41">
        <v>154515</v>
      </c>
      <c r="G41">
        <v>27</v>
      </c>
      <c r="H41">
        <v>24197</v>
      </c>
      <c r="I41">
        <v>8</v>
      </c>
      <c r="J41">
        <v>21920</v>
      </c>
      <c r="L41">
        <v>24411574</v>
      </c>
      <c r="N41" s="25">
        <v>2050</v>
      </c>
      <c r="O41" s="27">
        <v>2910.573019989667</v>
      </c>
      <c r="P41" s="27">
        <v>15.244333333333334</v>
      </c>
      <c r="Q41" s="27">
        <v>826.10224954857313</v>
      </c>
      <c r="R41" s="27">
        <v>7.0129584046333004</v>
      </c>
      <c r="S41" s="27">
        <v>15.161740232551555</v>
      </c>
      <c r="T41" s="27">
        <v>22.199015257716638</v>
      </c>
      <c r="U41" s="27">
        <v>102.45344805114371</v>
      </c>
    </row>
    <row r="42" spans="1:21" x14ac:dyDescent="0.2">
      <c r="A42" s="13">
        <v>2017</v>
      </c>
      <c r="B42">
        <v>430923</v>
      </c>
      <c r="C42">
        <v>140143</v>
      </c>
      <c r="D42">
        <v>23360361</v>
      </c>
      <c r="E42">
        <v>207862</v>
      </c>
      <c r="G42">
        <v>165</v>
      </c>
      <c r="H42">
        <v>23568</v>
      </c>
      <c r="I42">
        <v>420</v>
      </c>
      <c r="J42">
        <v>54561</v>
      </c>
      <c r="L42">
        <v>24218003</v>
      </c>
      <c r="N42" s="25">
        <v>2055</v>
      </c>
      <c r="O42" s="27">
        <v>2835.3761035769435</v>
      </c>
      <c r="P42" s="27">
        <v>14.229573333333331</v>
      </c>
      <c r="Q42" s="27">
        <v>944.58373614796585</v>
      </c>
      <c r="R42" s="27">
        <v>5.2448556608531485</v>
      </c>
      <c r="S42" s="27">
        <v>15.225698371447658</v>
      </c>
      <c r="T42" s="27">
        <v>25.048220777160726</v>
      </c>
      <c r="U42" s="27">
        <v>100.05856440555904</v>
      </c>
    </row>
    <row r="43" spans="1:21" x14ac:dyDescent="0.2">
      <c r="A43" s="13">
        <v>2018</v>
      </c>
      <c r="B43">
        <v>575327</v>
      </c>
      <c r="C43">
        <v>164883</v>
      </c>
      <c r="D43">
        <v>20902419</v>
      </c>
      <c r="E43">
        <v>285928</v>
      </c>
      <c r="G43">
        <v>512</v>
      </c>
      <c r="H43">
        <v>40262</v>
      </c>
      <c r="I43">
        <v>215</v>
      </c>
      <c r="J43">
        <v>177497</v>
      </c>
      <c r="L43">
        <v>22147043</v>
      </c>
      <c r="N43" s="25">
        <v>2060</v>
      </c>
      <c r="O43" s="27">
        <v>2759.1343071135793</v>
      </c>
      <c r="P43" s="27">
        <v>17.962536666666665</v>
      </c>
      <c r="Q43" s="27">
        <v>1067.2722619135566</v>
      </c>
      <c r="R43" s="27">
        <v>7.0686179225513275</v>
      </c>
      <c r="S43" s="27">
        <v>15.547997262211828</v>
      </c>
      <c r="T43" s="27">
        <v>28.42598590963156</v>
      </c>
      <c r="U43" s="27">
        <v>104.66040435826328</v>
      </c>
    </row>
    <row r="44" spans="1:21" x14ac:dyDescent="0.2">
      <c r="A44" s="13">
        <v>2019</v>
      </c>
      <c r="B44">
        <v>485080</v>
      </c>
      <c r="C44">
        <v>138471</v>
      </c>
      <c r="D44">
        <v>20030934</v>
      </c>
      <c r="E44">
        <v>350626</v>
      </c>
      <c r="G44">
        <v>1</v>
      </c>
      <c r="H44">
        <v>11264</v>
      </c>
      <c r="I44">
        <v>32</v>
      </c>
      <c r="J44">
        <v>183559</v>
      </c>
      <c r="L44">
        <v>21199967</v>
      </c>
    </row>
    <row r="45" spans="1:21" x14ac:dyDescent="0.2">
      <c r="A45" s="13">
        <v>2020</v>
      </c>
      <c r="B45">
        <v>766699</v>
      </c>
      <c r="C45">
        <v>166742</v>
      </c>
      <c r="D45">
        <v>18234329</v>
      </c>
      <c r="E45">
        <v>539014</v>
      </c>
      <c r="H45">
        <v>2806</v>
      </c>
      <c r="I45">
        <v>145</v>
      </c>
      <c r="J45">
        <v>195072</v>
      </c>
      <c r="L45">
        <v>19904807</v>
      </c>
    </row>
    <row r="46" spans="1:21" x14ac:dyDescent="0.2">
      <c r="A46" s="13">
        <v>2021</v>
      </c>
      <c r="B46">
        <v>2052286</v>
      </c>
      <c r="C46">
        <v>175358</v>
      </c>
      <c r="D46">
        <v>17413906</v>
      </c>
      <c r="E46">
        <v>784360</v>
      </c>
      <c r="F46">
        <v>9</v>
      </c>
      <c r="H46">
        <v>4170</v>
      </c>
      <c r="I46">
        <v>28</v>
      </c>
      <c r="J46">
        <v>402729</v>
      </c>
      <c r="L46">
        <v>20832846</v>
      </c>
    </row>
    <row r="47" spans="1:21" x14ac:dyDescent="0.2">
      <c r="A47" s="3" t="s">
        <v>76</v>
      </c>
      <c r="B47">
        <v>1067694</v>
      </c>
      <c r="C47">
        <v>95487</v>
      </c>
      <c r="D47">
        <v>1387504</v>
      </c>
      <c r="E47">
        <v>98553</v>
      </c>
      <c r="F47">
        <v>68</v>
      </c>
      <c r="G47">
        <v>9649</v>
      </c>
      <c r="H47">
        <v>608726</v>
      </c>
      <c r="I47">
        <v>25153</v>
      </c>
      <c r="J47">
        <v>61181</v>
      </c>
      <c r="L47">
        <v>3354015</v>
      </c>
    </row>
    <row r="48" spans="1:21" x14ac:dyDescent="0.2">
      <c r="A48" s="13">
        <v>2015</v>
      </c>
      <c r="B48">
        <v>19377</v>
      </c>
      <c r="C48">
        <v>811</v>
      </c>
      <c r="D48">
        <v>158637</v>
      </c>
      <c r="E48">
        <v>5234</v>
      </c>
      <c r="H48">
        <v>184235</v>
      </c>
      <c r="I48">
        <v>559</v>
      </c>
      <c r="J48">
        <v>2629</v>
      </c>
      <c r="L48">
        <v>371482</v>
      </c>
    </row>
    <row r="49" spans="1:12" x14ac:dyDescent="0.2">
      <c r="A49" s="13">
        <v>2016</v>
      </c>
      <c r="B49">
        <v>32323</v>
      </c>
      <c r="C49">
        <v>18655</v>
      </c>
      <c r="D49">
        <v>190027</v>
      </c>
      <c r="E49">
        <v>3257</v>
      </c>
      <c r="F49">
        <v>8</v>
      </c>
      <c r="G49">
        <v>1695</v>
      </c>
      <c r="H49">
        <v>86487</v>
      </c>
      <c r="I49">
        <v>197</v>
      </c>
      <c r="J49">
        <v>2785</v>
      </c>
      <c r="L49">
        <v>335434</v>
      </c>
    </row>
    <row r="50" spans="1:12" x14ac:dyDescent="0.2">
      <c r="A50" s="13">
        <v>2017</v>
      </c>
      <c r="B50">
        <v>77175</v>
      </c>
      <c r="C50">
        <v>18448</v>
      </c>
      <c r="D50">
        <v>341239</v>
      </c>
      <c r="E50">
        <v>14442</v>
      </c>
      <c r="F50">
        <v>50</v>
      </c>
      <c r="G50">
        <v>5122</v>
      </c>
      <c r="H50">
        <v>75940</v>
      </c>
      <c r="I50">
        <v>1889</v>
      </c>
      <c r="J50">
        <v>4329</v>
      </c>
      <c r="L50">
        <v>538634</v>
      </c>
    </row>
    <row r="51" spans="1:12" x14ac:dyDescent="0.2">
      <c r="A51" s="13">
        <v>2018</v>
      </c>
      <c r="B51">
        <v>168974</v>
      </c>
      <c r="C51">
        <v>18771</v>
      </c>
      <c r="D51">
        <v>239703</v>
      </c>
      <c r="E51">
        <v>22793</v>
      </c>
      <c r="G51">
        <v>2630</v>
      </c>
      <c r="H51">
        <v>86839</v>
      </c>
      <c r="I51">
        <v>1627</v>
      </c>
      <c r="J51">
        <v>10304</v>
      </c>
      <c r="L51">
        <v>551641</v>
      </c>
    </row>
    <row r="52" spans="1:12" x14ac:dyDescent="0.2">
      <c r="A52" s="13">
        <v>2019</v>
      </c>
      <c r="B52">
        <v>239398</v>
      </c>
      <c r="C52">
        <v>16407</v>
      </c>
      <c r="D52">
        <v>231239</v>
      </c>
      <c r="E52">
        <v>26279</v>
      </c>
      <c r="G52">
        <v>202</v>
      </c>
      <c r="H52">
        <v>95729</v>
      </c>
      <c r="I52">
        <v>14529</v>
      </c>
      <c r="J52">
        <v>16904</v>
      </c>
      <c r="L52">
        <v>640687</v>
      </c>
    </row>
    <row r="53" spans="1:12" x14ac:dyDescent="0.2">
      <c r="A53" s="13">
        <v>2020</v>
      </c>
      <c r="B53">
        <v>171260</v>
      </c>
      <c r="C53">
        <v>13305</v>
      </c>
      <c r="D53">
        <v>127036</v>
      </c>
      <c r="E53">
        <v>13174</v>
      </c>
      <c r="H53">
        <v>38951</v>
      </c>
      <c r="I53">
        <v>5543</v>
      </c>
      <c r="J53">
        <v>12718</v>
      </c>
      <c r="L53">
        <v>381987</v>
      </c>
    </row>
    <row r="54" spans="1:12" x14ac:dyDescent="0.2">
      <c r="A54" s="13">
        <v>2021</v>
      </c>
      <c r="B54">
        <v>359187</v>
      </c>
      <c r="C54">
        <v>9090</v>
      </c>
      <c r="D54">
        <v>99623</v>
      </c>
      <c r="E54">
        <v>13374</v>
      </c>
      <c r="F54">
        <v>10</v>
      </c>
      <c r="H54">
        <v>40545</v>
      </c>
      <c r="I54">
        <v>809</v>
      </c>
      <c r="J54">
        <v>11512</v>
      </c>
      <c r="L54">
        <v>534150</v>
      </c>
    </row>
    <row r="55" spans="1:12" x14ac:dyDescent="0.2">
      <c r="A55" s="3" t="s">
        <v>82</v>
      </c>
      <c r="B55">
        <v>2693</v>
      </c>
      <c r="C55">
        <v>24423</v>
      </c>
      <c r="D55">
        <v>87105</v>
      </c>
      <c r="E55">
        <v>2</v>
      </c>
      <c r="H55">
        <v>1699</v>
      </c>
      <c r="J55">
        <v>17</v>
      </c>
      <c r="L55">
        <v>115939</v>
      </c>
    </row>
    <row r="56" spans="1:12" x14ac:dyDescent="0.2">
      <c r="A56" s="13">
        <v>2015</v>
      </c>
      <c r="B56">
        <v>3</v>
      </c>
      <c r="C56">
        <v>405</v>
      </c>
      <c r="D56">
        <v>9392</v>
      </c>
      <c r="H56">
        <v>929</v>
      </c>
      <c r="L56">
        <v>10729</v>
      </c>
    </row>
    <row r="57" spans="1:12" x14ac:dyDescent="0.2">
      <c r="A57" s="13">
        <v>2016</v>
      </c>
      <c r="B57">
        <v>14</v>
      </c>
      <c r="C57">
        <v>785</v>
      </c>
      <c r="D57">
        <v>6645</v>
      </c>
      <c r="H57">
        <v>50</v>
      </c>
      <c r="L57">
        <v>7494</v>
      </c>
    </row>
    <row r="58" spans="1:12" x14ac:dyDescent="0.2">
      <c r="A58" s="13">
        <v>2017</v>
      </c>
      <c r="B58">
        <v>620</v>
      </c>
      <c r="C58">
        <v>2172</v>
      </c>
      <c r="D58">
        <v>23147</v>
      </c>
      <c r="H58">
        <v>98</v>
      </c>
      <c r="L58">
        <v>26037</v>
      </c>
    </row>
    <row r="59" spans="1:12" x14ac:dyDescent="0.2">
      <c r="A59" s="13">
        <v>2018</v>
      </c>
      <c r="B59">
        <v>60</v>
      </c>
      <c r="C59">
        <v>4246</v>
      </c>
      <c r="D59">
        <v>19272</v>
      </c>
      <c r="H59">
        <v>127</v>
      </c>
      <c r="L59">
        <v>23705</v>
      </c>
    </row>
    <row r="60" spans="1:12" x14ac:dyDescent="0.2">
      <c r="A60" s="13">
        <v>2019</v>
      </c>
      <c r="B60">
        <v>104</v>
      </c>
      <c r="C60">
        <v>3024</v>
      </c>
      <c r="D60">
        <v>10162</v>
      </c>
      <c r="H60">
        <v>49</v>
      </c>
      <c r="J60">
        <v>12</v>
      </c>
      <c r="L60">
        <v>13351</v>
      </c>
    </row>
    <row r="61" spans="1:12" x14ac:dyDescent="0.2">
      <c r="A61" s="13">
        <v>2020</v>
      </c>
      <c r="B61">
        <v>479</v>
      </c>
      <c r="C61">
        <v>7043</v>
      </c>
      <c r="D61">
        <v>11349</v>
      </c>
      <c r="E61">
        <v>1</v>
      </c>
      <c r="H61">
        <v>37</v>
      </c>
      <c r="L61">
        <v>18909</v>
      </c>
    </row>
    <row r="62" spans="1:12" x14ac:dyDescent="0.2">
      <c r="A62" s="13">
        <v>2021</v>
      </c>
      <c r="B62">
        <v>1413</v>
      </c>
      <c r="C62">
        <v>6748</v>
      </c>
      <c r="D62">
        <v>7138</v>
      </c>
      <c r="E62">
        <v>1</v>
      </c>
      <c r="H62">
        <v>409</v>
      </c>
      <c r="J62">
        <v>5</v>
      </c>
      <c r="L62">
        <v>15714</v>
      </c>
    </row>
    <row r="63" spans="1:12" x14ac:dyDescent="0.2">
      <c r="A63" s="3" t="s">
        <v>77</v>
      </c>
      <c r="B63">
        <v>957</v>
      </c>
      <c r="C63">
        <v>1033</v>
      </c>
      <c r="D63">
        <v>2776</v>
      </c>
      <c r="H63">
        <v>874</v>
      </c>
      <c r="L63">
        <v>5640</v>
      </c>
    </row>
    <row r="64" spans="1:12" x14ac:dyDescent="0.2">
      <c r="A64" s="13">
        <v>2015</v>
      </c>
      <c r="B64">
        <v>150</v>
      </c>
      <c r="C64">
        <v>11</v>
      </c>
      <c r="D64">
        <v>434</v>
      </c>
      <c r="H64">
        <v>86</v>
      </c>
      <c r="L64">
        <v>681</v>
      </c>
    </row>
    <row r="65" spans="1:12" x14ac:dyDescent="0.2">
      <c r="A65" s="13">
        <v>2016</v>
      </c>
      <c r="C65">
        <v>17</v>
      </c>
      <c r="D65">
        <v>265</v>
      </c>
      <c r="H65">
        <v>93</v>
      </c>
      <c r="L65">
        <v>375</v>
      </c>
    </row>
    <row r="66" spans="1:12" x14ac:dyDescent="0.2">
      <c r="A66" s="13">
        <v>2017</v>
      </c>
      <c r="B66">
        <v>30</v>
      </c>
      <c r="C66">
        <v>79</v>
      </c>
      <c r="D66">
        <v>883</v>
      </c>
      <c r="H66">
        <v>267</v>
      </c>
      <c r="L66">
        <v>1259</v>
      </c>
    </row>
    <row r="67" spans="1:12" x14ac:dyDescent="0.2">
      <c r="A67" s="13">
        <v>2018</v>
      </c>
      <c r="B67">
        <v>13</v>
      </c>
      <c r="C67">
        <v>591</v>
      </c>
      <c r="D67">
        <v>338</v>
      </c>
      <c r="H67">
        <v>175</v>
      </c>
      <c r="L67">
        <v>1117</v>
      </c>
    </row>
    <row r="68" spans="1:12" x14ac:dyDescent="0.2">
      <c r="A68" s="13">
        <v>2019</v>
      </c>
      <c r="B68">
        <v>44</v>
      </c>
      <c r="C68">
        <v>5</v>
      </c>
      <c r="D68">
        <v>297</v>
      </c>
      <c r="H68">
        <v>169</v>
      </c>
      <c r="L68">
        <v>515</v>
      </c>
    </row>
    <row r="69" spans="1:12" x14ac:dyDescent="0.2">
      <c r="A69" s="13">
        <v>2020</v>
      </c>
      <c r="B69">
        <v>648</v>
      </c>
      <c r="C69">
        <v>314</v>
      </c>
      <c r="D69">
        <v>430</v>
      </c>
      <c r="H69">
        <v>84</v>
      </c>
      <c r="L69">
        <v>1476</v>
      </c>
    </row>
    <row r="70" spans="1:12" x14ac:dyDescent="0.2">
      <c r="A70" s="13">
        <v>2021</v>
      </c>
      <c r="B70">
        <v>72</v>
      </c>
      <c r="C70">
        <v>16</v>
      </c>
      <c r="D70">
        <v>129</v>
      </c>
      <c r="L70">
        <v>217</v>
      </c>
    </row>
    <row r="71" spans="1:12" x14ac:dyDescent="0.2">
      <c r="A71" s="2" t="s">
        <v>67</v>
      </c>
      <c r="B71">
        <v>2797</v>
      </c>
      <c r="C71">
        <v>304</v>
      </c>
      <c r="D71">
        <v>174306</v>
      </c>
      <c r="E71">
        <v>22970</v>
      </c>
      <c r="H71">
        <v>138</v>
      </c>
      <c r="J71">
        <v>6003</v>
      </c>
      <c r="L71">
        <v>206518</v>
      </c>
    </row>
    <row r="72" spans="1:12" x14ac:dyDescent="0.2">
      <c r="A72" s="3" t="s">
        <v>33</v>
      </c>
      <c r="B72">
        <v>2796</v>
      </c>
      <c r="C72">
        <v>71</v>
      </c>
      <c r="D72">
        <v>166821</v>
      </c>
      <c r="E72">
        <v>22970</v>
      </c>
      <c r="J72">
        <v>6002</v>
      </c>
      <c r="L72">
        <v>198660</v>
      </c>
    </row>
    <row r="73" spans="1:12" x14ac:dyDescent="0.2">
      <c r="A73" s="13">
        <v>2021</v>
      </c>
      <c r="B73">
        <v>2796</v>
      </c>
      <c r="C73">
        <v>71</v>
      </c>
      <c r="D73">
        <v>166821</v>
      </c>
      <c r="E73">
        <v>22970</v>
      </c>
      <c r="J73">
        <v>6002</v>
      </c>
      <c r="L73">
        <v>198660</v>
      </c>
    </row>
    <row r="74" spans="1:12" x14ac:dyDescent="0.2">
      <c r="A74" s="3" t="s">
        <v>76</v>
      </c>
      <c r="B74">
        <v>1</v>
      </c>
      <c r="C74">
        <v>1</v>
      </c>
      <c r="D74">
        <v>61</v>
      </c>
      <c r="J74">
        <v>1</v>
      </c>
      <c r="L74">
        <v>64</v>
      </c>
    </row>
    <row r="75" spans="1:12" x14ac:dyDescent="0.2">
      <c r="A75" s="13">
        <v>2021</v>
      </c>
      <c r="B75">
        <v>1</v>
      </c>
      <c r="C75">
        <v>1</v>
      </c>
      <c r="D75">
        <v>61</v>
      </c>
      <c r="J75">
        <v>1</v>
      </c>
      <c r="L75">
        <v>64</v>
      </c>
    </row>
    <row r="76" spans="1:12" x14ac:dyDescent="0.2">
      <c r="A76" s="3" t="s">
        <v>82</v>
      </c>
      <c r="C76">
        <v>232</v>
      </c>
      <c r="D76">
        <v>7424</v>
      </c>
      <c r="H76">
        <v>138</v>
      </c>
      <c r="L76">
        <v>7794</v>
      </c>
    </row>
    <row r="77" spans="1:12" x14ac:dyDescent="0.2">
      <c r="A77" s="13">
        <v>2015</v>
      </c>
      <c r="C77">
        <v>232</v>
      </c>
      <c r="D77">
        <v>7424</v>
      </c>
      <c r="H77">
        <v>138</v>
      </c>
      <c r="L77">
        <v>7794</v>
      </c>
    </row>
    <row r="78" spans="1:12" x14ac:dyDescent="0.2">
      <c r="A78" s="2" t="s">
        <v>53</v>
      </c>
      <c r="B78">
        <v>6494402</v>
      </c>
      <c r="C78">
        <v>16591966</v>
      </c>
      <c r="D78">
        <v>151243506</v>
      </c>
      <c r="E78">
        <v>2532321</v>
      </c>
      <c r="F78">
        <v>8557</v>
      </c>
      <c r="G78">
        <v>10354</v>
      </c>
      <c r="H78">
        <v>2742311</v>
      </c>
      <c r="I78">
        <v>26142</v>
      </c>
      <c r="J78">
        <v>1166613</v>
      </c>
      <c r="K78">
        <v>42</v>
      </c>
      <c r="L78">
        <v>180816214</v>
      </c>
    </row>
  </sheetData>
  <mergeCells count="14">
    <mergeCell ref="AU4:AX4"/>
    <mergeCell ref="AY4:BB4"/>
    <mergeCell ref="O3:R3"/>
    <mergeCell ref="S3:V3"/>
    <mergeCell ref="AM4:AP4"/>
    <mergeCell ref="AQ4:AT4"/>
    <mergeCell ref="AI4:AL4"/>
    <mergeCell ref="AI3:BB3"/>
    <mergeCell ref="W3:AH3"/>
    <mergeCell ref="O4:R4"/>
    <mergeCell ref="S4:V4"/>
    <mergeCell ref="W4:Z4"/>
    <mergeCell ref="AA4:AD4"/>
    <mergeCell ref="AE4:AH4"/>
  </mergeCells>
  <phoneticPr fontId="19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B091B-D9CA-4777-9CA6-3678EB3296EE}">
  <sheetPr codeName="Sheet4"/>
  <dimension ref="B1:AK55"/>
  <sheetViews>
    <sheetView topLeftCell="M1" zoomScale="85" zoomScaleNormal="85" workbookViewId="0">
      <selection activeCell="U30" sqref="U30"/>
    </sheetView>
  </sheetViews>
  <sheetFormatPr defaultRowHeight="14.25" x14ac:dyDescent="0.2"/>
  <cols>
    <col min="3" max="4" width="9.125" bestFit="1" customWidth="1"/>
    <col min="5" max="5" width="9.75" bestFit="1" customWidth="1"/>
    <col min="6" max="6" width="9.125" bestFit="1" customWidth="1"/>
    <col min="7" max="8" width="10.375" bestFit="1" customWidth="1"/>
    <col min="9" max="10" width="9.125" customWidth="1"/>
    <col min="11" max="11" width="9.125" style="120" customWidth="1"/>
    <col min="12" max="12" width="9.125" customWidth="1"/>
    <col min="19" max="19" width="11.875" bestFit="1" customWidth="1"/>
    <col min="20" max="20" width="10.875" bestFit="1" customWidth="1"/>
    <col min="21" max="21" width="9.125" customWidth="1"/>
    <col min="22" max="22" width="9.125" style="120" customWidth="1"/>
    <col min="23" max="23" width="9.125" style="133" customWidth="1"/>
    <col min="24" max="24" width="9.125" customWidth="1"/>
    <col min="31" max="32" width="9.75" bestFit="1" customWidth="1"/>
    <col min="34" max="34" width="10.25" bestFit="1" customWidth="1"/>
    <col min="35" max="35" width="12.5" bestFit="1" customWidth="1"/>
  </cols>
  <sheetData>
    <row r="1" spans="2:37" x14ac:dyDescent="0.2">
      <c r="B1" t="s">
        <v>104</v>
      </c>
    </row>
    <row r="2" spans="2:37" x14ac:dyDescent="0.2">
      <c r="B2">
        <v>2020</v>
      </c>
      <c r="C2" t="s">
        <v>100</v>
      </c>
      <c r="K2" s="120" t="s">
        <v>111</v>
      </c>
      <c r="N2" s="120"/>
      <c r="O2" s="133" t="s">
        <v>111</v>
      </c>
    </row>
    <row r="3" spans="2:37" x14ac:dyDescent="0.2">
      <c r="B3">
        <v>2025</v>
      </c>
      <c r="C3" t="s">
        <v>101</v>
      </c>
      <c r="K3" s="120" t="s">
        <v>109</v>
      </c>
      <c r="L3" t="s">
        <v>110</v>
      </c>
      <c r="N3" s="120"/>
      <c r="O3" s="133" t="s">
        <v>109</v>
      </c>
      <c r="P3" t="s">
        <v>110</v>
      </c>
    </row>
    <row r="4" spans="2:37" x14ac:dyDescent="0.2">
      <c r="C4" t="s">
        <v>103</v>
      </c>
      <c r="J4" t="s">
        <v>113</v>
      </c>
      <c r="K4" s="120">
        <v>9</v>
      </c>
      <c r="L4">
        <v>15</v>
      </c>
      <c r="N4" s="120" t="s">
        <v>113</v>
      </c>
      <c r="O4" s="133">
        <v>9</v>
      </c>
      <c r="P4">
        <v>15</v>
      </c>
    </row>
    <row r="5" spans="2:37" x14ac:dyDescent="0.2">
      <c r="B5">
        <v>2035</v>
      </c>
      <c r="C5" t="s">
        <v>112</v>
      </c>
      <c r="J5" t="s">
        <v>114</v>
      </c>
      <c r="K5" s="120">
        <v>15</v>
      </c>
      <c r="L5">
        <v>15</v>
      </c>
      <c r="N5" s="120" t="s">
        <v>114</v>
      </c>
      <c r="O5" s="133">
        <v>15</v>
      </c>
      <c r="P5">
        <v>15</v>
      </c>
    </row>
    <row r="6" spans="2:37" x14ac:dyDescent="0.2">
      <c r="C6" t="s">
        <v>102</v>
      </c>
    </row>
    <row r="8" spans="2:37" x14ac:dyDescent="0.2">
      <c r="C8" s="156" t="s">
        <v>89</v>
      </c>
      <c r="D8" s="156"/>
      <c r="E8" s="156" t="s">
        <v>78</v>
      </c>
      <c r="F8" s="156"/>
      <c r="G8" s="156" t="s">
        <v>64</v>
      </c>
      <c r="H8" s="156"/>
      <c r="I8" s="156"/>
      <c r="J8" s="156"/>
      <c r="K8" s="156"/>
      <c r="L8" s="156"/>
      <c r="M8" s="156"/>
      <c r="N8" s="4"/>
      <c r="O8" s="156" t="s">
        <v>75</v>
      </c>
      <c r="P8" s="156"/>
      <c r="Q8" s="156" t="s">
        <v>90</v>
      </c>
      <c r="R8" s="156"/>
      <c r="S8" s="156" t="s">
        <v>62</v>
      </c>
      <c r="T8" s="156"/>
      <c r="U8" s="156"/>
      <c r="V8" s="156"/>
      <c r="W8" s="156"/>
      <c r="X8" s="156"/>
      <c r="Y8" s="156"/>
      <c r="AA8" s="156" t="s">
        <v>119</v>
      </c>
      <c r="AB8" s="156"/>
      <c r="AC8" s="156" t="s">
        <v>120</v>
      </c>
      <c r="AD8" s="156"/>
      <c r="AE8" s="156" t="s">
        <v>70</v>
      </c>
      <c r="AF8" s="156"/>
      <c r="AG8" s="156"/>
      <c r="AH8" s="156"/>
      <c r="AI8" s="156"/>
      <c r="AJ8" s="156"/>
      <c r="AK8" s="156"/>
    </row>
    <row r="9" spans="2:37" s="129" customFormat="1" ht="28.5" x14ac:dyDescent="0.2">
      <c r="C9" s="129" t="s">
        <v>105</v>
      </c>
      <c r="D9" s="129" t="s">
        <v>106</v>
      </c>
      <c r="E9" s="129" t="s">
        <v>105</v>
      </c>
      <c r="F9" s="129" t="s">
        <v>106</v>
      </c>
      <c r="G9" s="129" t="s">
        <v>107</v>
      </c>
      <c r="H9" s="129" t="s">
        <v>108</v>
      </c>
      <c r="I9" s="129" t="s">
        <v>115</v>
      </c>
      <c r="J9" s="129" t="s">
        <v>116</v>
      </c>
      <c r="K9" s="130" t="s">
        <v>107</v>
      </c>
      <c r="L9" s="129" t="s">
        <v>117</v>
      </c>
      <c r="M9" s="129" t="s">
        <v>118</v>
      </c>
      <c r="O9" s="129" t="s">
        <v>105</v>
      </c>
      <c r="P9" s="129" t="s">
        <v>106</v>
      </c>
      <c r="Q9" s="129" t="s">
        <v>105</v>
      </c>
      <c r="R9" s="129" t="s">
        <v>106</v>
      </c>
      <c r="S9" s="129" t="s">
        <v>107</v>
      </c>
      <c r="T9" s="129" t="s">
        <v>108</v>
      </c>
      <c r="U9" s="129" t="s">
        <v>115</v>
      </c>
      <c r="V9" s="130" t="s">
        <v>116</v>
      </c>
      <c r="W9" s="132" t="s">
        <v>107</v>
      </c>
      <c r="X9" s="129" t="s">
        <v>117</v>
      </c>
      <c r="Y9" s="129" t="s">
        <v>118</v>
      </c>
      <c r="AA9" s="129" t="s">
        <v>105</v>
      </c>
      <c r="AB9" s="129" t="s">
        <v>106</v>
      </c>
      <c r="AC9" s="129" t="s">
        <v>105</v>
      </c>
      <c r="AD9" s="129" t="s">
        <v>106</v>
      </c>
      <c r="AE9" s="129" t="s">
        <v>107</v>
      </c>
      <c r="AF9" s="129" t="s">
        <v>108</v>
      </c>
      <c r="AG9" s="129" t="s">
        <v>115</v>
      </c>
      <c r="AH9" s="130" t="s">
        <v>116</v>
      </c>
      <c r="AI9" s="132" t="s">
        <v>107</v>
      </c>
      <c r="AJ9" s="129" t="s">
        <v>117</v>
      </c>
      <c r="AK9" s="129" t="s">
        <v>118</v>
      </c>
    </row>
    <row r="10" spans="2:37" x14ac:dyDescent="0.2">
      <c r="B10">
        <v>2015</v>
      </c>
      <c r="C10">
        <v>482975</v>
      </c>
      <c r="D10" s="124">
        <f>'Electric Ratio'!L64+'Electric Ratio'!L31</f>
        <v>129892</v>
      </c>
      <c r="E10">
        <v>1814325</v>
      </c>
      <c r="F10" s="125">
        <f>'Electric Ratio'!L23+'Electric Ratio'!L56</f>
        <v>159771</v>
      </c>
      <c r="G10" s="120">
        <f t="shared" ref="G10:G15" si="0">C10+E10</f>
        <v>2297300</v>
      </c>
      <c r="H10" s="127">
        <f t="shared" ref="H10:H14" si="1">D10+F10</f>
        <v>289663</v>
      </c>
      <c r="I10">
        <v>0</v>
      </c>
      <c r="J10" s="128">
        <f>'Pivot Table'!F20</f>
        <v>0</v>
      </c>
      <c r="K10" s="120">
        <f>I10</f>
        <v>0</v>
      </c>
      <c r="L10" s="19">
        <f t="shared" ref="L10:L15" si="2">J10/H10</f>
        <v>0</v>
      </c>
      <c r="M10" s="134">
        <f>MAX(L$10:L$16)</f>
        <v>6.5700893331024114E-3</v>
      </c>
      <c r="N10" s="19"/>
      <c r="O10" s="120">
        <v>13323.621474158876</v>
      </c>
      <c r="P10" s="120">
        <v>1547.1217403545015</v>
      </c>
      <c r="Q10">
        <v>109.20829999999999</v>
      </c>
      <c r="R10">
        <v>18.300216666666671</v>
      </c>
      <c r="S10" s="120">
        <f>(O10+Q10)*10000</f>
        <v>134328297.74158877</v>
      </c>
      <c r="T10" s="127">
        <f>(P10+R10)*10000</f>
        <v>15654219.570211682</v>
      </c>
      <c r="U10">
        <v>0</v>
      </c>
      <c r="V10" s="120">
        <f>'Pivot Table'!F28</f>
        <v>0</v>
      </c>
      <c r="W10" s="133">
        <f>U10</f>
        <v>0</v>
      </c>
      <c r="X10" s="19">
        <f t="shared" ref="X10:X15" si="3">V10/T10</f>
        <v>0</v>
      </c>
      <c r="Y10" s="134">
        <f>MAX(X$10:X$16)</f>
        <v>1.6989391929879433E-6</v>
      </c>
      <c r="AA10" s="120">
        <v>475244.00000000006</v>
      </c>
      <c r="AB10" s="120">
        <v>9344.1371470617014</v>
      </c>
      <c r="AC10">
        <v>6313956</v>
      </c>
      <c r="AD10">
        <v>124143.53638239205</v>
      </c>
      <c r="AE10" s="120">
        <f>(AA10+AC10)</f>
        <v>6789200</v>
      </c>
      <c r="AF10" s="127">
        <f>(AB10+AD10)</f>
        <v>133487.67352945375</v>
      </c>
      <c r="AG10">
        <v>0</v>
      </c>
      <c r="AH10" s="120">
        <f>'Pivot Table'!F4</f>
        <v>0</v>
      </c>
      <c r="AI10" s="133">
        <f>AG10</f>
        <v>0</v>
      </c>
      <c r="AJ10" s="19">
        <f t="shared" ref="AJ10:AJ15" si="4">AH10/AF10</f>
        <v>0</v>
      </c>
      <c r="AK10" s="134">
        <f>MAX(AJ$10:AJ$16)</f>
        <v>1.4854603461961987E-3</v>
      </c>
    </row>
    <row r="11" spans="2:37" x14ac:dyDescent="0.2">
      <c r="B11">
        <v>2016</v>
      </c>
      <c r="C11">
        <v>515051</v>
      </c>
      <c r="D11" s="124">
        <f>'Electric Ratio'!L65+'Electric Ratio'!L32</f>
        <v>96909</v>
      </c>
      <c r="E11">
        <v>1783449</v>
      </c>
      <c r="F11" s="125">
        <f>'Electric Ratio'!L24+'Electric Ratio'!L57</f>
        <v>165233</v>
      </c>
      <c r="G11" s="120">
        <f t="shared" si="0"/>
        <v>2298500</v>
      </c>
      <c r="H11" s="127">
        <f t="shared" si="1"/>
        <v>262142</v>
      </c>
      <c r="I11">
        <f>I10+J11</f>
        <v>29</v>
      </c>
      <c r="J11" s="128">
        <f>'Pivot Table'!F21</f>
        <v>29</v>
      </c>
      <c r="K11" s="120">
        <f t="shared" ref="K11:K16" si="5">I11</f>
        <v>29</v>
      </c>
      <c r="L11" s="19">
        <f t="shared" si="2"/>
        <v>1.1062706472064759E-4</v>
      </c>
      <c r="M11" s="134">
        <f t="shared" ref="M11:M16" si="6">MAX(L$10:L$16)</f>
        <v>6.5700893331024114E-3</v>
      </c>
      <c r="N11" s="19"/>
      <c r="O11" s="120">
        <v>15064.570057798745</v>
      </c>
      <c r="P11" s="120">
        <v>1978.1601324819403</v>
      </c>
      <c r="Q11">
        <v>110.2563</v>
      </c>
      <c r="R11">
        <v>16.941016666666641</v>
      </c>
      <c r="S11" s="120">
        <f t="shared" ref="S11:S55" si="7">(O11+Q11)*10000</f>
        <v>151748263.57798743</v>
      </c>
      <c r="T11" s="127">
        <f t="shared" ref="T11:T55" si="8">(P11+R11)*10000</f>
        <v>19951011.491486069</v>
      </c>
      <c r="U11">
        <f>U10+V11</f>
        <v>8</v>
      </c>
      <c r="V11" s="120">
        <f>'Pivot Table'!F29</f>
        <v>8</v>
      </c>
      <c r="W11" s="133">
        <f t="shared" ref="W11:W16" si="9">U11</f>
        <v>8</v>
      </c>
      <c r="X11" s="19">
        <f t="shared" si="3"/>
        <v>4.0098217593699122E-7</v>
      </c>
      <c r="Y11" s="134">
        <f t="shared" ref="Y11:Y16" si="10">MAX(X$10:X$16)</f>
        <v>1.6989391929879433E-6</v>
      </c>
      <c r="AA11" s="120">
        <v>495719.00000000012</v>
      </c>
      <c r="AB11" s="120">
        <v>65487.762437914265</v>
      </c>
      <c r="AC11">
        <v>6585981.0000000009</v>
      </c>
      <c r="AD11">
        <v>870051.70096086059</v>
      </c>
      <c r="AE11" s="120">
        <f t="shared" ref="AE11:AE55" si="11">(AA11+AC11)</f>
        <v>7081700.0000000009</v>
      </c>
      <c r="AF11" s="127">
        <f t="shared" ref="AF11:AF55" si="12">(AB11+AD11)</f>
        <v>935539.46339877485</v>
      </c>
      <c r="AG11">
        <f>AG10+AH11</f>
        <v>0</v>
      </c>
      <c r="AH11" s="120">
        <f>'Pivot Table'!F5</f>
        <v>0</v>
      </c>
      <c r="AI11" s="133">
        <f t="shared" ref="AI11:AI16" si="13">AG11</f>
        <v>0</v>
      </c>
      <c r="AJ11" s="19">
        <f t="shared" si="4"/>
        <v>0</v>
      </c>
      <c r="AK11" s="134">
        <f t="shared" ref="AK11:AK16" si="14">MAX(AJ$10:AJ$16)</f>
        <v>1.4854603461961987E-3</v>
      </c>
    </row>
    <row r="12" spans="2:37" x14ac:dyDescent="0.2">
      <c r="B12">
        <v>2017</v>
      </c>
      <c r="C12">
        <v>554820</v>
      </c>
      <c r="D12" s="124">
        <f>'Electric Ratio'!L66+'Electric Ratio'!L33</f>
        <v>87438</v>
      </c>
      <c r="E12">
        <v>1764079.9999999998</v>
      </c>
      <c r="F12" s="125">
        <f>'Electric Ratio'!L25+'Electric Ratio'!L58</f>
        <v>142290</v>
      </c>
      <c r="G12" s="120">
        <f t="shared" si="0"/>
        <v>2318900</v>
      </c>
      <c r="H12" s="127">
        <f t="shared" si="1"/>
        <v>229728</v>
      </c>
      <c r="I12">
        <f t="shared" ref="I12:I16" si="15">I11+J12</f>
        <v>144</v>
      </c>
      <c r="J12" s="128">
        <f>'Pivot Table'!F22</f>
        <v>115</v>
      </c>
      <c r="K12" s="120">
        <f t="shared" si="5"/>
        <v>144</v>
      </c>
      <c r="L12" s="19">
        <f t="shared" si="2"/>
        <v>5.0059200445744538E-4</v>
      </c>
      <c r="M12" s="134">
        <f t="shared" si="6"/>
        <v>6.5700893331024114E-3</v>
      </c>
      <c r="N12" s="19"/>
      <c r="O12" s="120">
        <v>17685.568989835261</v>
      </c>
      <c r="P12" s="120">
        <v>2925.9286061245512</v>
      </c>
      <c r="Q12">
        <v>110.28230000000001</v>
      </c>
      <c r="R12">
        <v>17.084316666666695</v>
      </c>
      <c r="S12" s="120">
        <f t="shared" si="7"/>
        <v>177958512.89835259</v>
      </c>
      <c r="T12" s="127">
        <f t="shared" si="8"/>
        <v>29430129.22791218</v>
      </c>
      <c r="U12">
        <f t="shared" ref="U12:U15" si="16">U11+V12</f>
        <v>58</v>
      </c>
      <c r="V12" s="120">
        <f>'Pivot Table'!F30</f>
        <v>50</v>
      </c>
      <c r="W12" s="133">
        <f t="shared" si="9"/>
        <v>58</v>
      </c>
      <c r="X12" s="19">
        <f t="shared" si="3"/>
        <v>1.6989391929879433E-6</v>
      </c>
      <c r="Y12" s="134">
        <f t="shared" si="10"/>
        <v>1.6989391929879433E-6</v>
      </c>
      <c r="AA12" s="120">
        <v>536263</v>
      </c>
      <c r="AB12" s="120">
        <v>92020.410860839824</v>
      </c>
      <c r="AC12">
        <v>7124636.9999999991</v>
      </c>
      <c r="AD12">
        <v>1222556.8871511566</v>
      </c>
      <c r="AE12" s="120">
        <f t="shared" si="11"/>
        <v>7660899.9999999991</v>
      </c>
      <c r="AF12" s="127">
        <f t="shared" si="12"/>
        <v>1314577.2980119963</v>
      </c>
      <c r="AG12">
        <f t="shared" ref="AG12:AG15" si="17">AG11+AH12</f>
        <v>933</v>
      </c>
      <c r="AH12" s="120">
        <f>'Pivot Table'!F6</f>
        <v>933</v>
      </c>
      <c r="AI12" s="133">
        <f t="shared" si="13"/>
        <v>933</v>
      </c>
      <c r="AJ12" s="19">
        <f t="shared" si="4"/>
        <v>7.0973384479631097E-4</v>
      </c>
      <c r="AK12" s="134">
        <f t="shared" si="14"/>
        <v>1.4854603461961987E-3</v>
      </c>
    </row>
    <row r="13" spans="2:37" x14ac:dyDescent="0.2">
      <c r="B13">
        <v>2018</v>
      </c>
      <c r="C13">
        <v>565933</v>
      </c>
      <c r="D13" s="124">
        <f>'Electric Ratio'!L67+'Electric Ratio'!L34</f>
        <v>92961</v>
      </c>
      <c r="E13">
        <v>1771367.0000000002</v>
      </c>
      <c r="F13" s="125">
        <f>'Electric Ratio'!L26+'Electric Ratio'!L59</f>
        <v>113336</v>
      </c>
      <c r="G13" s="120">
        <f t="shared" si="0"/>
        <v>2337300</v>
      </c>
      <c r="H13" s="127">
        <f t="shared" si="1"/>
        <v>206297</v>
      </c>
      <c r="I13">
        <f t="shared" si="15"/>
        <v>581</v>
      </c>
      <c r="J13" s="128">
        <f>'Pivot Table'!F23</f>
        <v>437</v>
      </c>
      <c r="K13" s="120">
        <f t="shared" si="5"/>
        <v>581</v>
      </c>
      <c r="L13" s="19">
        <f t="shared" si="2"/>
        <v>2.1183051619752106E-3</v>
      </c>
      <c r="M13" s="134">
        <f t="shared" si="6"/>
        <v>6.5700893331024114E-3</v>
      </c>
      <c r="N13" s="19"/>
      <c r="O13" s="120">
        <v>20306.555656280423</v>
      </c>
      <c r="P13" s="120">
        <v>3016.2555796451925</v>
      </c>
      <c r="Q13">
        <v>109.72369999999999</v>
      </c>
      <c r="R13">
        <v>16.688216666666648</v>
      </c>
      <c r="S13" s="120">
        <f t="shared" si="7"/>
        <v>204162793.56280422</v>
      </c>
      <c r="T13" s="127">
        <f t="shared" si="8"/>
        <v>30329437.96311859</v>
      </c>
      <c r="U13">
        <f t="shared" si="16"/>
        <v>58</v>
      </c>
      <c r="V13" s="120">
        <f>'Pivot Table'!F31</f>
        <v>0</v>
      </c>
      <c r="W13" s="133">
        <f t="shared" si="9"/>
        <v>58</v>
      </c>
      <c r="X13" s="19">
        <f t="shared" si="3"/>
        <v>0</v>
      </c>
      <c r="Y13" s="134">
        <f t="shared" si="10"/>
        <v>1.6989391929879433E-6</v>
      </c>
      <c r="AA13" s="120">
        <v>583744</v>
      </c>
      <c r="AB13" s="120">
        <v>105952.53089424392</v>
      </c>
      <c r="AC13">
        <v>7755456</v>
      </c>
      <c r="AD13">
        <v>1407655.0533092413</v>
      </c>
      <c r="AE13" s="120">
        <f t="shared" si="11"/>
        <v>8339200</v>
      </c>
      <c r="AF13" s="127">
        <f t="shared" si="12"/>
        <v>1513607.5842034852</v>
      </c>
      <c r="AG13">
        <f t="shared" si="17"/>
        <v>1337</v>
      </c>
      <c r="AH13" s="120">
        <f>'Pivot Table'!F7</f>
        <v>404</v>
      </c>
      <c r="AI13" s="133">
        <f t="shared" si="13"/>
        <v>1337</v>
      </c>
      <c r="AJ13" s="19">
        <f t="shared" si="4"/>
        <v>2.6691198182162871E-4</v>
      </c>
      <c r="AK13" s="134">
        <f t="shared" si="14"/>
        <v>1.4854603461961987E-3</v>
      </c>
    </row>
    <row r="14" spans="2:37" x14ac:dyDescent="0.2">
      <c r="B14">
        <v>2019</v>
      </c>
      <c r="C14">
        <v>584026</v>
      </c>
      <c r="D14" s="124">
        <f>'Electric Ratio'!L68+'Electric Ratio'!L35</f>
        <v>76856</v>
      </c>
      <c r="E14">
        <v>1742574.0000000002</v>
      </c>
      <c r="F14" s="125">
        <f>'Electric Ratio'!L27+'Electric Ratio'!L60</f>
        <v>102137</v>
      </c>
      <c r="G14" s="120">
        <f t="shared" si="0"/>
        <v>2326600</v>
      </c>
      <c r="H14" s="127">
        <f t="shared" si="1"/>
        <v>178993</v>
      </c>
      <c r="I14">
        <f t="shared" si="15"/>
        <v>1757</v>
      </c>
      <c r="J14" s="128">
        <f>'Pivot Table'!F24</f>
        <v>1176</v>
      </c>
      <c r="K14" s="120">
        <f t="shared" si="5"/>
        <v>1757</v>
      </c>
      <c r="L14" s="19">
        <f t="shared" si="2"/>
        <v>6.5700893331024114E-3</v>
      </c>
      <c r="M14" s="134">
        <f t="shared" si="6"/>
        <v>6.5700893331024114E-3</v>
      </c>
      <c r="N14" s="19"/>
      <c r="O14" s="120">
        <v>22244.814537261998</v>
      </c>
      <c r="P14" s="120">
        <v>2447.2816833061479</v>
      </c>
      <c r="Q14">
        <v>110.247</v>
      </c>
      <c r="R14">
        <v>2.9605000000000103</v>
      </c>
      <c r="S14" s="120">
        <f t="shared" si="7"/>
        <v>223550615.37261999</v>
      </c>
      <c r="T14" s="127">
        <f t="shared" si="8"/>
        <v>24502421.833061479</v>
      </c>
      <c r="U14">
        <f t="shared" si="16"/>
        <v>58</v>
      </c>
      <c r="V14" s="120">
        <f>'Pivot Table'!F32</f>
        <v>0</v>
      </c>
      <c r="W14" s="133">
        <f t="shared" si="9"/>
        <v>58</v>
      </c>
      <c r="X14" s="19">
        <f t="shared" si="3"/>
        <v>0</v>
      </c>
      <c r="Y14" s="134">
        <f t="shared" si="10"/>
        <v>1.6989391929879433E-6</v>
      </c>
      <c r="AA14" s="120">
        <v>614579.00000000012</v>
      </c>
      <c r="AB14" s="120">
        <v>94906.606131227978</v>
      </c>
      <c r="AC14">
        <v>8165121</v>
      </c>
      <c r="AD14">
        <v>1260902.0528863128</v>
      </c>
      <c r="AE14" s="120">
        <f t="shared" si="11"/>
        <v>8779700</v>
      </c>
      <c r="AF14" s="127">
        <f t="shared" si="12"/>
        <v>1355808.6590175407</v>
      </c>
      <c r="AG14">
        <f t="shared" si="17"/>
        <v>3351</v>
      </c>
      <c r="AH14" s="120">
        <f>'Pivot Table'!F8</f>
        <v>2014</v>
      </c>
      <c r="AI14" s="133">
        <f t="shared" si="13"/>
        <v>3351</v>
      </c>
      <c r="AJ14" s="19">
        <f t="shared" si="4"/>
        <v>1.4854603461961987E-3</v>
      </c>
      <c r="AK14" s="134">
        <f t="shared" si="14"/>
        <v>1.4854603461961987E-3</v>
      </c>
    </row>
    <row r="15" spans="2:37" x14ac:dyDescent="0.2">
      <c r="B15">
        <v>2020</v>
      </c>
      <c r="C15" s="120">
        <v>585426.38902707712</v>
      </c>
      <c r="D15" s="124">
        <f>'Electric Ratio'!L69+'Electric Ratio'!L36</f>
        <v>61843</v>
      </c>
      <c r="E15" s="121">
        <v>1742574.0000000002</v>
      </c>
      <c r="F15" s="125">
        <v>205319.57115058298</v>
      </c>
      <c r="G15" s="120">
        <f t="shared" si="0"/>
        <v>2328000.3890270772</v>
      </c>
      <c r="H15" s="127">
        <f>D15+F15</f>
        <v>267162.57115058298</v>
      </c>
      <c r="I15">
        <f t="shared" si="15"/>
        <v>3108</v>
      </c>
      <c r="J15" s="128">
        <f>'Pivot Table'!F25</f>
        <v>1351</v>
      </c>
      <c r="K15" s="120">
        <f t="shared" si="5"/>
        <v>3108</v>
      </c>
      <c r="L15" s="19">
        <f t="shared" si="2"/>
        <v>5.0568460775836932E-3</v>
      </c>
      <c r="M15" s="134">
        <f t="shared" si="6"/>
        <v>6.5700893331024114E-3</v>
      </c>
      <c r="N15" s="19"/>
      <c r="O15" s="120">
        <v>24835.923295362267</v>
      </c>
      <c r="P15" s="120">
        <v>3235.5850834179219</v>
      </c>
      <c r="Q15">
        <v>110.247</v>
      </c>
      <c r="R15">
        <v>17.473816666666664</v>
      </c>
      <c r="S15" s="120">
        <f t="shared" si="7"/>
        <v>249461702.95362267</v>
      </c>
      <c r="T15" s="127">
        <f t="shared" si="8"/>
        <v>32530589.000845883</v>
      </c>
      <c r="U15">
        <f t="shared" si="16"/>
        <v>58</v>
      </c>
      <c r="V15" s="120">
        <f>'Pivot Table'!F33</f>
        <v>0</v>
      </c>
      <c r="W15" s="133">
        <f t="shared" si="9"/>
        <v>58</v>
      </c>
      <c r="X15" s="19">
        <f t="shared" si="3"/>
        <v>0</v>
      </c>
      <c r="Y15" s="134">
        <f t="shared" si="10"/>
        <v>1.6989391929879433E-6</v>
      </c>
      <c r="AA15" s="120">
        <v>655841.18911558168</v>
      </c>
      <c r="AB15" s="120">
        <v>105941.4658869839</v>
      </c>
      <c r="AC15">
        <v>8243434.9507703893</v>
      </c>
      <c r="AD15">
        <v>937624.34216187801</v>
      </c>
      <c r="AE15" s="120">
        <f t="shared" si="11"/>
        <v>8899276.1398859713</v>
      </c>
      <c r="AF15" s="127">
        <f t="shared" si="12"/>
        <v>1043565.8080488619</v>
      </c>
      <c r="AG15">
        <f t="shared" si="17"/>
        <v>3497</v>
      </c>
      <c r="AH15" s="120">
        <f>'Pivot Table'!F9</f>
        <v>146</v>
      </c>
      <c r="AI15" s="133">
        <f t="shared" si="13"/>
        <v>3497</v>
      </c>
      <c r="AJ15" s="19">
        <f t="shared" si="4"/>
        <v>1.3990492872986501E-4</v>
      </c>
      <c r="AK15" s="134">
        <f t="shared" si="14"/>
        <v>1.4854603461961987E-3</v>
      </c>
    </row>
    <row r="16" spans="2:37" x14ac:dyDescent="0.2">
      <c r="B16">
        <v>2021</v>
      </c>
      <c r="C16" s="120">
        <v>586619.74028469704</v>
      </c>
      <c r="D16" s="124">
        <f>'Electric Ratio'!L70+'Electric Ratio'!L37</f>
        <v>44054</v>
      </c>
      <c r="E16" s="121">
        <v>1742574.0000000002</v>
      </c>
      <c r="F16" s="126">
        <v>188975.78129621223</v>
      </c>
      <c r="G16" s="120">
        <f>C16+E16</f>
        <v>2329193.7402846972</v>
      </c>
      <c r="H16" s="127">
        <f t="shared" ref="H16:H55" si="18">D16+F16</f>
        <v>233029.78129621223</v>
      </c>
      <c r="I16">
        <f t="shared" si="15"/>
        <v>4155</v>
      </c>
      <c r="J16" s="128">
        <f>'Pivot Table'!F26</f>
        <v>1047</v>
      </c>
      <c r="K16" s="120">
        <f t="shared" si="5"/>
        <v>4155</v>
      </c>
      <c r="L16" s="19">
        <f>J16/H16</f>
        <v>4.4929879527678138E-3</v>
      </c>
      <c r="M16" s="134">
        <f t="shared" si="6"/>
        <v>6.5700893331024114E-3</v>
      </c>
      <c r="N16" s="19"/>
      <c r="O16" s="120">
        <v>27041.873470711871</v>
      </c>
      <c r="P16" s="120">
        <v>3003.3142638253848</v>
      </c>
      <c r="Q16">
        <v>110.247</v>
      </c>
      <c r="R16">
        <v>20.79891666666667</v>
      </c>
      <c r="S16" s="120">
        <f t="shared" si="7"/>
        <v>271521204.70711869</v>
      </c>
      <c r="T16" s="127">
        <f t="shared" si="8"/>
        <v>30241131.804920513</v>
      </c>
      <c r="U16" s="128">
        <f>U15+V16</f>
        <v>77</v>
      </c>
      <c r="V16" s="120">
        <f>'Pivot Table'!F34</f>
        <v>19</v>
      </c>
      <c r="W16" s="133">
        <f t="shared" si="9"/>
        <v>77</v>
      </c>
      <c r="X16" s="19">
        <f>V16/T16</f>
        <v>6.2828336328696945E-7</v>
      </c>
      <c r="Y16" s="134">
        <f t="shared" si="10"/>
        <v>1.6989391929879433E-6</v>
      </c>
      <c r="AA16" s="120">
        <v>693274.02410557715</v>
      </c>
      <c r="AB16" s="120">
        <v>96003.920613862923</v>
      </c>
      <c r="AC16">
        <v>8310649.6418058099</v>
      </c>
      <c r="AD16">
        <v>845372.22439070791</v>
      </c>
      <c r="AE16" s="120">
        <f t="shared" si="11"/>
        <v>9003923.6659113877</v>
      </c>
      <c r="AF16" s="127">
        <f t="shared" si="12"/>
        <v>941376.14500457083</v>
      </c>
      <c r="AG16" s="128">
        <f>AG15+AH16</f>
        <v>4322</v>
      </c>
      <c r="AH16" s="120">
        <f>'Pivot Table'!F10</f>
        <v>825</v>
      </c>
      <c r="AI16" s="133">
        <f t="shared" si="13"/>
        <v>4322</v>
      </c>
      <c r="AJ16" s="19">
        <f>AH16/AF16</f>
        <v>8.7637657314547119E-4</v>
      </c>
      <c r="AK16" s="134">
        <f t="shared" si="14"/>
        <v>1.4854603461961987E-3</v>
      </c>
    </row>
    <row r="17" spans="2:37" x14ac:dyDescent="0.2">
      <c r="B17">
        <v>2022</v>
      </c>
      <c r="C17" s="120">
        <v>587768.75525428122</v>
      </c>
      <c r="D17" s="120">
        <v>52462.014969584183</v>
      </c>
      <c r="E17" s="121">
        <v>1742574.0000000002</v>
      </c>
      <c r="F17" s="122">
        <v>169965.1661316352</v>
      </c>
      <c r="G17" s="120">
        <f t="shared" ref="G17:G55" si="19">C17+E17</f>
        <v>2330342.7552542817</v>
      </c>
      <c r="H17" s="120">
        <f t="shared" si="18"/>
        <v>222427.18110121938</v>
      </c>
      <c r="J17" s="128">
        <f>2*2429.785*B17-9812843</f>
        <v>13207.539999999106</v>
      </c>
      <c r="K17" s="120">
        <f>SUM(J3:J17)</f>
        <v>17362.539999999106</v>
      </c>
      <c r="L17" s="19">
        <f t="shared" ref="L17:L55" si="20">J17/H17</f>
        <v>5.9379163709262599E-2</v>
      </c>
      <c r="M17" s="134">
        <f>B17*0.02244905-45.32156</f>
        <v>7.0419100000002288E-2</v>
      </c>
      <c r="N17" s="19"/>
      <c r="O17" s="120">
        <v>29146.603580395182</v>
      </c>
      <c r="P17" s="120">
        <v>3066.2659550901008</v>
      </c>
      <c r="Q17">
        <v>110.247</v>
      </c>
      <c r="R17">
        <v>18.300216666666671</v>
      </c>
      <c r="S17" s="131">
        <f t="shared" si="7"/>
        <v>292568505.8039518</v>
      </c>
      <c r="T17" s="131">
        <f t="shared" si="8"/>
        <v>30845661.717567671</v>
      </c>
      <c r="V17" s="120">
        <f>2*1741.681*B17-7041279</f>
        <v>2078.9640000006184</v>
      </c>
      <c r="W17" s="133">
        <f t="shared" ref="W17:W54" si="21">SUM(V9:V17)</f>
        <v>2155.9640000006184</v>
      </c>
      <c r="X17" s="19">
        <f>V17/T17</f>
        <v>6.739891071348216E-5</v>
      </c>
      <c r="Y17" s="134">
        <f>B17*0.0001262923-0.2554258</f>
        <v>-6.2769399999940134E-5</v>
      </c>
      <c r="AA17" s="120">
        <v>731295.76281721448</v>
      </c>
      <c r="AB17" s="120">
        <v>87114.676512645208</v>
      </c>
      <c r="AC17">
        <v>8375762.0830664467</v>
      </c>
      <c r="AD17">
        <v>717291.05183749553</v>
      </c>
      <c r="AE17" s="120">
        <f t="shared" si="11"/>
        <v>9107057.8458836619</v>
      </c>
      <c r="AF17" s="131">
        <f t="shared" si="12"/>
        <v>804405.72835014074</v>
      </c>
      <c r="AH17" s="120">
        <f>2*310.1729*B17-1251279</f>
        <v>3060.2076000000816</v>
      </c>
      <c r="AI17" s="133">
        <f t="shared" ref="AI17:AI54" si="22">SUM(AH3:AH17)</f>
        <v>7382.2076000000816</v>
      </c>
      <c r="AJ17" s="19">
        <f>AH17/AF17</f>
        <v>3.8043085623925819E-3</v>
      </c>
      <c r="AK17" s="134">
        <f>B17*0.000423519-0.851899</f>
        <v>4.456418000000073E-3</v>
      </c>
    </row>
    <row r="18" spans="2:37" x14ac:dyDescent="0.2">
      <c r="B18">
        <v>2023</v>
      </c>
      <c r="C18" s="120">
        <v>588877.95330083522</v>
      </c>
      <c r="D18" s="120">
        <v>62851.198046553996</v>
      </c>
      <c r="E18" s="121">
        <v>1742574.0000000002</v>
      </c>
      <c r="F18" s="122">
        <v>150118.52173749753</v>
      </c>
      <c r="G18" s="120">
        <f t="shared" si="19"/>
        <v>2331451.9533008356</v>
      </c>
      <c r="H18" s="120">
        <f t="shared" si="18"/>
        <v>212969.71978405153</v>
      </c>
      <c r="J18" s="128">
        <f>2*2429.785*B18-9812843</f>
        <v>18067.109999999404</v>
      </c>
      <c r="K18" s="120">
        <f t="shared" ref="K18:K29" si="23">SUM(J4:J18)</f>
        <v>35429.64999999851</v>
      </c>
      <c r="L18" s="19">
        <f t="shared" si="20"/>
        <v>8.4834172756198464E-2</v>
      </c>
      <c r="M18" s="134">
        <f t="shared" ref="M18:M55" si="24">B18*0.02244905-45.32156</f>
        <v>9.2868150000008143E-2</v>
      </c>
      <c r="N18" s="19"/>
      <c r="O18" s="120">
        <v>31123.529282521522</v>
      </c>
      <c r="P18" s="120">
        <v>3107.2305013178811</v>
      </c>
      <c r="Q18">
        <v>110.247</v>
      </c>
      <c r="R18">
        <v>16.941016666666641</v>
      </c>
      <c r="S18" s="131">
        <f t="shared" si="7"/>
        <v>312337762.82521522</v>
      </c>
      <c r="T18" s="131">
        <f t="shared" si="8"/>
        <v>31241715.179845478</v>
      </c>
      <c r="V18" s="120">
        <f t="shared" ref="V18:V55" si="25">2*1741.681*B18-7041279</f>
        <v>5562.3260000003502</v>
      </c>
      <c r="W18" s="133">
        <f t="shared" si="21"/>
        <v>7718.2900000009686</v>
      </c>
      <c r="X18" s="19">
        <f t="shared" ref="X18:X29" si="26">V18/T18</f>
        <v>1.7804163337321166E-4</v>
      </c>
      <c r="Y18" s="134">
        <f t="shared" ref="Y18:Y55" si="27">B18*0.0001262923-0.2554258</f>
        <v>6.3522900000057003E-5</v>
      </c>
      <c r="AA18" s="120">
        <v>769937.23717414483</v>
      </c>
      <c r="AB18" s="120">
        <v>81308.729871381773</v>
      </c>
      <c r="AC18">
        <v>8438986.8044072036</v>
      </c>
      <c r="AD18">
        <v>629554.45887613576</v>
      </c>
      <c r="AE18" s="120">
        <f t="shared" si="11"/>
        <v>9208924.0415813476</v>
      </c>
      <c r="AF18" s="131">
        <f t="shared" si="12"/>
        <v>710863.18874751753</v>
      </c>
      <c r="AH18" s="120">
        <f t="shared" ref="AH18:AH55" si="28">2*310.1729*B18-1251279</f>
        <v>3680.5534000000916</v>
      </c>
      <c r="AI18" s="133">
        <f t="shared" si="22"/>
        <v>11062.761000000173</v>
      </c>
      <c r="AJ18" s="19">
        <f t="shared" ref="AJ18:AJ29" si="29">AH18/AF18</f>
        <v>5.177583335669588E-3</v>
      </c>
      <c r="AK18" s="134">
        <f t="shared" ref="AK18:AK55" si="30">B18*0.000423519-0.851899</f>
        <v>4.8799370000001119E-3</v>
      </c>
    </row>
    <row r="19" spans="2:37" x14ac:dyDescent="0.2">
      <c r="B19">
        <v>2024</v>
      </c>
      <c r="C19" s="120">
        <v>589943.93537508044</v>
      </c>
      <c r="D19" s="120">
        <v>47964.982074245228</v>
      </c>
      <c r="E19" s="121">
        <v>1742574.0000000002</v>
      </c>
      <c r="F19" s="122">
        <v>131676.94560843962</v>
      </c>
      <c r="G19" s="120">
        <f t="shared" si="19"/>
        <v>2332517.9353750804</v>
      </c>
      <c r="H19" s="120">
        <f t="shared" si="18"/>
        <v>179641.92768268485</v>
      </c>
      <c r="J19" s="128">
        <f t="shared" ref="J19:J55" si="31">2*2429.785*B19-9812843</f>
        <v>22926.679999999702</v>
      </c>
      <c r="K19" s="120">
        <f t="shared" si="23"/>
        <v>58356.329999998212</v>
      </c>
      <c r="L19" s="19">
        <f t="shared" si="20"/>
        <v>0.1276243263237346</v>
      </c>
      <c r="M19" s="134">
        <f t="shared" si="24"/>
        <v>0.11531720000000689</v>
      </c>
      <c r="N19" s="19"/>
      <c r="O19" s="120">
        <v>32940.487382922904</v>
      </c>
      <c r="P19" s="120">
        <v>3114.8996969500804</v>
      </c>
      <c r="Q19">
        <v>110.247</v>
      </c>
      <c r="R19">
        <v>17.084316666666695</v>
      </c>
      <c r="S19" s="131">
        <f t="shared" si="7"/>
        <v>330507343.82922906</v>
      </c>
      <c r="T19" s="131">
        <f t="shared" si="8"/>
        <v>31319840.136167474</v>
      </c>
      <c r="V19" s="120">
        <f t="shared" si="25"/>
        <v>9045.688000000082</v>
      </c>
      <c r="W19" s="133">
        <f t="shared" si="21"/>
        <v>16763.978000001051</v>
      </c>
      <c r="X19" s="19">
        <f t="shared" si="26"/>
        <v>2.8881654442272577E-4</v>
      </c>
      <c r="Y19" s="134">
        <f t="shared" si="27"/>
        <v>1.8981520000005414E-4</v>
      </c>
      <c r="AA19" s="120">
        <v>808961.79239579861</v>
      </c>
      <c r="AB19" s="120">
        <v>82521.908079469576</v>
      </c>
      <c r="AC19">
        <v>8500091.5450949185</v>
      </c>
      <c r="AD19">
        <v>636360.19051713124</v>
      </c>
      <c r="AE19" s="120">
        <f t="shared" si="11"/>
        <v>9309053.3374907169</v>
      </c>
      <c r="AF19" s="131">
        <f t="shared" si="12"/>
        <v>718882.09859660082</v>
      </c>
      <c r="AH19" s="120">
        <f t="shared" si="28"/>
        <v>4300.8992000001017</v>
      </c>
      <c r="AI19" s="133">
        <f t="shared" si="22"/>
        <v>15363.660200000275</v>
      </c>
      <c r="AJ19" s="19">
        <f t="shared" si="29"/>
        <v>5.982760188904832E-3</v>
      </c>
      <c r="AK19" s="134">
        <f t="shared" si="30"/>
        <v>5.3034560000000397E-3</v>
      </c>
    </row>
    <row r="20" spans="2:37" x14ac:dyDescent="0.2">
      <c r="B20">
        <v>2025</v>
      </c>
      <c r="C20" s="120">
        <v>590980.9066927185</v>
      </c>
      <c r="D20" s="120">
        <v>25056.971317638061</v>
      </c>
      <c r="E20" s="121">
        <v>1742574.0000000002</v>
      </c>
      <c r="F20" s="122">
        <v>118714.73447234603</v>
      </c>
      <c r="G20" s="120">
        <f t="shared" si="19"/>
        <v>2333554.9066927186</v>
      </c>
      <c r="H20" s="120">
        <f t="shared" si="18"/>
        <v>143771.70578998409</v>
      </c>
      <c r="I20" s="123">
        <v>80000</v>
      </c>
      <c r="J20" s="128">
        <f t="shared" si="31"/>
        <v>27786.25</v>
      </c>
      <c r="K20" s="120">
        <f t="shared" si="23"/>
        <v>86142.579999998212</v>
      </c>
      <c r="L20" s="19">
        <f t="shared" si="20"/>
        <v>0.19326646955548427</v>
      </c>
      <c r="M20" s="134">
        <f t="shared" si="24"/>
        <v>0.13776625000000564</v>
      </c>
      <c r="N20" s="19"/>
      <c r="O20" s="120">
        <v>34601.131417039942</v>
      </c>
      <c r="P20" s="120">
        <v>3121.4590025090656</v>
      </c>
      <c r="Q20">
        <v>110.247</v>
      </c>
      <c r="R20">
        <v>16.688216666666648</v>
      </c>
      <c r="S20" s="131">
        <f t="shared" si="7"/>
        <v>347113784.17039943</v>
      </c>
      <c r="T20" s="131">
        <f t="shared" si="8"/>
        <v>31381472.191757321</v>
      </c>
      <c r="U20" s="123">
        <v>20000</v>
      </c>
      <c r="V20" s="120">
        <f t="shared" si="25"/>
        <v>12529.049999999814</v>
      </c>
      <c r="W20" s="133">
        <f t="shared" si="21"/>
        <v>29285.028000000864</v>
      </c>
      <c r="X20" s="19">
        <f t="shared" si="26"/>
        <v>3.9924991164980151E-4</v>
      </c>
      <c r="Y20" s="134">
        <f t="shared" si="27"/>
        <v>3.1610750000005128E-4</v>
      </c>
      <c r="AA20" s="120">
        <v>848776.36377009575</v>
      </c>
      <c r="AB20" s="120">
        <v>91126.169402761501</v>
      </c>
      <c r="AC20">
        <v>8559855.5368983522</v>
      </c>
      <c r="AD20">
        <v>732437.87410670985</v>
      </c>
      <c r="AE20" s="120">
        <f t="shared" si="11"/>
        <v>9408631.9006684478</v>
      </c>
      <c r="AF20" s="131">
        <f t="shared" si="12"/>
        <v>823564.04350947135</v>
      </c>
      <c r="AG20" s="123">
        <v>20000</v>
      </c>
      <c r="AH20" s="120">
        <f t="shared" si="28"/>
        <v>4921.2450000001118</v>
      </c>
      <c r="AI20" s="133">
        <f t="shared" si="22"/>
        <v>20284.905200000387</v>
      </c>
      <c r="AJ20" s="19">
        <f t="shared" si="29"/>
        <v>5.9755462113536472E-3</v>
      </c>
      <c r="AK20" s="134">
        <f t="shared" si="30"/>
        <v>5.7269750000000785E-3</v>
      </c>
    </row>
    <row r="21" spans="2:37" x14ac:dyDescent="0.2">
      <c r="B21">
        <v>2026</v>
      </c>
      <c r="C21" s="120">
        <v>591982.51948034752</v>
      </c>
      <c r="D21" s="120">
        <v>69505.612787629012</v>
      </c>
      <c r="E21" s="121">
        <v>1742574.0000000002</v>
      </c>
      <c r="F21" s="122">
        <v>115428.98889132496</v>
      </c>
      <c r="G21" s="120">
        <f t="shared" si="19"/>
        <v>2334556.5194803476</v>
      </c>
      <c r="H21" s="120">
        <f t="shared" si="18"/>
        <v>184934.60167895397</v>
      </c>
      <c r="J21" s="128">
        <f t="shared" si="31"/>
        <v>32645.820000000298</v>
      </c>
      <c r="K21" s="120">
        <f t="shared" si="23"/>
        <v>118788.39999999851</v>
      </c>
      <c r="L21" s="19">
        <f t="shared" si="20"/>
        <v>0.1765262947205162</v>
      </c>
      <c r="M21" s="134">
        <f t="shared" si="24"/>
        <v>0.16021530000000439</v>
      </c>
      <c r="N21" s="19"/>
      <c r="O21" s="120">
        <v>36083.427021151736</v>
      </c>
      <c r="P21" s="120">
        <v>3100.2856947151085</v>
      </c>
      <c r="Q21">
        <v>110.247</v>
      </c>
      <c r="R21">
        <v>2.9605000000000103</v>
      </c>
      <c r="S21" s="131">
        <f t="shared" si="7"/>
        <v>361936740.21151739</v>
      </c>
      <c r="T21" s="131">
        <f t="shared" si="8"/>
        <v>31032461.947151087</v>
      </c>
      <c r="V21" s="120">
        <f t="shared" si="25"/>
        <v>16012.412000000477</v>
      </c>
      <c r="W21" s="133">
        <f t="shared" si="21"/>
        <v>45247.440000001341</v>
      </c>
      <c r="X21" s="19">
        <f t="shared" si="26"/>
        <v>5.1598909642650785E-4</v>
      </c>
      <c r="Y21" s="134">
        <f t="shared" si="27"/>
        <v>4.4239980000004842E-4</v>
      </c>
      <c r="AA21" s="120">
        <v>889055.27465287992</v>
      </c>
      <c r="AB21" s="120">
        <v>103735.7381995091</v>
      </c>
      <c r="AC21">
        <v>8617885.5725148655</v>
      </c>
      <c r="AD21">
        <v>876665.89590541366</v>
      </c>
      <c r="AE21" s="120">
        <f t="shared" si="11"/>
        <v>9506940.8471677452</v>
      </c>
      <c r="AF21" s="131">
        <f t="shared" si="12"/>
        <v>980401.63410492276</v>
      </c>
      <c r="AH21" s="120">
        <f t="shared" si="28"/>
        <v>5541.5908000001218</v>
      </c>
      <c r="AI21" s="133">
        <f t="shared" si="22"/>
        <v>25826.496000000509</v>
      </c>
      <c r="AJ21" s="19">
        <f t="shared" si="29"/>
        <v>5.6523679757627373E-3</v>
      </c>
      <c r="AK21" s="134">
        <f t="shared" si="30"/>
        <v>6.1504940000001174E-3</v>
      </c>
    </row>
    <row r="22" spans="2:37" x14ac:dyDescent="0.2">
      <c r="B22">
        <v>2027</v>
      </c>
      <c r="C22" s="120">
        <v>592952.37405319174</v>
      </c>
      <c r="D22" s="120">
        <v>106963.85457284423</v>
      </c>
      <c r="E22" s="121">
        <v>1742574.0000000002</v>
      </c>
      <c r="F22" s="122">
        <v>122950.84220942203</v>
      </c>
      <c r="G22" s="120">
        <f t="shared" si="19"/>
        <v>2335526.3740531919</v>
      </c>
      <c r="H22" s="120">
        <f t="shared" si="18"/>
        <v>229914.69678226626</v>
      </c>
      <c r="J22" s="128">
        <f t="shared" si="31"/>
        <v>37505.389999998733</v>
      </c>
      <c r="K22" s="120">
        <f t="shared" si="23"/>
        <v>156293.78999999724</v>
      </c>
      <c r="L22" s="19">
        <f t="shared" si="20"/>
        <v>0.1631274143188727</v>
      </c>
      <c r="M22" s="134">
        <f t="shared" si="24"/>
        <v>0.18266435000000314</v>
      </c>
      <c r="N22" s="19"/>
      <c r="O22" s="120">
        <v>37387.913511522987</v>
      </c>
      <c r="P22" s="120">
        <v>3075.8227984194455</v>
      </c>
      <c r="Q22">
        <v>110.247</v>
      </c>
      <c r="R22">
        <v>17.473816666666664</v>
      </c>
      <c r="S22" s="131">
        <f t="shared" si="7"/>
        <v>374981605.1152299</v>
      </c>
      <c r="T22" s="131">
        <f t="shared" si="8"/>
        <v>30932966.150861122</v>
      </c>
      <c r="V22" s="120">
        <f t="shared" si="25"/>
        <v>19495.774000000209</v>
      </c>
      <c r="W22" s="133">
        <f t="shared" si="21"/>
        <v>64743.21400000155</v>
      </c>
      <c r="X22" s="19">
        <f t="shared" si="26"/>
        <v>6.3025879590462353E-4</v>
      </c>
      <c r="Y22" s="134">
        <f t="shared" si="27"/>
        <v>5.6869210000004555E-4</v>
      </c>
      <c r="AA22" s="120">
        <v>929838.77799504821</v>
      </c>
      <c r="AB22" s="120">
        <v>117708.52492051618</v>
      </c>
      <c r="AC22">
        <v>8674360.8599141482</v>
      </c>
      <c r="AD22">
        <v>1023057.9152855361</v>
      </c>
      <c r="AE22" s="120">
        <f t="shared" si="11"/>
        <v>9604199.6379091963</v>
      </c>
      <c r="AF22" s="131">
        <f t="shared" si="12"/>
        <v>1140766.4402060523</v>
      </c>
      <c r="AH22" s="120">
        <f t="shared" si="28"/>
        <v>6161.9366000001319</v>
      </c>
      <c r="AI22" s="133">
        <f t="shared" si="22"/>
        <v>31988.43260000064</v>
      </c>
      <c r="AJ22" s="19">
        <f t="shared" si="29"/>
        <v>5.4015759780653479E-3</v>
      </c>
      <c r="AK22" s="134">
        <f t="shared" si="30"/>
        <v>6.5740130000000452E-3</v>
      </c>
    </row>
    <row r="23" spans="2:37" x14ac:dyDescent="0.2">
      <c r="B23">
        <v>2028</v>
      </c>
      <c r="C23" s="120">
        <v>593897.07668127178</v>
      </c>
      <c r="D23" s="120">
        <v>69408.702628080035</v>
      </c>
      <c r="E23" s="121">
        <v>1742574.0000000002</v>
      </c>
      <c r="F23" s="122">
        <v>138142.30506683234</v>
      </c>
      <c r="G23" s="120">
        <f t="shared" si="19"/>
        <v>2336471.0766812721</v>
      </c>
      <c r="H23" s="120">
        <f t="shared" si="18"/>
        <v>207551.00769491238</v>
      </c>
      <c r="J23" s="128">
        <f t="shared" si="31"/>
        <v>42364.959999999031</v>
      </c>
      <c r="K23" s="120">
        <f t="shared" si="23"/>
        <v>198658.74999999627</v>
      </c>
      <c r="L23" s="19">
        <f t="shared" si="20"/>
        <v>0.20411830552166241</v>
      </c>
      <c r="M23" s="134">
        <f t="shared" si="24"/>
        <v>0.20511340000000189</v>
      </c>
      <c r="N23" s="19"/>
      <c r="O23" s="120">
        <v>38522.942076949599</v>
      </c>
      <c r="P23" s="120">
        <v>3060.0060347747494</v>
      </c>
      <c r="Q23">
        <v>110.247</v>
      </c>
      <c r="R23">
        <v>20.79891666666667</v>
      </c>
      <c r="S23" s="131">
        <f t="shared" si="7"/>
        <v>386331890.76949602</v>
      </c>
      <c r="T23" s="131">
        <f t="shared" si="8"/>
        <v>30808049.514414161</v>
      </c>
      <c r="V23" s="120">
        <f t="shared" si="25"/>
        <v>22979.13599999994</v>
      </c>
      <c r="W23" s="133">
        <f t="shared" si="21"/>
        <v>87722.35000000149</v>
      </c>
      <c r="X23" s="19">
        <f t="shared" si="26"/>
        <v>7.4588090976836078E-4</v>
      </c>
      <c r="Y23" s="134">
        <f t="shared" si="27"/>
        <v>6.9498440000004269E-4</v>
      </c>
      <c r="AA23" s="120">
        <v>971318.99279750348</v>
      </c>
      <c r="AB23" s="120">
        <v>129712.97348312603</v>
      </c>
      <c r="AC23">
        <v>8729641.4649668559</v>
      </c>
      <c r="AD23">
        <v>1118978.4337980095</v>
      </c>
      <c r="AE23" s="120">
        <f t="shared" si="11"/>
        <v>9700960.4577643592</v>
      </c>
      <c r="AF23" s="131">
        <f t="shared" si="12"/>
        <v>1248691.4072811357</v>
      </c>
      <c r="AH23" s="120">
        <f t="shared" si="28"/>
        <v>6782.2824000001419</v>
      </c>
      <c r="AI23" s="133">
        <f t="shared" si="22"/>
        <v>38770.715000000782</v>
      </c>
      <c r="AJ23" s="19">
        <f t="shared" si="29"/>
        <v>5.4315120296756798E-3</v>
      </c>
      <c r="AK23" s="134">
        <f t="shared" si="30"/>
        <v>6.997532000000084E-3</v>
      </c>
    </row>
    <row r="24" spans="2:37" x14ac:dyDescent="0.2">
      <c r="B24">
        <v>2029</v>
      </c>
      <c r="C24" s="120">
        <v>594811.92450751585</v>
      </c>
      <c r="D24" s="120">
        <v>51424.847826244077</v>
      </c>
      <c r="E24" s="121">
        <v>1742574.0000000002</v>
      </c>
      <c r="F24" s="122">
        <v>155503.92448796588</v>
      </c>
      <c r="G24" s="120">
        <f t="shared" si="19"/>
        <v>2337385.924507516</v>
      </c>
      <c r="H24" s="120">
        <f t="shared" si="18"/>
        <v>206928.77231420996</v>
      </c>
      <c r="J24" s="128">
        <f t="shared" si="31"/>
        <v>47224.529999999329</v>
      </c>
      <c r="K24" s="120">
        <f t="shared" si="23"/>
        <v>245883.2799999956</v>
      </c>
      <c r="L24" s="19">
        <f t="shared" si="20"/>
        <v>0.22821635421627823</v>
      </c>
      <c r="M24" s="134">
        <f t="shared" si="24"/>
        <v>0.22756245000000774</v>
      </c>
      <c r="N24" s="19"/>
      <c r="O24" s="120">
        <v>39488.315778372067</v>
      </c>
      <c r="P24" s="120">
        <v>3048.9213565131504</v>
      </c>
      <c r="Q24">
        <v>110.247</v>
      </c>
      <c r="R24">
        <v>18.300216666666671</v>
      </c>
      <c r="S24" s="131">
        <f t="shared" si="7"/>
        <v>395985627.78372067</v>
      </c>
      <c r="T24" s="131">
        <f t="shared" si="8"/>
        <v>30672215.731798168</v>
      </c>
      <c r="V24" s="120">
        <f t="shared" si="25"/>
        <v>26462.498000000603</v>
      </c>
      <c r="W24" s="133">
        <f t="shared" si="21"/>
        <v>114184.84800000209</v>
      </c>
      <c r="X24" s="19">
        <f t="shared" si="26"/>
        <v>8.6275143052566257E-4</v>
      </c>
      <c r="Y24" s="134">
        <f t="shared" si="27"/>
        <v>8.2127670000003983E-4</v>
      </c>
      <c r="AA24" s="120">
        <v>1013213.5481222192</v>
      </c>
      <c r="AB24" s="120">
        <v>136402.26799039776</v>
      </c>
      <c r="AC24">
        <v>8783430.5394155309</v>
      </c>
      <c r="AD24">
        <v>1123952.9056160515</v>
      </c>
      <c r="AE24" s="120">
        <f t="shared" si="11"/>
        <v>9796644.0875377506</v>
      </c>
      <c r="AF24" s="131">
        <f t="shared" si="12"/>
        <v>1260355.1736064493</v>
      </c>
      <c r="AH24" s="120">
        <f t="shared" si="28"/>
        <v>7402.628200000152</v>
      </c>
      <c r="AI24" s="133">
        <f t="shared" si="22"/>
        <v>46173.343200000934</v>
      </c>
      <c r="AJ24" s="19">
        <f t="shared" si="29"/>
        <v>5.8734461166354132E-3</v>
      </c>
      <c r="AK24" s="134">
        <f t="shared" si="30"/>
        <v>7.4210510000001229E-3</v>
      </c>
    </row>
    <row r="25" spans="2:37" x14ac:dyDescent="0.2">
      <c r="B25">
        <v>2030</v>
      </c>
      <c r="C25" s="120">
        <v>595703.04365318897</v>
      </c>
      <c r="D25" s="120">
        <v>46554.50817275024</v>
      </c>
      <c r="E25" s="121">
        <v>1742574.0000000002</v>
      </c>
      <c r="F25" s="122">
        <v>169887.21775025316</v>
      </c>
      <c r="G25" s="120">
        <f t="shared" si="19"/>
        <v>2338277.0436531892</v>
      </c>
      <c r="H25" s="120">
        <f t="shared" si="18"/>
        <v>216441.7259230034</v>
      </c>
      <c r="J25" s="128">
        <f t="shared" si="31"/>
        <v>52084.099999999627</v>
      </c>
      <c r="K25" s="120">
        <f t="shared" si="23"/>
        <v>297967.37999999523</v>
      </c>
      <c r="L25" s="19">
        <f t="shared" si="20"/>
        <v>0.24063798132217784</v>
      </c>
      <c r="M25" s="134">
        <f t="shared" si="24"/>
        <v>0.25001150000000649</v>
      </c>
      <c r="N25" s="19"/>
      <c r="O25" s="120">
        <v>40299.012119320527</v>
      </c>
      <c r="P25" s="120">
        <v>3059.8766116220067</v>
      </c>
      <c r="Q25">
        <v>110.247</v>
      </c>
      <c r="R25">
        <v>16.941016666666641</v>
      </c>
      <c r="S25" s="131">
        <f t="shared" si="7"/>
        <v>404092591.1932053</v>
      </c>
      <c r="T25" s="131">
        <f t="shared" si="8"/>
        <v>30768176.282886732</v>
      </c>
      <c r="V25" s="120">
        <f t="shared" si="25"/>
        <v>29945.860000000335</v>
      </c>
      <c r="W25" s="133">
        <f t="shared" si="21"/>
        <v>144111.70800000243</v>
      </c>
      <c r="X25" s="19">
        <f t="shared" si="26"/>
        <v>9.7327380487793912E-4</v>
      </c>
      <c r="Y25" s="134">
        <f t="shared" si="27"/>
        <v>9.4756900000003697E-4</v>
      </c>
      <c r="AA25" s="120">
        <v>1055716.1119028132</v>
      </c>
      <c r="AB25" s="120">
        <v>138232.430458638</v>
      </c>
      <c r="AC25">
        <v>8836066.223374581</v>
      </c>
      <c r="AD25">
        <v>1047689.9881497975</v>
      </c>
      <c r="AE25" s="120">
        <f t="shared" si="11"/>
        <v>9891782.3352773935</v>
      </c>
      <c r="AF25" s="131">
        <f t="shared" si="12"/>
        <v>1185922.4186084354</v>
      </c>
      <c r="AH25" s="120">
        <f t="shared" si="28"/>
        <v>8022.9740000001621</v>
      </c>
      <c r="AI25" s="133">
        <f t="shared" si="22"/>
        <v>54196.317200001096</v>
      </c>
      <c r="AJ25" s="19">
        <f t="shared" si="29"/>
        <v>6.7651760976188829E-3</v>
      </c>
      <c r="AK25" s="134">
        <f t="shared" si="30"/>
        <v>7.8445700000000507E-3</v>
      </c>
    </row>
    <row r="26" spans="2:37" x14ac:dyDescent="0.2">
      <c r="B26">
        <v>2031</v>
      </c>
      <c r="C26" s="120">
        <v>596571.34296877333</v>
      </c>
      <c r="D26" s="120">
        <v>64378.650573204271</v>
      </c>
      <c r="E26" s="121">
        <v>1742574.0000000002</v>
      </c>
      <c r="F26" s="122">
        <v>177754.64884456829</v>
      </c>
      <c r="G26" s="120">
        <f t="shared" si="19"/>
        <v>2339145.3429687736</v>
      </c>
      <c r="H26" s="120">
        <f t="shared" si="18"/>
        <v>242133.29941777256</v>
      </c>
      <c r="J26" s="128">
        <f t="shared" si="31"/>
        <v>56943.669999999925</v>
      </c>
      <c r="K26" s="120">
        <f t="shared" si="23"/>
        <v>354882.04999999516</v>
      </c>
      <c r="L26" s="19">
        <f t="shared" si="20"/>
        <v>0.23517488150917365</v>
      </c>
      <c r="M26" s="134">
        <f t="shared" si="24"/>
        <v>0.27246055000000524</v>
      </c>
      <c r="N26" s="19"/>
      <c r="O26" s="120">
        <v>40966.430576262144</v>
      </c>
      <c r="P26" s="120">
        <v>3086.0504703579209</v>
      </c>
      <c r="Q26">
        <v>110.247</v>
      </c>
      <c r="R26">
        <v>17.084316666666695</v>
      </c>
      <c r="S26" s="131">
        <f t="shared" si="7"/>
        <v>410766775.76262146</v>
      </c>
      <c r="T26" s="131">
        <f t="shared" si="8"/>
        <v>31031347.870245878</v>
      </c>
      <c r="V26" s="120">
        <f t="shared" si="25"/>
        <v>33429.222000000067</v>
      </c>
      <c r="W26" s="133">
        <f t="shared" si="21"/>
        <v>175461.96600000188</v>
      </c>
      <c r="X26" s="19">
        <f t="shared" si="26"/>
        <v>1.0772726386162996E-3</v>
      </c>
      <c r="Y26" s="134">
        <f t="shared" si="27"/>
        <v>1.0738613000000341E-3</v>
      </c>
      <c r="AA26" s="120">
        <v>1098802.9694254152</v>
      </c>
      <c r="AB26" s="120">
        <v>137163.45548060734</v>
      </c>
      <c r="AC26">
        <v>8887584.1757232081</v>
      </c>
      <c r="AD26">
        <v>939485.44594308455</v>
      </c>
      <c r="AE26" s="120">
        <f t="shared" si="11"/>
        <v>9986387.1451486237</v>
      </c>
      <c r="AF26" s="131">
        <f t="shared" si="12"/>
        <v>1076648.9014236918</v>
      </c>
      <c r="AH26" s="120">
        <f t="shared" si="28"/>
        <v>8643.3198000001721</v>
      </c>
      <c r="AI26" s="133">
        <f t="shared" si="22"/>
        <v>62839.637000001268</v>
      </c>
      <c r="AJ26" s="19">
        <f t="shared" si="29"/>
        <v>8.0279836709727728E-3</v>
      </c>
      <c r="AK26" s="134">
        <f t="shared" si="30"/>
        <v>8.2680890000000895E-3</v>
      </c>
    </row>
    <row r="27" spans="2:37" x14ac:dyDescent="0.2">
      <c r="B27">
        <v>2032</v>
      </c>
      <c r="C27" s="120">
        <v>597415.16805669339</v>
      </c>
      <c r="D27" s="120">
        <v>53305.840057504247</v>
      </c>
      <c r="E27" s="121">
        <v>1742574.0000000002</v>
      </c>
      <c r="F27" s="122">
        <v>177865.08585750451</v>
      </c>
      <c r="G27" s="120">
        <f t="shared" si="19"/>
        <v>2339989.1680566939</v>
      </c>
      <c r="H27" s="120">
        <f t="shared" si="18"/>
        <v>231170.92591500876</v>
      </c>
      <c r="J27" s="128">
        <f t="shared" si="31"/>
        <v>61803.240000000224</v>
      </c>
      <c r="K27" s="120">
        <f t="shared" si="23"/>
        <v>416570.28999999538</v>
      </c>
      <c r="L27" s="19">
        <f t="shared" si="20"/>
        <v>0.26734867179068411</v>
      </c>
      <c r="M27" s="134">
        <f t="shared" si="24"/>
        <v>0.29490960000000399</v>
      </c>
      <c r="N27" s="19"/>
      <c r="O27" s="120">
        <v>41502.161414973692</v>
      </c>
      <c r="P27" s="120">
        <v>3118.5915082301217</v>
      </c>
      <c r="Q27">
        <v>110.247</v>
      </c>
      <c r="R27">
        <v>16.688216666666648</v>
      </c>
      <c r="S27" s="131">
        <f t="shared" si="7"/>
        <v>416124084.14973694</v>
      </c>
      <c r="T27" s="131">
        <f t="shared" si="8"/>
        <v>31352797.248967882</v>
      </c>
      <c r="V27" s="120">
        <f t="shared" si="25"/>
        <v>36912.583999999799</v>
      </c>
      <c r="W27" s="133">
        <f t="shared" si="21"/>
        <v>206812.22400000133</v>
      </c>
      <c r="X27" s="19">
        <f t="shared" si="26"/>
        <v>1.1773298473779701E-3</v>
      </c>
      <c r="Y27" s="134">
        <f t="shared" si="27"/>
        <v>1.2001536000000312E-3</v>
      </c>
      <c r="AA27" s="120">
        <v>1142320.8665719801</v>
      </c>
      <c r="AB27" s="120">
        <v>135372.99020377221</v>
      </c>
      <c r="AC27">
        <v>8937868.6326410081</v>
      </c>
      <c r="AD27">
        <v>849070.79732001945</v>
      </c>
      <c r="AE27" s="120">
        <f t="shared" si="11"/>
        <v>10080189.499212988</v>
      </c>
      <c r="AF27" s="131">
        <f t="shared" si="12"/>
        <v>984443.78752379166</v>
      </c>
      <c r="AH27" s="120">
        <f t="shared" si="28"/>
        <v>9263.6656000001822</v>
      </c>
      <c r="AI27" s="133">
        <f t="shared" si="22"/>
        <v>71170.302600001451</v>
      </c>
      <c r="AJ27" s="19">
        <f t="shared" si="29"/>
        <v>9.4100503425405598E-3</v>
      </c>
      <c r="AK27" s="134">
        <f t="shared" si="30"/>
        <v>8.6916080000001283E-3</v>
      </c>
    </row>
    <row r="28" spans="2:37" x14ac:dyDescent="0.2">
      <c r="B28">
        <v>2033</v>
      </c>
      <c r="C28" s="120">
        <v>598240.27112777077</v>
      </c>
      <c r="D28" s="120">
        <v>63676.301117631374</v>
      </c>
      <c r="E28" s="121">
        <v>1742574.0000000002</v>
      </c>
      <c r="F28" s="122">
        <v>171749.67404167214</v>
      </c>
      <c r="G28" s="120">
        <f t="shared" si="19"/>
        <v>2340814.2711277711</v>
      </c>
      <c r="H28" s="120">
        <f t="shared" si="18"/>
        <v>235425.97515930352</v>
      </c>
      <c r="J28" s="128">
        <f t="shared" si="31"/>
        <v>66662.809999998659</v>
      </c>
      <c r="K28" s="120">
        <f t="shared" si="23"/>
        <v>482796.09999999404</v>
      </c>
      <c r="L28" s="19">
        <f t="shared" si="20"/>
        <v>0.28315826218789386</v>
      </c>
      <c r="M28" s="134">
        <f t="shared" si="24"/>
        <v>0.31735865000000274</v>
      </c>
      <c r="N28" s="19"/>
      <c r="O28" s="120">
        <v>41922.915194954738</v>
      </c>
      <c r="P28" s="120">
        <v>3150.8534070139794</v>
      </c>
      <c r="Q28">
        <v>110.247</v>
      </c>
      <c r="R28">
        <v>2.9605000000000103</v>
      </c>
      <c r="S28" s="131">
        <f t="shared" si="7"/>
        <v>420331621.94954741</v>
      </c>
      <c r="T28" s="131">
        <f t="shared" si="8"/>
        <v>31538139.070139796</v>
      </c>
      <c r="V28" s="120">
        <f t="shared" si="25"/>
        <v>40395.946000000462</v>
      </c>
      <c r="W28" s="133">
        <f t="shared" si="21"/>
        <v>238162.48200000171</v>
      </c>
      <c r="X28" s="19">
        <f t="shared" si="26"/>
        <v>1.2808601645823551E-3</v>
      </c>
      <c r="Y28" s="134">
        <f t="shared" si="27"/>
        <v>1.3264459000000284E-3</v>
      </c>
      <c r="AA28" s="120">
        <v>1186496.0234071284</v>
      </c>
      <c r="AB28" s="120">
        <v>135163.39044429618</v>
      </c>
      <c r="AC28">
        <v>8987245.7710331734</v>
      </c>
      <c r="AD28">
        <v>803440.98044702783</v>
      </c>
      <c r="AE28" s="120">
        <f t="shared" si="11"/>
        <v>10173741.794440301</v>
      </c>
      <c r="AF28" s="131">
        <f t="shared" si="12"/>
        <v>938604.37089132401</v>
      </c>
      <c r="AH28" s="120">
        <f t="shared" si="28"/>
        <v>9884.0114000001922</v>
      </c>
      <c r="AI28" s="133">
        <f t="shared" si="22"/>
        <v>80650.314000001643</v>
      </c>
      <c r="AJ28" s="19">
        <f t="shared" si="29"/>
        <v>1.0530540562701694E-2</v>
      </c>
      <c r="AK28" s="134">
        <f t="shared" si="30"/>
        <v>9.1151270000000562E-3</v>
      </c>
    </row>
    <row r="29" spans="2:37" x14ac:dyDescent="0.2">
      <c r="B29">
        <v>2034</v>
      </c>
      <c r="C29" s="120">
        <v>599044.9990964242</v>
      </c>
      <c r="D29" s="120">
        <v>48769.71004289866</v>
      </c>
      <c r="E29" s="121">
        <v>1742574.0000000002</v>
      </c>
      <c r="F29" s="122">
        <v>162472.8341498794</v>
      </c>
      <c r="G29" s="120">
        <f t="shared" si="19"/>
        <v>2341618.9990964243</v>
      </c>
      <c r="H29" s="120">
        <f t="shared" si="18"/>
        <v>211242.54419277806</v>
      </c>
      <c r="J29" s="128">
        <f t="shared" si="31"/>
        <v>71522.379999998957</v>
      </c>
      <c r="K29" s="120">
        <f t="shared" si="23"/>
        <v>553142.479999993</v>
      </c>
      <c r="L29" s="19">
        <f t="shared" si="20"/>
        <v>0.33857942903172134</v>
      </c>
      <c r="M29" s="134">
        <f t="shared" si="24"/>
        <v>0.33980770000000859</v>
      </c>
      <c r="N29" s="19"/>
      <c r="O29" s="120">
        <v>42240.835350808069</v>
      </c>
      <c r="P29" s="120">
        <v>3168.6943635924763</v>
      </c>
      <c r="Q29">
        <v>110.247</v>
      </c>
      <c r="R29">
        <v>17.473816666666664</v>
      </c>
      <c r="S29" s="131">
        <f t="shared" si="7"/>
        <v>423510823.50808072</v>
      </c>
      <c r="T29" s="131">
        <f t="shared" si="8"/>
        <v>31861681.802591428</v>
      </c>
      <c r="V29" s="120">
        <f t="shared" si="25"/>
        <v>43879.308000000194</v>
      </c>
      <c r="W29" s="133">
        <f t="shared" si="21"/>
        <v>269512.74000000209</v>
      </c>
      <c r="X29" s="19">
        <f t="shared" si="26"/>
        <v>1.3771811629991022E-3</v>
      </c>
      <c r="Y29" s="134">
        <f t="shared" si="27"/>
        <v>1.4527382000000255E-3</v>
      </c>
      <c r="AA29" s="120">
        <v>1231184.7283685815</v>
      </c>
      <c r="AB29" s="120">
        <v>137712.87946641375</v>
      </c>
      <c r="AC29">
        <v>9035602.8501678053</v>
      </c>
      <c r="AD29">
        <v>807353.15694056265</v>
      </c>
      <c r="AE29" s="120">
        <f t="shared" si="11"/>
        <v>10266787.578536388</v>
      </c>
      <c r="AF29" s="131">
        <f t="shared" si="12"/>
        <v>945066.0364069764</v>
      </c>
      <c r="AH29" s="120">
        <f t="shared" si="28"/>
        <v>10504.357200000202</v>
      </c>
      <c r="AI29" s="133">
        <f t="shared" si="22"/>
        <v>89140.671200001845</v>
      </c>
      <c r="AJ29" s="19">
        <f t="shared" si="29"/>
        <v>1.111494519466223E-2</v>
      </c>
      <c r="AK29" s="134">
        <f t="shared" si="30"/>
        <v>9.538646000000095E-3</v>
      </c>
    </row>
    <row r="30" spans="2:37" x14ac:dyDescent="0.2">
      <c r="B30">
        <v>2035</v>
      </c>
      <c r="C30" s="120">
        <v>599829.2573309727</v>
      </c>
      <c r="D30" s="120">
        <v>25841.22955218656</v>
      </c>
      <c r="E30" s="121">
        <v>1742574.0000000002</v>
      </c>
      <c r="F30" s="122">
        <v>152775.00690761767</v>
      </c>
      <c r="G30" s="120">
        <f t="shared" si="19"/>
        <v>2342403.2573309727</v>
      </c>
      <c r="H30" s="120">
        <f t="shared" si="18"/>
        <v>178616.23645980423</v>
      </c>
      <c r="I30" s="123">
        <v>600000</v>
      </c>
      <c r="J30" s="128">
        <f t="shared" si="31"/>
        <v>76381.949999999255</v>
      </c>
      <c r="K30" s="120">
        <f>SUM(J16:J30)</f>
        <v>628173.42999999225</v>
      </c>
      <c r="L30" s="19">
        <f>J30/H30</f>
        <v>0.42763161688936513</v>
      </c>
      <c r="M30" s="134">
        <f t="shared" si="24"/>
        <v>0.36225675000000734</v>
      </c>
      <c r="N30" s="19"/>
      <c r="O30" s="120">
        <v>42468.937346949322</v>
      </c>
      <c r="P30" s="120">
        <v>3169.2100318395824</v>
      </c>
      <c r="Q30">
        <v>110.247</v>
      </c>
      <c r="R30">
        <v>20.79891666666667</v>
      </c>
      <c r="S30" s="131">
        <f t="shared" si="7"/>
        <v>425791843.46949327</v>
      </c>
      <c r="T30" s="131">
        <f t="shared" si="8"/>
        <v>31900089.485062491</v>
      </c>
      <c r="U30" s="123">
        <v>320000</v>
      </c>
      <c r="V30" s="120">
        <f t="shared" si="25"/>
        <v>47362.669999999925</v>
      </c>
      <c r="W30" s="133">
        <f t="shared" si="21"/>
        <v>300862.99800000153</v>
      </c>
      <c r="X30" s="19">
        <f>V30/T30</f>
        <v>1.4847190325963796E-3</v>
      </c>
      <c r="Y30" s="134">
        <f t="shared" si="27"/>
        <v>1.5790305000000227E-3</v>
      </c>
      <c r="AA30" s="120">
        <v>1276316.3451286487</v>
      </c>
      <c r="AB30" s="120">
        <v>143648.33105645305</v>
      </c>
      <c r="AC30">
        <v>9082919.8026507888</v>
      </c>
      <c r="AD30">
        <v>853927.38757880311</v>
      </c>
      <c r="AE30" s="120">
        <f t="shared" si="11"/>
        <v>10359236.147779437</v>
      </c>
      <c r="AF30" s="131">
        <f t="shared" si="12"/>
        <v>997575.71863525617</v>
      </c>
      <c r="AG30" s="123">
        <v>100000</v>
      </c>
      <c r="AH30" s="120">
        <f t="shared" si="28"/>
        <v>11124.703000000212</v>
      </c>
      <c r="AI30" s="133">
        <f t="shared" si="22"/>
        <v>100119.37420000206</v>
      </c>
      <c r="AJ30" s="19">
        <f>AH30/AF30</f>
        <v>1.1151737950498111E-2</v>
      </c>
      <c r="AK30" s="134">
        <f t="shared" si="30"/>
        <v>9.9621650000001338E-3</v>
      </c>
    </row>
    <row r="31" spans="2:37" x14ac:dyDescent="0.2">
      <c r="B31">
        <v>2036</v>
      </c>
      <c r="C31" s="120">
        <v>600598.37143170147</v>
      </c>
      <c r="D31" s="120">
        <v>70274.726888357778</v>
      </c>
      <c r="E31" s="121">
        <v>1742574.0000000002</v>
      </c>
      <c r="F31" s="122">
        <v>144613.74388742214</v>
      </c>
      <c r="G31" s="120">
        <f t="shared" si="19"/>
        <v>2343172.3714317018</v>
      </c>
      <c r="H31" s="120">
        <f t="shared" si="18"/>
        <v>214888.47077577992</v>
      </c>
      <c r="J31" s="128">
        <f t="shared" si="31"/>
        <v>81241.519999999553</v>
      </c>
      <c r="K31" s="120">
        <f t="shared" ref="K31:K55" si="32">SUM(J17:J31)</f>
        <v>708367.9499999918</v>
      </c>
      <c r="L31" s="19">
        <f t="shared" si="20"/>
        <v>0.37806365184090779</v>
      </c>
      <c r="M31" s="134">
        <f t="shared" si="24"/>
        <v>0.38470580000000609</v>
      </c>
      <c r="N31" s="19"/>
      <c r="O31" s="120">
        <v>42620.8657042618</v>
      </c>
      <c r="P31" s="120">
        <v>3155.3009222336113</v>
      </c>
      <c r="Q31">
        <v>110.247</v>
      </c>
      <c r="R31">
        <v>18.300216666666671</v>
      </c>
      <c r="S31" s="131">
        <f t="shared" si="7"/>
        <v>427311127.04261804</v>
      </c>
      <c r="T31" s="131">
        <f t="shared" si="8"/>
        <v>31736011.389002778</v>
      </c>
      <c r="V31" s="120">
        <f t="shared" si="25"/>
        <v>50846.032000000589</v>
      </c>
      <c r="W31" s="133">
        <f t="shared" si="21"/>
        <v>332213.25600000191</v>
      </c>
      <c r="X31" s="19">
        <f t="shared" ref="X31:X55" si="33">V31/T31</f>
        <v>1.602155714426667E-3</v>
      </c>
      <c r="Y31" s="134">
        <f t="shared" si="27"/>
        <v>1.7053228000000198E-3</v>
      </c>
      <c r="AA31" s="120">
        <v>1322138.9201512709</v>
      </c>
      <c r="AB31" s="120">
        <v>152502.86630557268</v>
      </c>
      <c r="AC31">
        <v>9129505.0707791988</v>
      </c>
      <c r="AD31">
        <v>926613.34559672605</v>
      </c>
      <c r="AE31" s="120">
        <f t="shared" si="11"/>
        <v>10451643.99093047</v>
      </c>
      <c r="AF31" s="131">
        <f t="shared" si="12"/>
        <v>1079116.2119022987</v>
      </c>
      <c r="AH31" s="120">
        <f t="shared" si="28"/>
        <v>11745.048800000222</v>
      </c>
      <c r="AI31" s="133">
        <f t="shared" si="22"/>
        <v>111039.42300000228</v>
      </c>
      <c r="AJ31" s="19">
        <f t="shared" ref="AJ31:AJ55" si="34">AH31/AF31</f>
        <v>1.088395176576552E-2</v>
      </c>
      <c r="AK31" s="134">
        <f t="shared" si="30"/>
        <v>1.0385684000000062E-2</v>
      </c>
    </row>
    <row r="32" spans="2:37" x14ac:dyDescent="0.2">
      <c r="B32">
        <v>2037</v>
      </c>
      <c r="C32" s="120">
        <v>601349.33712097339</v>
      </c>
      <c r="D32" s="120">
        <v>107714.82026211615</v>
      </c>
      <c r="E32" s="121">
        <v>1742574.0000000002</v>
      </c>
      <c r="F32" s="122">
        <v>139439.82654064312</v>
      </c>
      <c r="G32" s="120">
        <f t="shared" si="19"/>
        <v>2343923.3371209735</v>
      </c>
      <c r="H32" s="120">
        <f t="shared" si="18"/>
        <v>247154.64680275926</v>
      </c>
      <c r="J32" s="128">
        <f t="shared" si="31"/>
        <v>86101.089999999851</v>
      </c>
      <c r="K32" s="120">
        <f t="shared" si="32"/>
        <v>781261.49999999255</v>
      </c>
      <c r="L32" s="19">
        <f t="shared" si="20"/>
        <v>0.34836929474650935</v>
      </c>
      <c r="M32" s="134">
        <f t="shared" si="24"/>
        <v>0.40715485000000484</v>
      </c>
      <c r="N32" s="19"/>
      <c r="O32" s="120">
        <v>42706.617684086385</v>
      </c>
      <c r="P32" s="120">
        <v>3129.0747381240872</v>
      </c>
      <c r="Q32">
        <v>110.247</v>
      </c>
      <c r="R32">
        <v>16.941016666666641</v>
      </c>
      <c r="S32" s="131">
        <f t="shared" si="7"/>
        <v>428168646.84086388</v>
      </c>
      <c r="T32" s="131">
        <f t="shared" si="8"/>
        <v>31460157.547907539</v>
      </c>
      <c r="V32" s="120">
        <f t="shared" si="25"/>
        <v>54329.39400000032</v>
      </c>
      <c r="W32" s="133">
        <f t="shared" si="21"/>
        <v>363563.51400000229</v>
      </c>
      <c r="X32" s="19">
        <f t="shared" si="33"/>
        <v>1.7269269525197863E-3</v>
      </c>
      <c r="Y32" s="134">
        <f t="shared" si="27"/>
        <v>1.8316151000000169E-3</v>
      </c>
      <c r="AA32" s="120">
        <v>1368427.2025641876</v>
      </c>
      <c r="AB32" s="120">
        <v>162137.77144250809</v>
      </c>
      <c r="AC32">
        <v>9175165.8344062846</v>
      </c>
      <c r="AD32">
        <v>1000206.5243247291</v>
      </c>
      <c r="AE32" s="120">
        <f t="shared" si="11"/>
        <v>10543593.036970472</v>
      </c>
      <c r="AF32" s="131">
        <f t="shared" si="12"/>
        <v>1162344.2957672372</v>
      </c>
      <c r="AH32" s="120">
        <f t="shared" si="28"/>
        <v>12365.3946</v>
      </c>
      <c r="AI32" s="133">
        <f t="shared" si="22"/>
        <v>120344.6100000022</v>
      </c>
      <c r="AJ32" s="19">
        <f t="shared" si="34"/>
        <v>1.0638323468381528E-2</v>
      </c>
      <c r="AK32" s="134">
        <f t="shared" si="30"/>
        <v>1.08092030000001E-2</v>
      </c>
    </row>
    <row r="33" spans="2:37" x14ac:dyDescent="0.2">
      <c r="B33">
        <v>2038</v>
      </c>
      <c r="C33" s="120">
        <v>602086.56806167925</v>
      </c>
      <c r="D33" s="120">
        <v>70145.933568785898</v>
      </c>
      <c r="E33" s="121">
        <v>1742574.0000000002</v>
      </c>
      <c r="F33" s="122">
        <v>138102.04024373926</v>
      </c>
      <c r="G33" s="120">
        <f t="shared" si="19"/>
        <v>2344660.5680616796</v>
      </c>
      <c r="H33" s="120">
        <f t="shared" si="18"/>
        <v>208247.97381252516</v>
      </c>
      <c r="J33" s="128">
        <f t="shared" si="31"/>
        <v>90960.660000000149</v>
      </c>
      <c r="K33" s="120">
        <f t="shared" si="32"/>
        <v>854155.04999999329</v>
      </c>
      <c r="L33" s="19">
        <f t="shared" si="20"/>
        <v>0.43679013214259316</v>
      </c>
      <c r="M33" s="134">
        <f t="shared" si="24"/>
        <v>0.42960390000000359</v>
      </c>
      <c r="N33" s="19"/>
      <c r="O33" s="120">
        <v>42736.869606295812</v>
      </c>
      <c r="P33" s="120">
        <v>3097.421880944079</v>
      </c>
      <c r="Q33">
        <v>110.247</v>
      </c>
      <c r="R33">
        <v>17.084316666666695</v>
      </c>
      <c r="S33" s="131">
        <f t="shared" si="7"/>
        <v>428471166.06295812</v>
      </c>
      <c r="T33" s="131">
        <f t="shared" si="8"/>
        <v>31145061.97610746</v>
      </c>
      <c r="V33" s="120">
        <f t="shared" si="25"/>
        <v>57812.756000000052</v>
      </c>
      <c r="W33" s="133">
        <f t="shared" si="21"/>
        <v>394913.77200000174</v>
      </c>
      <c r="X33" s="19">
        <f t="shared" si="33"/>
        <v>1.8562414820156845E-3</v>
      </c>
      <c r="Y33" s="134">
        <f t="shared" si="27"/>
        <v>1.9579074000000141E-3</v>
      </c>
      <c r="AA33" s="120">
        <v>1415401.0840065249</v>
      </c>
      <c r="AB33" s="120">
        <v>171207.79006728274</v>
      </c>
      <c r="AC33">
        <v>9220159.4228027817</v>
      </c>
      <c r="AD33">
        <v>1050890.2098171245</v>
      </c>
      <c r="AE33" s="120">
        <f t="shared" si="11"/>
        <v>10635560.506809307</v>
      </c>
      <c r="AF33" s="131">
        <f t="shared" si="12"/>
        <v>1222097.9998844073</v>
      </c>
      <c r="AH33" s="120">
        <f t="shared" si="28"/>
        <v>12985.74040000001</v>
      </c>
      <c r="AI33" s="133">
        <f t="shared" si="22"/>
        <v>129649.79700000212</v>
      </c>
      <c r="AJ33" s="19">
        <f t="shared" si="34"/>
        <v>1.0625776657214292E-2</v>
      </c>
      <c r="AK33" s="134">
        <f t="shared" si="30"/>
        <v>1.1232722000000028E-2</v>
      </c>
    </row>
    <row r="34" spans="2:37" x14ac:dyDescent="0.2">
      <c r="B34">
        <v>2039</v>
      </c>
      <c r="C34" s="120">
        <v>602808.63565023907</v>
      </c>
      <c r="D34" s="120">
        <v>52146.915414803894</v>
      </c>
      <c r="E34" s="121">
        <v>1742574.0000000002</v>
      </c>
      <c r="F34" s="122">
        <v>140561.70237339893</v>
      </c>
      <c r="G34" s="120">
        <f t="shared" si="19"/>
        <v>2345382.6356502394</v>
      </c>
      <c r="H34" s="120">
        <f t="shared" si="18"/>
        <v>192708.61778820283</v>
      </c>
      <c r="J34" s="128">
        <f t="shared" si="31"/>
        <v>95820.229999998584</v>
      </c>
      <c r="K34" s="120">
        <f t="shared" si="32"/>
        <v>927048.59999999218</v>
      </c>
      <c r="L34" s="19">
        <f t="shared" si="20"/>
        <v>0.4972285676674314</v>
      </c>
      <c r="M34" s="134">
        <f t="shared" si="24"/>
        <v>0.45205295000000234</v>
      </c>
      <c r="N34" s="19"/>
      <c r="O34" s="120">
        <v>42719.893069946716</v>
      </c>
      <c r="P34" s="120">
        <v>3063.0553979756296</v>
      </c>
      <c r="Q34">
        <v>110.247</v>
      </c>
      <c r="R34">
        <v>16.688216666666648</v>
      </c>
      <c r="S34" s="131">
        <f t="shared" si="7"/>
        <v>428301400.69946718</v>
      </c>
      <c r="T34" s="131">
        <f t="shared" si="8"/>
        <v>30797436.14642296</v>
      </c>
      <c r="V34" s="120">
        <f t="shared" si="25"/>
        <v>61296.117999999784</v>
      </c>
      <c r="W34" s="133">
        <f t="shared" si="21"/>
        <v>426264.03000000119</v>
      </c>
      <c r="X34" s="19">
        <f t="shared" si="33"/>
        <v>1.9902993777980173E-3</v>
      </c>
      <c r="Y34" s="134">
        <f t="shared" si="27"/>
        <v>2.0841997000000667E-3</v>
      </c>
      <c r="AA34" s="120">
        <v>1462929.8422450339</v>
      </c>
      <c r="AB34" s="120">
        <v>178100.50098629273</v>
      </c>
      <c r="AC34">
        <v>9264389.4630243592</v>
      </c>
      <c r="AD34">
        <v>1063914.4570521796</v>
      </c>
      <c r="AE34" s="120">
        <f t="shared" si="11"/>
        <v>10727319.305269394</v>
      </c>
      <c r="AF34" s="131">
        <f t="shared" si="12"/>
        <v>1242014.9580384723</v>
      </c>
      <c r="AH34" s="120">
        <f t="shared" si="28"/>
        <v>13606.08620000002</v>
      </c>
      <c r="AI34" s="133">
        <f t="shared" si="22"/>
        <v>138954.98400000203</v>
      </c>
      <c r="AJ34" s="19">
        <f t="shared" si="34"/>
        <v>1.0954848902535166E-2</v>
      </c>
      <c r="AK34" s="134">
        <f t="shared" si="30"/>
        <v>1.1656241000000067E-2</v>
      </c>
    </row>
    <row r="35" spans="2:37" x14ac:dyDescent="0.2">
      <c r="B35">
        <v>2040</v>
      </c>
      <c r="C35" s="120">
        <v>603515.26922718866</v>
      </c>
      <c r="D35" s="120">
        <v>47261.141749699833</v>
      </c>
      <c r="E35" s="121">
        <v>1742574.0000000002</v>
      </c>
      <c r="F35" s="122">
        <v>145865.05111100432</v>
      </c>
      <c r="G35" s="120">
        <f t="shared" si="19"/>
        <v>2346089.269227189</v>
      </c>
      <c r="H35" s="120">
        <f t="shared" si="18"/>
        <v>193126.19286070415</v>
      </c>
      <c r="J35" s="128">
        <f t="shared" si="31"/>
        <v>100679.79999999888</v>
      </c>
      <c r="K35" s="120">
        <f t="shared" si="32"/>
        <v>999942.14999999106</v>
      </c>
      <c r="L35" s="19">
        <f t="shared" si="20"/>
        <v>0.52131613277654187</v>
      </c>
      <c r="M35" s="134">
        <f t="shared" si="24"/>
        <v>0.4745020000000082</v>
      </c>
      <c r="N35" s="19"/>
      <c r="O35" s="120">
        <v>42663.220902883411</v>
      </c>
      <c r="P35" s="120">
        <v>3029.25096014671</v>
      </c>
      <c r="Q35">
        <v>110.247</v>
      </c>
      <c r="R35">
        <v>2.9605000000000103</v>
      </c>
      <c r="S35" s="131">
        <f t="shared" si="7"/>
        <v>427734679.02883416</v>
      </c>
      <c r="T35" s="131">
        <f t="shared" si="8"/>
        <v>30322114.601467103</v>
      </c>
      <c r="V35" s="120">
        <f t="shared" si="25"/>
        <v>64779.480000000447</v>
      </c>
      <c r="W35" s="133">
        <f t="shared" si="21"/>
        <v>457614.28800000157</v>
      </c>
      <c r="X35" s="19">
        <f t="shared" si="33"/>
        <v>2.1363773882995007E-3</v>
      </c>
      <c r="Y35" s="134">
        <f t="shared" si="27"/>
        <v>2.2104920000000639E-3</v>
      </c>
      <c r="AA35" s="120">
        <v>1510946.9873408903</v>
      </c>
      <c r="AB35" s="120">
        <v>182521.18544273311</v>
      </c>
      <c r="AC35">
        <v>9307829.641398374</v>
      </c>
      <c r="AD35">
        <v>1039998.4999881601</v>
      </c>
      <c r="AE35" s="120">
        <f t="shared" si="11"/>
        <v>10818776.628739264</v>
      </c>
      <c r="AF35" s="131">
        <f t="shared" si="12"/>
        <v>1222519.6854308932</v>
      </c>
      <c r="AH35" s="120">
        <f t="shared" si="28"/>
        <v>14226.43200000003</v>
      </c>
      <c r="AI35" s="133">
        <f t="shared" si="22"/>
        <v>148260.17100000195</v>
      </c>
      <c r="AJ35" s="19">
        <f t="shared" si="34"/>
        <v>1.1636975804594701E-2</v>
      </c>
      <c r="AK35" s="134">
        <f t="shared" si="30"/>
        <v>1.2079760000000106E-2</v>
      </c>
    </row>
    <row r="36" spans="2:37" x14ac:dyDescent="0.2">
      <c r="B36">
        <v>2041</v>
      </c>
      <c r="C36" s="120">
        <v>604210.08472816832</v>
      </c>
      <c r="D36" s="120">
        <v>65073.466074183933</v>
      </c>
      <c r="E36" s="121">
        <v>1742574.0000000002</v>
      </c>
      <c r="F36" s="122">
        <v>152409.96218222985</v>
      </c>
      <c r="G36" s="120">
        <f t="shared" si="19"/>
        <v>2346784.0847281683</v>
      </c>
      <c r="H36" s="120">
        <f t="shared" si="18"/>
        <v>217483.42825641378</v>
      </c>
      <c r="J36" s="128">
        <f t="shared" si="31"/>
        <v>105539.36999999918</v>
      </c>
      <c r="K36" s="120">
        <f t="shared" si="32"/>
        <v>1072835.6999999899</v>
      </c>
      <c r="L36" s="19">
        <f t="shared" si="20"/>
        <v>0.48527545682960205</v>
      </c>
      <c r="M36" s="134">
        <f t="shared" si="24"/>
        <v>0.49695105000000694</v>
      </c>
      <c r="N36" s="19"/>
      <c r="O36" s="120">
        <v>42573.612827272424</v>
      </c>
      <c r="P36" s="120">
        <v>2998.5554252442744</v>
      </c>
      <c r="Q36">
        <v>110.247</v>
      </c>
      <c r="R36">
        <v>17.473816666666664</v>
      </c>
      <c r="S36" s="131">
        <f t="shared" si="7"/>
        <v>426838598.27272427</v>
      </c>
      <c r="T36" s="131">
        <f t="shared" si="8"/>
        <v>30160292.419109412</v>
      </c>
      <c r="V36" s="120">
        <f t="shared" si="25"/>
        <v>68262.842000000179</v>
      </c>
      <c r="W36" s="133">
        <f t="shared" si="21"/>
        <v>488964.54600000195</v>
      </c>
      <c r="X36" s="19">
        <f t="shared" si="33"/>
        <v>2.2633348858630158E-3</v>
      </c>
      <c r="Y36" s="134">
        <f t="shared" si="27"/>
        <v>2.336784300000061E-3</v>
      </c>
      <c r="AA36" s="120">
        <v>1559653.6636452086</v>
      </c>
      <c r="AB36" s="120">
        <v>185297.03359857225</v>
      </c>
      <c r="AC36">
        <v>9350693.3410930168</v>
      </c>
      <c r="AD36">
        <v>993854.19848582149</v>
      </c>
      <c r="AE36" s="120">
        <f t="shared" si="11"/>
        <v>10910347.004738225</v>
      </c>
      <c r="AF36" s="131">
        <f t="shared" si="12"/>
        <v>1179151.2320843937</v>
      </c>
      <c r="AH36" s="120">
        <f t="shared" si="28"/>
        <v>14846.77780000004</v>
      </c>
      <c r="AI36" s="133">
        <f t="shared" si="22"/>
        <v>157565.35800000187</v>
      </c>
      <c r="AJ36" s="19">
        <f t="shared" si="34"/>
        <v>1.259107177775262E-2</v>
      </c>
      <c r="AK36" s="134">
        <f t="shared" si="30"/>
        <v>1.2503279000000034E-2</v>
      </c>
    </row>
    <row r="37" spans="2:37" x14ac:dyDescent="0.2">
      <c r="B37">
        <v>2042</v>
      </c>
      <c r="C37" s="120">
        <v>604892.44620122004</v>
      </c>
      <c r="D37" s="120">
        <v>53988.201530555962</v>
      </c>
      <c r="E37" s="121">
        <v>1742574.0000000002</v>
      </c>
      <c r="F37" s="122">
        <v>158400.98718045326</v>
      </c>
      <c r="G37" s="120">
        <f t="shared" si="19"/>
        <v>2347466.4462012202</v>
      </c>
      <c r="H37" s="120">
        <f t="shared" si="18"/>
        <v>212389.18871100922</v>
      </c>
      <c r="J37" s="128">
        <f t="shared" si="31"/>
        <v>110398.93999999948</v>
      </c>
      <c r="K37" s="120">
        <f t="shared" si="32"/>
        <v>1145729.2499999907</v>
      </c>
      <c r="L37" s="19">
        <f t="shared" si="20"/>
        <v>0.51979547862116271</v>
      </c>
      <c r="M37" s="134">
        <f t="shared" si="24"/>
        <v>0.51940010000000569</v>
      </c>
      <c r="N37" s="19"/>
      <c r="O37" s="120">
        <v>42456.436805676254</v>
      </c>
      <c r="P37" s="120">
        <v>2972.2991334592443</v>
      </c>
      <c r="Q37">
        <v>110.247</v>
      </c>
      <c r="R37">
        <v>20.79891666666667</v>
      </c>
      <c r="S37" s="131">
        <f t="shared" si="7"/>
        <v>425666838.05676258</v>
      </c>
      <c r="T37" s="131">
        <f t="shared" si="8"/>
        <v>29930980.501259111</v>
      </c>
      <c r="V37" s="120">
        <f t="shared" si="25"/>
        <v>71746.203999999911</v>
      </c>
      <c r="W37" s="133">
        <f t="shared" si="21"/>
        <v>520314.8040000014</v>
      </c>
      <c r="X37" s="19">
        <f t="shared" si="33"/>
        <v>2.3970549176289681E-3</v>
      </c>
      <c r="Y37" s="134">
        <f t="shared" si="27"/>
        <v>2.4630766000000581E-3</v>
      </c>
      <c r="AA37" s="120">
        <v>1608972.4895829114</v>
      </c>
      <c r="AB37" s="120">
        <v>187300.50467959093</v>
      </c>
      <c r="AC37">
        <v>9392933.9659588132</v>
      </c>
      <c r="AD37">
        <v>946398.41385077871</v>
      </c>
      <c r="AE37" s="120">
        <f t="shared" si="11"/>
        <v>11001906.455541724</v>
      </c>
      <c r="AF37" s="131">
        <f t="shared" si="12"/>
        <v>1133698.9185303696</v>
      </c>
      <c r="AH37" s="120">
        <f t="shared" si="28"/>
        <v>15467.12360000005</v>
      </c>
      <c r="AI37" s="133">
        <f t="shared" si="22"/>
        <v>166870.54500000179</v>
      </c>
      <c r="AJ37" s="19">
        <f t="shared" si="34"/>
        <v>1.3643061087197919E-2</v>
      </c>
      <c r="AK37" s="134">
        <f t="shared" si="30"/>
        <v>1.2926798000000073E-2</v>
      </c>
    </row>
    <row r="38" spans="2:37" x14ac:dyDescent="0.2">
      <c r="B38">
        <v>2043</v>
      </c>
      <c r="C38" s="120">
        <v>605562.54291852319</v>
      </c>
      <c r="D38" s="120">
        <v>64346.397834934527</v>
      </c>
      <c r="E38" s="121">
        <v>1742574.0000000002</v>
      </c>
      <c r="F38" s="122">
        <v>162364.28952547908</v>
      </c>
      <c r="G38" s="120">
        <f t="shared" si="19"/>
        <v>2348136.5429185233</v>
      </c>
      <c r="H38" s="120">
        <f t="shared" si="18"/>
        <v>226710.68736041361</v>
      </c>
      <c r="J38" s="128">
        <f t="shared" si="31"/>
        <v>115258.50999999978</v>
      </c>
      <c r="K38" s="120">
        <f t="shared" si="32"/>
        <v>1218622.7999999914</v>
      </c>
      <c r="L38" s="19">
        <f t="shared" si="20"/>
        <v>0.5083946916748896</v>
      </c>
      <c r="M38" s="134">
        <f t="shared" si="24"/>
        <v>0.54184915000000444</v>
      </c>
      <c r="N38" s="19"/>
      <c r="O38" s="120">
        <v>42316.340636816574</v>
      </c>
      <c r="P38" s="120">
        <v>2951.7289685276482</v>
      </c>
      <c r="Q38">
        <v>110.247</v>
      </c>
      <c r="R38">
        <v>18.300216666666671</v>
      </c>
      <c r="S38" s="131">
        <f t="shared" si="7"/>
        <v>424265876.36816579</v>
      </c>
      <c r="T38" s="131">
        <f t="shared" si="8"/>
        <v>29700291.851943146</v>
      </c>
      <c r="V38" s="120">
        <f t="shared" si="25"/>
        <v>75229.566000000574</v>
      </c>
      <c r="W38" s="133">
        <f t="shared" si="21"/>
        <v>551665.06200000178</v>
      </c>
      <c r="X38" s="19">
        <f t="shared" si="33"/>
        <v>2.532957129681494E-3</v>
      </c>
      <c r="Y38" s="134">
        <f t="shared" si="27"/>
        <v>2.5893689000000553E-3</v>
      </c>
      <c r="AA38" s="120">
        <v>1658880.0083948998</v>
      </c>
      <c r="AB38" s="120">
        <v>189825.61330231186</v>
      </c>
      <c r="AC38">
        <v>9434555.740249183</v>
      </c>
      <c r="AD38">
        <v>916218.64477330819</v>
      </c>
      <c r="AE38" s="120">
        <f t="shared" si="11"/>
        <v>11093435.748644084</v>
      </c>
      <c r="AF38" s="131">
        <f t="shared" si="12"/>
        <v>1106044.25807562</v>
      </c>
      <c r="AH38" s="120">
        <f t="shared" si="28"/>
        <v>16087.46940000006</v>
      </c>
      <c r="AI38" s="133">
        <f t="shared" si="22"/>
        <v>176175.73200000171</v>
      </c>
      <c r="AJ38" s="19">
        <f t="shared" si="34"/>
        <v>1.454505032917061E-2</v>
      </c>
      <c r="AK38" s="134">
        <f t="shared" si="30"/>
        <v>1.3350317000000111E-2</v>
      </c>
    </row>
    <row r="39" spans="2:37" x14ac:dyDescent="0.2">
      <c r="B39">
        <v>2044</v>
      </c>
      <c r="C39" s="120">
        <v>606221.40761523007</v>
      </c>
      <c r="D39" s="120">
        <v>49428.574739605538</v>
      </c>
      <c r="E39" s="121">
        <v>1742574.0000000002</v>
      </c>
      <c r="F39" s="122">
        <v>163539.25672068144</v>
      </c>
      <c r="G39" s="120">
        <f t="shared" si="19"/>
        <v>2348795.4076152304</v>
      </c>
      <c r="H39" s="120">
        <f t="shared" si="18"/>
        <v>212967.83146028698</v>
      </c>
      <c r="J39" s="128">
        <f t="shared" si="31"/>
        <v>120118.08000000007</v>
      </c>
      <c r="K39" s="120">
        <f t="shared" si="32"/>
        <v>1291516.3499999922</v>
      </c>
      <c r="L39" s="19">
        <f t="shared" si="20"/>
        <v>0.56401982955063801</v>
      </c>
      <c r="M39" s="134">
        <f t="shared" si="24"/>
        <v>0.56429820000000319</v>
      </c>
      <c r="N39" s="19"/>
      <c r="O39" s="120">
        <v>42157.283920400638</v>
      </c>
      <c r="P39" s="120">
        <v>2937.1768607451158</v>
      </c>
      <c r="Q39">
        <v>110.247</v>
      </c>
      <c r="R39">
        <v>16.941016666666641</v>
      </c>
      <c r="S39" s="131">
        <f t="shared" si="7"/>
        <v>422675309.20400643</v>
      </c>
      <c r="T39" s="131">
        <f t="shared" si="8"/>
        <v>29541178.774117824</v>
      </c>
      <c r="V39" s="120">
        <f t="shared" si="25"/>
        <v>78712.928000000305</v>
      </c>
      <c r="W39" s="133">
        <f t="shared" si="21"/>
        <v>583015.32000000216</v>
      </c>
      <c r="X39" s="19">
        <f t="shared" si="33"/>
        <v>2.6645154752241561E-3</v>
      </c>
      <c r="Y39" s="134">
        <f t="shared" si="27"/>
        <v>2.7156612000000524E-3</v>
      </c>
      <c r="AA39" s="120">
        <v>1709417.0992681612</v>
      </c>
      <c r="AB39" s="120">
        <v>193830.45946656307</v>
      </c>
      <c r="AC39">
        <v>9475615.7151703816</v>
      </c>
      <c r="AD39">
        <v>912647.55910095572</v>
      </c>
      <c r="AE39" s="120">
        <f t="shared" si="11"/>
        <v>11185032.814438542</v>
      </c>
      <c r="AF39" s="131">
        <f t="shared" si="12"/>
        <v>1106478.0185675188</v>
      </c>
      <c r="AH39" s="120">
        <f t="shared" si="28"/>
        <v>16707.81520000007</v>
      </c>
      <c r="AI39" s="133">
        <f t="shared" si="22"/>
        <v>185480.91900000162</v>
      </c>
      <c r="AJ39" s="19">
        <f t="shared" si="34"/>
        <v>1.5099997396812757E-2</v>
      </c>
      <c r="AK39" s="134">
        <f t="shared" si="30"/>
        <v>1.3773836000000039E-2</v>
      </c>
    </row>
    <row r="40" spans="2:37" x14ac:dyDescent="0.2">
      <c r="B40">
        <v>2045</v>
      </c>
      <c r="C40" s="120">
        <v>606869.87921922014</v>
      </c>
      <c r="D40" s="120">
        <v>26489.701156176627</v>
      </c>
      <c r="E40" s="121">
        <v>1742574.0000000002</v>
      </c>
      <c r="F40" s="122">
        <v>162007.75979635189</v>
      </c>
      <c r="G40" s="120">
        <f t="shared" si="19"/>
        <v>2349443.8792192205</v>
      </c>
      <c r="H40" s="120">
        <f t="shared" si="18"/>
        <v>188497.46095252852</v>
      </c>
      <c r="J40" s="128">
        <f t="shared" si="31"/>
        <v>124977.64999999851</v>
      </c>
      <c r="K40" s="120">
        <f t="shared" si="32"/>
        <v>1364409.8999999911</v>
      </c>
      <c r="L40" s="19">
        <f t="shared" si="20"/>
        <v>0.66302033655229486</v>
      </c>
      <c r="M40" s="134">
        <f t="shared" si="24"/>
        <v>0.58674725000000194</v>
      </c>
      <c r="N40" s="19"/>
      <c r="O40" s="120">
        <v>41982.60189506755</v>
      </c>
      <c r="P40" s="120">
        <v>2927.9577115972206</v>
      </c>
      <c r="Q40">
        <v>110.247</v>
      </c>
      <c r="R40">
        <v>17.084316666666695</v>
      </c>
      <c r="S40" s="131">
        <f t="shared" si="7"/>
        <v>420928488.95067555</v>
      </c>
      <c r="T40" s="131">
        <f t="shared" si="8"/>
        <v>29450420.282638874</v>
      </c>
      <c r="V40" s="120">
        <f t="shared" si="25"/>
        <v>82196.290000000037</v>
      </c>
      <c r="W40" s="133">
        <f t="shared" si="21"/>
        <v>614365.57800000161</v>
      </c>
      <c r="X40" s="19">
        <f t="shared" si="33"/>
        <v>2.7910056702469214E-3</v>
      </c>
      <c r="Y40" s="134">
        <f t="shared" si="27"/>
        <v>2.8419535000000495E-3</v>
      </c>
      <c r="AA40" s="120">
        <v>1760616.6051930911</v>
      </c>
      <c r="AB40" s="120">
        <v>199619.01479723374</v>
      </c>
      <c r="AC40">
        <v>9516159.7648817394</v>
      </c>
      <c r="AD40">
        <v>934243.10123778321</v>
      </c>
      <c r="AE40" s="120">
        <f t="shared" si="11"/>
        <v>11276776.370074831</v>
      </c>
      <c r="AF40" s="131">
        <f t="shared" si="12"/>
        <v>1133862.116035017</v>
      </c>
      <c r="AH40" s="120">
        <f t="shared" si="28"/>
        <v>17328.16100000008</v>
      </c>
      <c r="AI40" s="133">
        <f t="shared" si="22"/>
        <v>194786.10600000154</v>
      </c>
      <c r="AJ40" s="19">
        <f t="shared" si="34"/>
        <v>1.5282423457796289E-2</v>
      </c>
      <c r="AK40" s="134">
        <f t="shared" si="30"/>
        <v>1.4197355000000078E-2</v>
      </c>
    </row>
    <row r="41" spans="2:37" x14ac:dyDescent="0.2">
      <c r="B41">
        <v>2046</v>
      </c>
      <c r="C41" s="120">
        <v>607509.16236065363</v>
      </c>
      <c r="D41" s="120">
        <v>70914.010029791272</v>
      </c>
      <c r="E41" s="121">
        <v>1742574.0000000002</v>
      </c>
      <c r="F41" s="122">
        <v>158548.32573401276</v>
      </c>
      <c r="G41" s="120">
        <f t="shared" si="19"/>
        <v>2350083.1623606537</v>
      </c>
      <c r="H41" s="120">
        <f t="shared" si="18"/>
        <v>229462.33576380403</v>
      </c>
      <c r="J41" s="128">
        <f t="shared" si="31"/>
        <v>129837.21999999881</v>
      </c>
      <c r="K41" s="120">
        <f t="shared" si="32"/>
        <v>1437303.4499999899</v>
      </c>
      <c r="L41" s="19">
        <f t="shared" si="20"/>
        <v>0.56583238189314933</v>
      </c>
      <c r="M41" s="134">
        <f t="shared" si="24"/>
        <v>0.6091963000000078</v>
      </c>
      <c r="N41" s="19"/>
      <c r="O41" s="120">
        <v>41795.139072191683</v>
      </c>
      <c r="P41" s="120">
        <v>2922.4661947551722</v>
      </c>
      <c r="Q41">
        <v>110.247</v>
      </c>
      <c r="R41">
        <v>16.688216666666648</v>
      </c>
      <c r="S41" s="131">
        <f t="shared" si="7"/>
        <v>419053860.72191685</v>
      </c>
      <c r="T41" s="131">
        <f t="shared" si="8"/>
        <v>29391544.114218388</v>
      </c>
      <c r="V41" s="120">
        <f t="shared" si="25"/>
        <v>85679.651999999769</v>
      </c>
      <c r="W41" s="133">
        <f t="shared" si="21"/>
        <v>645715.83600000106</v>
      </c>
      <c r="X41" s="19">
        <f t="shared" si="33"/>
        <v>2.9151123080516064E-3</v>
      </c>
      <c r="Y41" s="134">
        <f t="shared" si="27"/>
        <v>2.9682458000000467E-3</v>
      </c>
      <c r="AA41" s="120">
        <v>1812546.8648377489</v>
      </c>
      <c r="AB41" s="120">
        <v>206934.50741814263</v>
      </c>
      <c r="AC41">
        <v>9556257.4577624798</v>
      </c>
      <c r="AD41">
        <v>971507.93874388188</v>
      </c>
      <c r="AE41" s="120">
        <f t="shared" si="11"/>
        <v>11368804.322600229</v>
      </c>
      <c r="AF41" s="131">
        <f t="shared" si="12"/>
        <v>1178442.4461620245</v>
      </c>
      <c r="AH41" s="120">
        <f t="shared" si="28"/>
        <v>17948.50680000009</v>
      </c>
      <c r="AI41" s="133">
        <f t="shared" si="22"/>
        <v>204091.29300000146</v>
      </c>
      <c r="AJ41" s="19">
        <f t="shared" si="34"/>
        <v>1.5230702915068237E-2</v>
      </c>
      <c r="AK41" s="134">
        <f t="shared" si="30"/>
        <v>1.4620874000000117E-2</v>
      </c>
    </row>
    <row r="42" spans="2:37" x14ac:dyDescent="0.2">
      <c r="B42">
        <v>2047</v>
      </c>
      <c r="C42" s="120">
        <v>608138.19914364174</v>
      </c>
      <c r="D42" s="120">
        <v>108343.85704510426</v>
      </c>
      <c r="E42" s="121">
        <v>1742574.0000000002</v>
      </c>
      <c r="F42" s="122">
        <v>154311.26186868106</v>
      </c>
      <c r="G42" s="120">
        <f t="shared" si="19"/>
        <v>2350712.1991436421</v>
      </c>
      <c r="H42" s="120">
        <f t="shared" si="18"/>
        <v>262655.11891378532</v>
      </c>
      <c r="J42" s="128">
        <f t="shared" si="31"/>
        <v>134696.78999999911</v>
      </c>
      <c r="K42" s="120">
        <f t="shared" si="32"/>
        <v>1510196.9999999888</v>
      </c>
      <c r="L42" s="19">
        <f t="shared" si="20"/>
        <v>0.51282758377997717</v>
      </c>
      <c r="M42" s="134">
        <f t="shared" si="24"/>
        <v>0.63164535000000654</v>
      </c>
      <c r="N42" s="19"/>
      <c r="O42" s="120">
        <v>41597.328491557528</v>
      </c>
      <c r="P42" s="120">
        <v>2918.4100164884003</v>
      </c>
      <c r="Q42">
        <v>110.247</v>
      </c>
      <c r="R42">
        <v>2.9605000000000103</v>
      </c>
      <c r="S42" s="131">
        <f t="shared" si="7"/>
        <v>417075754.91557533</v>
      </c>
      <c r="T42" s="131">
        <f t="shared" si="8"/>
        <v>29213705.164884005</v>
      </c>
      <c r="V42" s="120">
        <f t="shared" si="25"/>
        <v>89163.014000000432</v>
      </c>
      <c r="W42" s="133">
        <f t="shared" si="21"/>
        <v>677066.09400000144</v>
      </c>
      <c r="X42" s="19">
        <f t="shared" si="33"/>
        <v>3.0520953606110119E-3</v>
      </c>
      <c r="Y42" s="134">
        <f t="shared" si="27"/>
        <v>3.0945381000000438E-3</v>
      </c>
      <c r="AA42" s="120">
        <v>1865096.5943667411</v>
      </c>
      <c r="AB42" s="120">
        <v>214864.03329731221</v>
      </c>
      <c r="AC42">
        <v>9595837.0250913333</v>
      </c>
      <c r="AD42">
        <v>1011074.9127787594</v>
      </c>
      <c r="AE42" s="120">
        <f t="shared" si="11"/>
        <v>11460933.619458074</v>
      </c>
      <c r="AF42" s="131">
        <f t="shared" si="12"/>
        <v>1225938.9460760716</v>
      </c>
      <c r="AH42" s="120">
        <f t="shared" si="28"/>
        <v>18568.8526000001</v>
      </c>
      <c r="AI42" s="133">
        <f t="shared" si="22"/>
        <v>213396.48000000138</v>
      </c>
      <c r="AJ42" s="19">
        <f t="shared" si="34"/>
        <v>1.5146637325973223E-2</v>
      </c>
      <c r="AK42" s="134">
        <f t="shared" si="30"/>
        <v>1.5044393000000045E-2</v>
      </c>
    </row>
    <row r="43" spans="2:37" x14ac:dyDescent="0.2">
      <c r="B43">
        <v>2048</v>
      </c>
      <c r="C43" s="120">
        <v>608757.70567987685</v>
      </c>
      <c r="D43" s="120">
        <v>70765.440105021</v>
      </c>
      <c r="E43" s="121">
        <v>1742574.0000000002</v>
      </c>
      <c r="F43" s="122">
        <v>150452.84923141869</v>
      </c>
      <c r="G43" s="120">
        <f t="shared" si="19"/>
        <v>2351331.7056798772</v>
      </c>
      <c r="H43" s="120">
        <f t="shared" si="18"/>
        <v>221218.28933643969</v>
      </c>
      <c r="J43" s="128">
        <f t="shared" si="31"/>
        <v>139556.3599999994</v>
      </c>
      <c r="K43" s="120">
        <f t="shared" si="32"/>
        <v>1583090.5499999896</v>
      </c>
      <c r="L43" s="19">
        <f t="shared" si="20"/>
        <v>0.6308536261563582</v>
      </c>
      <c r="M43" s="134">
        <f t="shared" si="24"/>
        <v>0.65409440000000529</v>
      </c>
      <c r="N43" s="19"/>
      <c r="O43" s="120">
        <v>41391.333318746627</v>
      </c>
      <c r="P43" s="120">
        <v>2913.3891670228477</v>
      </c>
      <c r="Q43">
        <v>110.247</v>
      </c>
      <c r="R43">
        <v>17.473816666666664</v>
      </c>
      <c r="S43" s="131">
        <f t="shared" si="7"/>
        <v>415015803.18746632</v>
      </c>
      <c r="T43" s="131">
        <f t="shared" si="8"/>
        <v>29308629.836895142</v>
      </c>
      <c r="V43" s="120">
        <f t="shared" si="25"/>
        <v>92646.376000000164</v>
      </c>
      <c r="W43" s="133">
        <f t="shared" si="21"/>
        <v>708416.35200000182</v>
      </c>
      <c r="X43" s="19">
        <f t="shared" si="33"/>
        <v>3.1610613159190524E-3</v>
      </c>
      <c r="Y43" s="134">
        <f t="shared" si="27"/>
        <v>3.2208304000000409E-3</v>
      </c>
      <c r="AA43" s="120">
        <v>1918295.5332120808</v>
      </c>
      <c r="AB43" s="120">
        <v>222668.81597314565</v>
      </c>
      <c r="AC43">
        <v>9634937.8989786264</v>
      </c>
      <c r="AD43">
        <v>1040703.3549582921</v>
      </c>
      <c r="AE43" s="120">
        <f t="shared" si="11"/>
        <v>11553233.432190707</v>
      </c>
      <c r="AF43" s="131">
        <f t="shared" si="12"/>
        <v>1263372.1709314378</v>
      </c>
      <c r="AH43" s="120">
        <f t="shared" si="28"/>
        <v>19189.19840000011</v>
      </c>
      <c r="AI43" s="133">
        <f t="shared" si="22"/>
        <v>222701.6670000013</v>
      </c>
      <c r="AJ43" s="19">
        <f t="shared" si="34"/>
        <v>1.518887216413246E-2</v>
      </c>
      <c r="AK43" s="134">
        <f t="shared" si="30"/>
        <v>1.5467912000000084E-2</v>
      </c>
    </row>
    <row r="44" spans="2:37" x14ac:dyDescent="0.2">
      <c r="B44">
        <v>2049</v>
      </c>
      <c r="C44" s="120">
        <v>609370.48794224486</v>
      </c>
      <c r="D44" s="120">
        <v>52759.697677171906</v>
      </c>
      <c r="E44" s="121">
        <v>1742574.0000000002</v>
      </c>
      <c r="F44" s="122">
        <v>147846.28955421015</v>
      </c>
      <c r="G44" s="120">
        <f t="shared" si="19"/>
        <v>2351944.4879422449</v>
      </c>
      <c r="H44" s="120">
        <f t="shared" si="18"/>
        <v>200605.98723138205</v>
      </c>
      <c r="J44" s="128">
        <f t="shared" si="31"/>
        <v>144415.9299999997</v>
      </c>
      <c r="K44" s="120">
        <f t="shared" si="32"/>
        <v>1655984.0999999903</v>
      </c>
      <c r="L44" s="19">
        <f t="shared" si="20"/>
        <v>0.71989840379703185</v>
      </c>
      <c r="M44" s="134">
        <f t="shared" si="24"/>
        <v>0.67654345000000404</v>
      </c>
      <c r="N44" s="19"/>
      <c r="O44" s="120">
        <v>41179.093411553287</v>
      </c>
      <c r="P44" s="120">
        <v>2905.3845570411067</v>
      </c>
      <c r="Q44">
        <v>110.247</v>
      </c>
      <c r="R44">
        <v>20.79891666666667</v>
      </c>
      <c r="S44" s="131">
        <f t="shared" si="7"/>
        <v>412893404.11553288</v>
      </c>
      <c r="T44" s="131">
        <f t="shared" si="8"/>
        <v>29261834.737077735</v>
      </c>
      <c r="V44" s="120">
        <f t="shared" si="25"/>
        <v>96129.737999999896</v>
      </c>
      <c r="W44" s="133">
        <f t="shared" si="21"/>
        <v>739766.61000000127</v>
      </c>
      <c r="X44" s="19">
        <f t="shared" si="33"/>
        <v>3.2851575734652652E-3</v>
      </c>
      <c r="Y44" s="134">
        <f t="shared" si="27"/>
        <v>3.3471227000000381E-3</v>
      </c>
      <c r="AA44" s="120">
        <v>1972362.9052410582</v>
      </c>
      <c r="AB44" s="120">
        <v>229838.07395118475</v>
      </c>
      <c r="AC44">
        <v>9673732.4406389594</v>
      </c>
      <c r="AD44">
        <v>1052885.9926516581</v>
      </c>
      <c r="AE44" s="120">
        <f t="shared" si="11"/>
        <v>11646095.345880017</v>
      </c>
      <c r="AF44" s="131">
        <f t="shared" si="12"/>
        <v>1282724.0666028429</v>
      </c>
      <c r="AH44" s="120">
        <f t="shared" si="28"/>
        <v>19809.54420000012</v>
      </c>
      <c r="AI44" s="133">
        <f t="shared" si="22"/>
        <v>232006.85400000121</v>
      </c>
      <c r="AJ44" s="19">
        <f t="shared" si="34"/>
        <v>1.5443340244222262E-2</v>
      </c>
      <c r="AK44" s="134">
        <f t="shared" si="30"/>
        <v>1.5891431000000122E-2</v>
      </c>
    </row>
    <row r="45" spans="2:37" x14ac:dyDescent="0.2">
      <c r="B45">
        <v>2050</v>
      </c>
      <c r="C45" s="120">
        <v>609974.2615671216</v>
      </c>
      <c r="D45" s="120">
        <v>47864.91537457658</v>
      </c>
      <c r="E45" s="121">
        <v>1742574.0000000002</v>
      </c>
      <c r="F45" s="122">
        <v>146928.28523925506</v>
      </c>
      <c r="G45" s="120">
        <f t="shared" si="19"/>
        <v>2352548.2615671218</v>
      </c>
      <c r="H45" s="120">
        <f t="shared" si="18"/>
        <v>194793.20061383164</v>
      </c>
      <c r="J45" s="128">
        <f t="shared" si="31"/>
        <v>149275.5</v>
      </c>
      <c r="K45" s="120">
        <f t="shared" si="32"/>
        <v>1728877.6499999911</v>
      </c>
      <c r="L45" s="19">
        <f t="shared" si="20"/>
        <v>0.76632808295979316</v>
      </c>
      <c r="M45" s="134">
        <f t="shared" si="24"/>
        <v>0.69899250000000279</v>
      </c>
      <c r="N45" s="19"/>
      <c r="O45" s="120">
        <v>40962.364003305134</v>
      </c>
      <c r="P45" s="120">
        <v>2893.2151646408092</v>
      </c>
      <c r="Q45">
        <v>110.247</v>
      </c>
      <c r="R45">
        <v>18.300216666666671</v>
      </c>
      <c r="S45" s="131">
        <f t="shared" si="7"/>
        <v>410726110.03305137</v>
      </c>
      <c r="T45" s="131">
        <f t="shared" si="8"/>
        <v>29115153.813074756</v>
      </c>
      <c r="V45" s="120">
        <f t="shared" si="25"/>
        <v>99613.100000000559</v>
      </c>
      <c r="W45" s="133">
        <f t="shared" si="21"/>
        <v>771116.86800000165</v>
      </c>
      <c r="X45" s="19">
        <f t="shared" si="33"/>
        <v>3.4213489181454111E-3</v>
      </c>
      <c r="Y45" s="134">
        <f t="shared" si="27"/>
        <v>3.4734150000000352E-3</v>
      </c>
      <c r="AA45" s="120">
        <v>2027081.8328625076</v>
      </c>
      <c r="AB45" s="120">
        <v>235645.33224604675</v>
      </c>
      <c r="AC45">
        <v>9712071.9704806264</v>
      </c>
      <c r="AD45">
        <v>1046500.2034245934</v>
      </c>
      <c r="AE45" s="120">
        <f t="shared" si="11"/>
        <v>11739153.803343134</v>
      </c>
      <c r="AF45" s="131">
        <f t="shared" si="12"/>
        <v>1282145.5356706402</v>
      </c>
      <c r="AH45" s="120">
        <f t="shared" si="28"/>
        <v>20429.89000000013</v>
      </c>
      <c r="AI45" s="133">
        <f t="shared" si="22"/>
        <v>241312.04100000113</v>
      </c>
      <c r="AJ45" s="19">
        <f t="shared" si="34"/>
        <v>1.5934142756511688E-2</v>
      </c>
      <c r="AK45" s="134">
        <f t="shared" si="30"/>
        <v>1.631495000000005E-2</v>
      </c>
    </row>
    <row r="46" spans="2:37" x14ac:dyDescent="0.2">
      <c r="B46">
        <v>2051</v>
      </c>
      <c r="C46" s="120">
        <v>610570.77822968899</v>
      </c>
      <c r="D46" s="120">
        <v>65669.982736751321</v>
      </c>
      <c r="E46" s="121">
        <v>1742574.0000000002</v>
      </c>
      <c r="F46" s="122">
        <v>147677.94547619694</v>
      </c>
      <c r="G46" s="120">
        <f t="shared" si="19"/>
        <v>2353144.7782296892</v>
      </c>
      <c r="H46" s="120">
        <f t="shared" si="18"/>
        <v>213347.92821294826</v>
      </c>
      <c r="J46" s="128">
        <f t="shared" si="31"/>
        <v>154135.0700000003</v>
      </c>
      <c r="K46" s="120">
        <f t="shared" si="32"/>
        <v>1801771.1999999918</v>
      </c>
      <c r="L46" s="19">
        <f t="shared" si="20"/>
        <v>0.72245871469702749</v>
      </c>
      <c r="M46" s="134">
        <f t="shared" si="24"/>
        <v>0.72144155000000865</v>
      </c>
      <c r="N46" s="19"/>
      <c r="O46" s="120">
        <v>40742.8065961592</v>
      </c>
      <c r="P46" s="120">
        <v>2876.8018322685166</v>
      </c>
      <c r="Q46">
        <v>110.247</v>
      </c>
      <c r="R46">
        <v>16.941016666666641</v>
      </c>
      <c r="S46" s="131">
        <f t="shared" si="7"/>
        <v>408530535.96159202</v>
      </c>
      <c r="T46" s="131">
        <f t="shared" si="8"/>
        <v>28937428.489351831</v>
      </c>
      <c r="V46" s="120">
        <f t="shared" si="25"/>
        <v>103096.46200000029</v>
      </c>
      <c r="W46" s="133">
        <f t="shared" si="21"/>
        <v>802467.12600000203</v>
      </c>
      <c r="X46" s="19">
        <f t="shared" si="33"/>
        <v>3.5627375126969876E-3</v>
      </c>
      <c r="Y46" s="134">
        <f t="shared" si="27"/>
        <v>3.5997073000000324E-3</v>
      </c>
      <c r="AA46" s="120">
        <v>2082587.8904858895</v>
      </c>
      <c r="AB46" s="120">
        <v>240614.612720676</v>
      </c>
      <c r="AC46">
        <v>9750063.1653455477</v>
      </c>
      <c r="AD46">
        <v>1027492.0089370292</v>
      </c>
      <c r="AE46" s="120">
        <f t="shared" si="11"/>
        <v>11832651.055831438</v>
      </c>
      <c r="AF46" s="131">
        <f t="shared" si="12"/>
        <v>1268106.6216577052</v>
      </c>
      <c r="AH46" s="120">
        <f t="shared" si="28"/>
        <v>21050.23580000014</v>
      </c>
      <c r="AI46" s="133">
        <f t="shared" si="22"/>
        <v>250617.22800000105</v>
      </c>
      <c r="AJ46" s="19">
        <f t="shared" si="34"/>
        <v>1.6599736520958048E-2</v>
      </c>
      <c r="AK46" s="134">
        <f t="shared" si="30"/>
        <v>1.6738469000000089E-2</v>
      </c>
    </row>
    <row r="47" spans="2:37" x14ac:dyDescent="0.2">
      <c r="B47">
        <v>2052</v>
      </c>
      <c r="C47" s="120">
        <v>611160.42064359738</v>
      </c>
      <c r="D47" s="120">
        <v>54577.843944464345</v>
      </c>
      <c r="E47" s="121">
        <v>1742574.0000000002</v>
      </c>
      <c r="F47" s="122">
        <v>149692.89903771854</v>
      </c>
      <c r="G47" s="120">
        <f t="shared" si="19"/>
        <v>2353734.4206435978</v>
      </c>
      <c r="H47" s="120">
        <f t="shared" si="18"/>
        <v>204270.74298218288</v>
      </c>
      <c r="J47" s="128">
        <f t="shared" si="31"/>
        <v>158994.63999999873</v>
      </c>
      <c r="K47" s="120">
        <f t="shared" si="32"/>
        <v>1874664.7499999907</v>
      </c>
      <c r="L47" s="19">
        <f t="shared" si="20"/>
        <v>0.7783524829782732</v>
      </c>
      <c r="M47" s="134">
        <f t="shared" si="24"/>
        <v>0.7438906000000074</v>
      </c>
      <c r="N47" s="19"/>
      <c r="O47" s="120">
        <v>40522.004843950577</v>
      </c>
      <c r="P47" s="120">
        <v>2857.0167704395935</v>
      </c>
      <c r="Q47">
        <v>110.247</v>
      </c>
      <c r="R47">
        <v>17.084316666666695</v>
      </c>
      <c r="S47" s="131">
        <f t="shared" si="7"/>
        <v>406322518.43950582</v>
      </c>
      <c r="T47" s="131">
        <f t="shared" si="8"/>
        <v>28741010.871062603</v>
      </c>
      <c r="V47" s="120">
        <f t="shared" si="25"/>
        <v>106579.82400000002</v>
      </c>
      <c r="W47" s="133">
        <f t="shared" si="21"/>
        <v>833817.38400000148</v>
      </c>
      <c r="X47" s="19">
        <f t="shared" si="33"/>
        <v>3.7082837649008407E-3</v>
      </c>
      <c r="Y47" s="134">
        <f t="shared" si="27"/>
        <v>3.7259996000000295E-3</v>
      </c>
      <c r="AA47" s="120">
        <v>2138901.5914552105</v>
      </c>
      <c r="AB47" s="120">
        <v>245142.80255883397</v>
      </c>
      <c r="AC47">
        <v>9787726.6172208115</v>
      </c>
      <c r="AD47">
        <v>1005278.2351304758</v>
      </c>
      <c r="AE47" s="120">
        <f t="shared" si="11"/>
        <v>11926628.208676022</v>
      </c>
      <c r="AF47" s="131">
        <f t="shared" si="12"/>
        <v>1250421.0376893098</v>
      </c>
      <c r="AH47" s="120">
        <f t="shared" si="28"/>
        <v>21670.581600000151</v>
      </c>
      <c r="AI47" s="133">
        <f t="shared" si="22"/>
        <v>259922.4150000012</v>
      </c>
      <c r="AJ47" s="19">
        <f t="shared" si="34"/>
        <v>1.7330627802012881E-2</v>
      </c>
      <c r="AK47" s="134">
        <f t="shared" si="30"/>
        <v>1.7161988000000128E-2</v>
      </c>
    </row>
    <row r="48" spans="2:37" x14ac:dyDescent="0.2">
      <c r="B48">
        <v>2053</v>
      </c>
      <c r="C48" s="120">
        <v>611742.75668190676</v>
      </c>
      <c r="D48" s="120">
        <v>64928.733873243909</v>
      </c>
      <c r="E48" s="121">
        <v>1742574.0000000002</v>
      </c>
      <c r="F48" s="122">
        <v>152328.34916547057</v>
      </c>
      <c r="G48" s="120">
        <f t="shared" si="19"/>
        <v>2354316.756681907</v>
      </c>
      <c r="H48" s="120">
        <f t="shared" si="18"/>
        <v>217257.08303871448</v>
      </c>
      <c r="J48" s="128">
        <f t="shared" si="31"/>
        <v>163854.20999999903</v>
      </c>
      <c r="K48" s="120">
        <f t="shared" si="32"/>
        <v>1947558.2999999896</v>
      </c>
      <c r="L48" s="19">
        <f t="shared" si="20"/>
        <v>0.75419501959713209</v>
      </c>
      <c r="M48" s="134">
        <f t="shared" si="24"/>
        <v>0.76633965000000615</v>
      </c>
      <c r="N48" s="19"/>
      <c r="O48" s="120">
        <v>40301.500788698519</v>
      </c>
      <c r="P48" s="120">
        <v>2835.4067575998197</v>
      </c>
      <c r="Q48">
        <v>110.247</v>
      </c>
      <c r="R48">
        <v>16.688216666666648</v>
      </c>
      <c r="S48" s="131">
        <f t="shared" si="7"/>
        <v>404117477.88698524</v>
      </c>
      <c r="T48" s="131">
        <f t="shared" si="8"/>
        <v>28520949.742664862</v>
      </c>
      <c r="V48" s="120">
        <f t="shared" si="25"/>
        <v>110063.18599999975</v>
      </c>
      <c r="W48" s="133">
        <f t="shared" si="21"/>
        <v>865167.64200000092</v>
      </c>
      <c r="X48" s="19">
        <f t="shared" si="33"/>
        <v>3.8590294851000278E-3</v>
      </c>
      <c r="Y48" s="134">
        <f t="shared" si="27"/>
        <v>3.8522919000000266E-3</v>
      </c>
      <c r="AA48" s="120">
        <v>2195966.2576816655</v>
      </c>
      <c r="AB48" s="120">
        <v>249779.6025686122</v>
      </c>
      <c r="AC48">
        <v>9825031.0351759233</v>
      </c>
      <c r="AD48">
        <v>989274.59968910925</v>
      </c>
      <c r="AE48" s="120">
        <f t="shared" si="11"/>
        <v>12020997.292857589</v>
      </c>
      <c r="AF48" s="131">
        <f t="shared" si="12"/>
        <v>1239054.2022577215</v>
      </c>
      <c r="AH48" s="120">
        <f t="shared" si="28"/>
        <v>22290.927400000161</v>
      </c>
      <c r="AI48" s="133">
        <f t="shared" si="22"/>
        <v>269227.60200000135</v>
      </c>
      <c r="AJ48" s="19">
        <f t="shared" si="34"/>
        <v>1.7990276260217777E-2</v>
      </c>
      <c r="AK48" s="134">
        <f t="shared" si="30"/>
        <v>1.7585507000000056E-2</v>
      </c>
    </row>
    <row r="49" spans="2:37" x14ac:dyDescent="0.2">
      <c r="B49">
        <v>2054</v>
      </c>
      <c r="C49" s="120">
        <v>612319.69228073431</v>
      </c>
      <c r="D49" s="120">
        <v>50005.510338433087</v>
      </c>
      <c r="E49" s="121">
        <v>1742574.0000000002</v>
      </c>
      <c r="F49" s="122">
        <v>154871.03866384225</v>
      </c>
      <c r="G49" s="120">
        <f t="shared" si="19"/>
        <v>2354893.6922807344</v>
      </c>
      <c r="H49" s="120">
        <f t="shared" si="18"/>
        <v>204876.54900227534</v>
      </c>
      <c r="J49" s="128">
        <f t="shared" si="31"/>
        <v>168713.77999999933</v>
      </c>
      <c r="K49" s="120">
        <f t="shared" si="32"/>
        <v>2020451.8499999903</v>
      </c>
      <c r="L49" s="19">
        <f t="shared" si="20"/>
        <v>0.82348995442189732</v>
      </c>
      <c r="M49" s="134">
        <f t="shared" si="24"/>
        <v>0.78878870000000489</v>
      </c>
      <c r="N49" s="19"/>
      <c r="O49" s="120">
        <v>40082.819252682013</v>
      </c>
      <c r="P49" s="120">
        <v>2813.7875252840167</v>
      </c>
      <c r="Q49">
        <v>110.247</v>
      </c>
      <c r="R49">
        <v>2.9605000000000103</v>
      </c>
      <c r="S49" s="131">
        <f t="shared" si="7"/>
        <v>401930662.52682018</v>
      </c>
      <c r="T49" s="131">
        <f t="shared" si="8"/>
        <v>28167480.252840169</v>
      </c>
      <c r="V49" s="120">
        <f t="shared" si="25"/>
        <v>113546.54800000042</v>
      </c>
      <c r="W49" s="133">
        <f t="shared" si="21"/>
        <v>896517.9000000013</v>
      </c>
      <c r="X49" s="19">
        <f t="shared" si="33"/>
        <v>4.0311219527189111E-3</v>
      </c>
      <c r="Y49" s="134">
        <f t="shared" si="27"/>
        <v>3.9785842000000238E-3</v>
      </c>
      <c r="AA49" s="120">
        <v>2253954.800468937</v>
      </c>
      <c r="AB49" s="120">
        <v>255265.92046626564</v>
      </c>
      <c r="AC49">
        <v>9862095.046817176</v>
      </c>
      <c r="AD49">
        <v>985666.76479979604</v>
      </c>
      <c r="AE49" s="120">
        <f t="shared" si="11"/>
        <v>12116049.847286113</v>
      </c>
      <c r="AF49" s="131">
        <f t="shared" si="12"/>
        <v>1240932.6852660617</v>
      </c>
      <c r="AH49" s="120">
        <f t="shared" si="28"/>
        <v>22911.273200000171</v>
      </c>
      <c r="AI49" s="133">
        <f t="shared" si="22"/>
        <v>278532.7890000015</v>
      </c>
      <c r="AJ49" s="19">
        <f t="shared" si="34"/>
        <v>1.8462946034085555E-2</v>
      </c>
      <c r="AK49" s="134">
        <f t="shared" si="30"/>
        <v>1.8009026000000095E-2</v>
      </c>
    </row>
    <row r="50" spans="2:37" x14ac:dyDescent="0.2">
      <c r="B50">
        <v>2055</v>
      </c>
      <c r="C50" s="120">
        <v>612890.70327432244</v>
      </c>
      <c r="D50" s="120">
        <v>27060.71214976476</v>
      </c>
      <c r="E50" s="121">
        <v>1742574.0000000002</v>
      </c>
      <c r="F50" s="122">
        <v>156714.6862291547</v>
      </c>
      <c r="G50" s="120">
        <f t="shared" si="19"/>
        <v>2355464.7032743227</v>
      </c>
      <c r="H50" s="120">
        <f t="shared" si="18"/>
        <v>183775.39837891946</v>
      </c>
      <c r="J50" s="128">
        <f t="shared" si="31"/>
        <v>173573.34999999963</v>
      </c>
      <c r="K50" s="120">
        <f t="shared" si="32"/>
        <v>2093345.3999999911</v>
      </c>
      <c r="L50" s="19">
        <f t="shared" si="20"/>
        <v>0.94448632151576339</v>
      </c>
      <c r="M50" s="134">
        <f t="shared" si="24"/>
        <v>0.81123775000000364</v>
      </c>
      <c r="N50" s="19"/>
      <c r="O50" s="120">
        <v>39867.481719901334</v>
      </c>
      <c r="P50" s="120">
        <v>2793.8676322927713</v>
      </c>
      <c r="Q50">
        <v>110.247</v>
      </c>
      <c r="R50">
        <v>17.473816666666664</v>
      </c>
      <c r="S50" s="131">
        <f t="shared" si="7"/>
        <v>399777287.19901335</v>
      </c>
      <c r="T50" s="131">
        <f t="shared" si="8"/>
        <v>28113414.489594378</v>
      </c>
      <c r="V50" s="120">
        <f t="shared" si="25"/>
        <v>117029.91000000015</v>
      </c>
      <c r="W50" s="133">
        <f t="shared" si="21"/>
        <v>927868.15800000168</v>
      </c>
      <c r="X50" s="19">
        <f t="shared" si="33"/>
        <v>4.1627782368205916E-3</v>
      </c>
      <c r="Y50" s="134">
        <f t="shared" si="27"/>
        <v>4.1048765000000209E-3</v>
      </c>
      <c r="AA50" s="120">
        <v>2312807.918566586</v>
      </c>
      <c r="AB50" s="120">
        <v>261608.10054364847</v>
      </c>
      <c r="AC50">
        <v>9898882.1354085468</v>
      </c>
      <c r="AD50">
        <v>995216.61172154173</v>
      </c>
      <c r="AE50" s="120">
        <f t="shared" si="11"/>
        <v>12211690.053975133</v>
      </c>
      <c r="AF50" s="131">
        <f t="shared" si="12"/>
        <v>1256824.7122651902</v>
      </c>
      <c r="AH50" s="120">
        <f t="shared" si="28"/>
        <v>23531.619000000181</v>
      </c>
      <c r="AI50" s="133">
        <f t="shared" si="22"/>
        <v>287837.97600000165</v>
      </c>
      <c r="AJ50" s="19">
        <f t="shared" si="34"/>
        <v>1.8723071539219548E-2</v>
      </c>
      <c r="AK50" s="134">
        <f t="shared" si="30"/>
        <v>1.8432545000000133E-2</v>
      </c>
    </row>
    <row r="51" spans="2:37" x14ac:dyDescent="0.2">
      <c r="B51">
        <v>2056</v>
      </c>
      <c r="C51" s="120">
        <v>613456.39944801223</v>
      </c>
      <c r="D51" s="120">
        <v>71479.706203481066</v>
      </c>
      <c r="E51" s="121">
        <v>1742574.0000000002</v>
      </c>
      <c r="F51" s="122">
        <v>157496.44872007775</v>
      </c>
      <c r="G51" s="120">
        <f t="shared" si="19"/>
        <v>2356030.3994480125</v>
      </c>
      <c r="H51" s="120">
        <f t="shared" si="18"/>
        <v>228976.15492355882</v>
      </c>
      <c r="J51" s="128">
        <f t="shared" si="31"/>
        <v>178432.91999999993</v>
      </c>
      <c r="K51" s="120">
        <f t="shared" si="32"/>
        <v>2166238.9499999918</v>
      </c>
      <c r="L51" s="19">
        <f t="shared" si="20"/>
        <v>0.77926419918950862</v>
      </c>
      <c r="M51" s="134">
        <f t="shared" si="24"/>
        <v>0.83368680000000239</v>
      </c>
      <c r="N51" s="19"/>
      <c r="O51" s="120">
        <v>39657.020555070863</v>
      </c>
      <c r="P51" s="120">
        <v>2776.9897310154483</v>
      </c>
      <c r="Q51">
        <v>110.247</v>
      </c>
      <c r="R51">
        <v>20.79891666666667</v>
      </c>
      <c r="S51" s="131">
        <f t="shared" si="7"/>
        <v>397672675.55070865</v>
      </c>
      <c r="T51" s="131">
        <f t="shared" si="8"/>
        <v>27977886.476821151</v>
      </c>
      <c r="V51" s="120">
        <f t="shared" si="25"/>
        <v>120513.27199999988</v>
      </c>
      <c r="W51" s="133">
        <f t="shared" si="21"/>
        <v>959218.41600000113</v>
      </c>
      <c r="X51" s="19">
        <f t="shared" si="33"/>
        <v>4.3074473155733746E-3</v>
      </c>
      <c r="Y51" s="134">
        <f t="shared" si="27"/>
        <v>4.231168800000018E-3</v>
      </c>
      <c r="AA51" s="120">
        <v>2372579.9208577662</v>
      </c>
      <c r="AB51" s="120">
        <v>268838.97223904403</v>
      </c>
      <c r="AC51">
        <v>9935428.6825686935</v>
      </c>
      <c r="AD51">
        <v>1014194.9344631564</v>
      </c>
      <c r="AE51" s="120">
        <f t="shared" si="11"/>
        <v>12308008.60342646</v>
      </c>
      <c r="AF51" s="131">
        <f t="shared" si="12"/>
        <v>1283033.9067022004</v>
      </c>
      <c r="AH51" s="120">
        <f t="shared" si="28"/>
        <v>24151.964800000191</v>
      </c>
      <c r="AI51" s="133">
        <f t="shared" si="22"/>
        <v>297143.1630000018</v>
      </c>
      <c r="AJ51" s="19">
        <f t="shared" si="34"/>
        <v>1.8824104861015184E-2</v>
      </c>
      <c r="AK51" s="134">
        <f t="shared" si="30"/>
        <v>1.8856064000000061E-2</v>
      </c>
    </row>
    <row r="52" spans="2:37" x14ac:dyDescent="0.2">
      <c r="B52">
        <v>2057</v>
      </c>
      <c r="C52" s="120">
        <v>614017.24936152098</v>
      </c>
      <c r="D52" s="120">
        <v>108904.70695861301</v>
      </c>
      <c r="E52" s="121">
        <v>1742574.0000000002</v>
      </c>
      <c r="F52" s="122">
        <v>157160.48734154599</v>
      </c>
      <c r="G52" s="120">
        <f t="shared" si="19"/>
        <v>2356591.2493615211</v>
      </c>
      <c r="H52" s="120">
        <f t="shared" si="18"/>
        <v>266065.194300159</v>
      </c>
      <c r="J52" s="128">
        <f t="shared" si="31"/>
        <v>183292.49000000022</v>
      </c>
      <c r="K52" s="120">
        <f t="shared" si="32"/>
        <v>2239132.4999999925</v>
      </c>
      <c r="L52" s="19">
        <f t="shared" si="20"/>
        <v>0.68890066768079594</v>
      </c>
      <c r="M52" s="134">
        <f t="shared" si="24"/>
        <v>0.85613585000000825</v>
      </c>
      <c r="N52" s="19"/>
      <c r="O52" s="120">
        <v>39452.986698245171</v>
      </c>
      <c r="P52" s="120">
        <v>2763.9922017967619</v>
      </c>
      <c r="Q52">
        <v>110.247</v>
      </c>
      <c r="R52">
        <v>18.300216666666671</v>
      </c>
      <c r="S52" s="131">
        <f t="shared" si="7"/>
        <v>395632336.98245174</v>
      </c>
      <c r="T52" s="131">
        <f t="shared" si="8"/>
        <v>27822924.184634283</v>
      </c>
      <c r="V52" s="120">
        <f t="shared" si="25"/>
        <v>123996.63400000054</v>
      </c>
      <c r="W52" s="133">
        <f t="shared" si="21"/>
        <v>990568.67400000151</v>
      </c>
      <c r="X52" s="19">
        <f t="shared" si="33"/>
        <v>4.4566355850000818E-3</v>
      </c>
      <c r="Y52" s="134">
        <f t="shared" si="27"/>
        <v>4.3574611000000152E-3</v>
      </c>
      <c r="AA52" s="120">
        <v>2433315.3127273247</v>
      </c>
      <c r="AB52" s="120">
        <v>276617.3173005227</v>
      </c>
      <c r="AC52">
        <v>9971762.376844639</v>
      </c>
      <c r="AD52">
        <v>1036064.4657620061</v>
      </c>
      <c r="AE52" s="120">
        <f t="shared" si="11"/>
        <v>12405077.689571964</v>
      </c>
      <c r="AF52" s="131">
        <f t="shared" si="12"/>
        <v>1312681.7830625288</v>
      </c>
      <c r="AH52" s="120">
        <f t="shared" si="28"/>
        <v>24772.310600000201</v>
      </c>
      <c r="AI52" s="133">
        <f t="shared" si="22"/>
        <v>306448.35000000196</v>
      </c>
      <c r="AJ52" s="19">
        <f t="shared" si="34"/>
        <v>1.8871527676879621E-2</v>
      </c>
      <c r="AK52" s="134">
        <f t="shared" si="30"/>
        <v>1.92795830000001E-2</v>
      </c>
    </row>
    <row r="53" spans="2:37" x14ac:dyDescent="0.2">
      <c r="B53">
        <v>2058</v>
      </c>
      <c r="C53" s="120">
        <v>614573.23143120599</v>
      </c>
      <c r="D53" s="120">
        <v>71321.422174706007</v>
      </c>
      <c r="E53" s="121">
        <v>1742574.0000000002</v>
      </c>
      <c r="F53" s="122">
        <v>155936.02384416247</v>
      </c>
      <c r="G53" s="120">
        <f t="shared" si="19"/>
        <v>2357147.2314312062</v>
      </c>
      <c r="H53" s="120">
        <f t="shared" si="18"/>
        <v>227257.44601886848</v>
      </c>
      <c r="J53" s="128">
        <f t="shared" si="31"/>
        <v>188152.05999999866</v>
      </c>
      <c r="K53" s="120">
        <f t="shared" si="32"/>
        <v>2312026.0499999914</v>
      </c>
      <c r="L53" s="19">
        <f t="shared" si="20"/>
        <v>0.82792473160319235</v>
      </c>
      <c r="M53" s="134">
        <f t="shared" si="24"/>
        <v>0.878584900000007</v>
      </c>
      <c r="N53" s="19"/>
      <c r="O53" s="120">
        <v>39256.9555109379</v>
      </c>
      <c r="P53" s="120">
        <v>2755.1843087301968</v>
      </c>
      <c r="Q53">
        <v>110.247</v>
      </c>
      <c r="R53">
        <v>16.941016666666641</v>
      </c>
      <c r="S53" s="131">
        <f t="shared" si="7"/>
        <v>393672025.10937905</v>
      </c>
      <c r="T53" s="131">
        <f t="shared" si="8"/>
        <v>27721253.253968634</v>
      </c>
      <c r="V53" s="120">
        <f t="shared" si="25"/>
        <v>127479.99600000028</v>
      </c>
      <c r="W53" s="133">
        <f t="shared" si="21"/>
        <v>1021918.9320000019</v>
      </c>
      <c r="X53" s="19">
        <f t="shared" si="33"/>
        <v>4.5986375447058829E-3</v>
      </c>
      <c r="Y53" s="134">
        <f t="shared" si="27"/>
        <v>4.4837534000000678E-3</v>
      </c>
      <c r="AA53" s="120">
        <v>2495008.4185559447</v>
      </c>
      <c r="AB53" s="120">
        <v>284459.40185788507</v>
      </c>
      <c r="AC53">
        <v>10007879.414862383</v>
      </c>
      <c r="AD53">
        <v>1054154.109951213</v>
      </c>
      <c r="AE53" s="120">
        <f t="shared" si="11"/>
        <v>12502887.833418328</v>
      </c>
      <c r="AF53" s="131">
        <f t="shared" si="12"/>
        <v>1338613.5118090981</v>
      </c>
      <c r="AH53" s="120">
        <f t="shared" si="28"/>
        <v>25392.656400000211</v>
      </c>
      <c r="AI53" s="133">
        <f t="shared" si="22"/>
        <v>315753.53700000211</v>
      </c>
      <c r="AJ53" s="19">
        <f t="shared" si="34"/>
        <v>1.8969371051456636E-2</v>
      </c>
      <c r="AK53" s="134">
        <f t="shared" si="30"/>
        <v>1.9703102000000139E-2</v>
      </c>
    </row>
    <row r="54" spans="2:37" x14ac:dyDescent="0.2">
      <c r="B54">
        <v>2059</v>
      </c>
      <c r="C54" s="120">
        <v>615125.55170775927</v>
      </c>
      <c r="D54" s="120">
        <v>53312.017953725182</v>
      </c>
      <c r="E54" s="121">
        <v>1742574.0000000002</v>
      </c>
      <c r="F54" s="122">
        <v>154243.59100308036</v>
      </c>
      <c r="G54" s="120">
        <f t="shared" si="19"/>
        <v>2357699.5517077595</v>
      </c>
      <c r="H54" s="120">
        <f t="shared" si="18"/>
        <v>207555.60895680555</v>
      </c>
      <c r="J54" s="128">
        <f t="shared" si="31"/>
        <v>193011.62999999896</v>
      </c>
      <c r="K54" s="120">
        <f t="shared" si="32"/>
        <v>2384919.5999999903</v>
      </c>
      <c r="L54" s="19">
        <f t="shared" si="20"/>
        <v>0.92992731427540776</v>
      </c>
      <c r="M54" s="134">
        <f t="shared" si="24"/>
        <v>0.90103395000000575</v>
      </c>
      <c r="N54" s="19"/>
      <c r="O54" s="120">
        <v>39070.530704924771</v>
      </c>
      <c r="P54" s="120">
        <v>2750.3999301541553</v>
      </c>
      <c r="Q54">
        <v>110.247</v>
      </c>
      <c r="R54">
        <v>17.084316666666695</v>
      </c>
      <c r="S54" s="131">
        <f t="shared" si="7"/>
        <v>391807777.04924774</v>
      </c>
      <c r="T54" s="131">
        <f t="shared" si="8"/>
        <v>27674842.46820822</v>
      </c>
      <c r="V54" s="120">
        <f t="shared" si="25"/>
        <v>130963.35800000001</v>
      </c>
      <c r="W54" s="133">
        <f t="shared" si="21"/>
        <v>1053269.1900000013</v>
      </c>
      <c r="X54" s="19">
        <f t="shared" si="33"/>
        <v>4.7322169277185808E-3</v>
      </c>
      <c r="Y54" s="134">
        <f t="shared" si="27"/>
        <v>4.610045700000065E-3</v>
      </c>
      <c r="AA54" s="120">
        <v>2557792.1890479573</v>
      </c>
      <c r="AB54" s="120">
        <v>292131.55189745687</v>
      </c>
      <c r="AC54">
        <v>10043855.955612499</v>
      </c>
      <c r="AD54">
        <v>1064054.9954514485</v>
      </c>
      <c r="AE54" s="120">
        <f t="shared" si="11"/>
        <v>12601648.144660456</v>
      </c>
      <c r="AF54" s="131">
        <f t="shared" si="12"/>
        <v>1356186.5473489054</v>
      </c>
      <c r="AH54" s="120">
        <f t="shared" si="28"/>
        <v>26013.002200000221</v>
      </c>
      <c r="AI54" s="133">
        <f t="shared" si="22"/>
        <v>325058.72400000226</v>
      </c>
      <c r="AJ54" s="19">
        <f t="shared" si="34"/>
        <v>1.9180991177689267E-2</v>
      </c>
      <c r="AK54" s="134">
        <f t="shared" si="30"/>
        <v>2.0126621000000067E-2</v>
      </c>
    </row>
    <row r="55" spans="2:37" x14ac:dyDescent="0.2">
      <c r="B55">
        <v>2060</v>
      </c>
      <c r="C55" s="120">
        <v>615673.67917022377</v>
      </c>
      <c r="D55" s="120">
        <v>48413.042837041081</v>
      </c>
      <c r="E55" s="121">
        <v>1742574.0000000002</v>
      </c>
      <c r="F55" s="122">
        <v>152563.31220172485</v>
      </c>
      <c r="G55" s="120">
        <f t="shared" si="19"/>
        <v>2358247.6791702239</v>
      </c>
      <c r="H55" s="120">
        <f t="shared" si="18"/>
        <v>200976.35503876593</v>
      </c>
      <c r="J55" s="128">
        <f t="shared" si="31"/>
        <v>197871.19999999925</v>
      </c>
      <c r="K55" s="120">
        <f t="shared" si="32"/>
        <v>2457813.1499999911</v>
      </c>
      <c r="L55" s="19">
        <f t="shared" si="20"/>
        <v>0.9845496499418166</v>
      </c>
      <c r="M55" s="134">
        <f t="shared" si="24"/>
        <v>0.92348300000000449</v>
      </c>
      <c r="N55" s="19"/>
      <c r="O55" s="120">
        <v>38895.346745635819</v>
      </c>
      <c r="P55" s="120">
        <v>2749.1053638713347</v>
      </c>
      <c r="Q55">
        <v>110.247</v>
      </c>
      <c r="R55">
        <v>16.688216666666648</v>
      </c>
      <c r="S55" s="131">
        <f t="shared" si="7"/>
        <v>390055937.45635819</v>
      </c>
      <c r="T55" s="131">
        <f t="shared" si="8"/>
        <v>27657935.805380013</v>
      </c>
      <c r="V55" s="120">
        <f t="shared" si="25"/>
        <v>134446.71999999974</v>
      </c>
      <c r="W55" s="133">
        <f>SUM(V47:V55)</f>
        <v>1084619.4480000008</v>
      </c>
      <c r="X55" s="19">
        <f t="shared" si="33"/>
        <v>4.8610540188558544E-3</v>
      </c>
      <c r="Y55" s="134">
        <f t="shared" si="27"/>
        <v>4.7363380000000621E-3</v>
      </c>
      <c r="AA55" s="120">
        <v>2621609.8793872031</v>
      </c>
      <c r="AB55" s="120">
        <v>299252.05218666932</v>
      </c>
      <c r="AC55">
        <v>10079655.562785538</v>
      </c>
      <c r="AD55">
        <v>1064551.7122853398</v>
      </c>
      <c r="AE55" s="120">
        <f t="shared" si="11"/>
        <v>12701265.442172742</v>
      </c>
      <c r="AF55" s="131">
        <f t="shared" si="12"/>
        <v>1363803.7644720091</v>
      </c>
      <c r="AH55" s="120">
        <f t="shared" si="28"/>
        <v>26633.347999999998</v>
      </c>
      <c r="AI55" s="133">
        <f>SUM(AH41:AH55)</f>
        <v>334363.91100000218</v>
      </c>
      <c r="AJ55" s="19">
        <f t="shared" si="34"/>
        <v>1.952872450847867E-2</v>
      </c>
      <c r="AK55" s="134">
        <f t="shared" si="30"/>
        <v>2.0550140000000106E-2</v>
      </c>
    </row>
  </sheetData>
  <mergeCells count="9">
    <mergeCell ref="AA8:AB8"/>
    <mergeCell ref="AC8:AD8"/>
    <mergeCell ref="AE8:AK8"/>
    <mergeCell ref="C8:D8"/>
    <mergeCell ref="E8:F8"/>
    <mergeCell ref="O8:P8"/>
    <mergeCell ref="Q8:R8"/>
    <mergeCell ref="G8:M8"/>
    <mergeCell ref="S8:Y8"/>
  </mergeCells>
  <phoneticPr fontId="1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82AEF-9D6A-45A5-ABEF-1F06EE728A5F}">
  <sheetPr codeName="Sheet5"/>
  <dimension ref="A1:AV3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defaultRowHeight="14.25" x14ac:dyDescent="0.2"/>
  <cols>
    <col min="1" max="1" width="20.625" bestFit="1" customWidth="1"/>
    <col min="2" max="2" width="14.25" bestFit="1" customWidth="1"/>
  </cols>
  <sheetData>
    <row r="1" spans="1:48" x14ac:dyDescent="0.2">
      <c r="A1" s="4" t="s">
        <v>99</v>
      </c>
      <c r="B1">
        <v>1</v>
      </c>
      <c r="C1" s="117">
        <v>2015</v>
      </c>
      <c r="D1" s="118">
        <v>2016</v>
      </c>
      <c r="E1" s="118">
        <v>2017</v>
      </c>
      <c r="F1" s="118">
        <v>2018</v>
      </c>
      <c r="G1" s="118">
        <v>2019</v>
      </c>
      <c r="H1" s="119">
        <v>2020</v>
      </c>
      <c r="I1" s="117">
        <v>2021</v>
      </c>
      <c r="J1" s="118">
        <v>2022</v>
      </c>
      <c r="K1" s="118">
        <v>2023</v>
      </c>
      <c r="L1" s="118">
        <v>2024</v>
      </c>
      <c r="M1" s="118">
        <v>2025</v>
      </c>
      <c r="N1" s="117">
        <v>2026</v>
      </c>
      <c r="O1" s="118">
        <v>2027</v>
      </c>
      <c r="P1" s="118">
        <v>2028</v>
      </c>
      <c r="Q1" s="118">
        <v>2029</v>
      </c>
      <c r="R1" s="119">
        <v>2030</v>
      </c>
      <c r="S1" s="117">
        <v>2031</v>
      </c>
      <c r="T1" s="118">
        <v>2032</v>
      </c>
      <c r="U1" s="118">
        <v>2033</v>
      </c>
      <c r="V1" s="118">
        <v>2034</v>
      </c>
      <c r="W1" s="119">
        <v>2035</v>
      </c>
      <c r="X1" s="117">
        <v>2036</v>
      </c>
      <c r="Y1" s="118">
        <v>2037</v>
      </c>
      <c r="Z1" s="118">
        <v>2038</v>
      </c>
      <c r="AA1" s="118">
        <v>2039</v>
      </c>
      <c r="AB1" s="119">
        <v>2040</v>
      </c>
      <c r="AC1" s="117">
        <v>2041</v>
      </c>
      <c r="AD1" s="118">
        <v>2042</v>
      </c>
      <c r="AE1" s="118">
        <v>2043</v>
      </c>
      <c r="AF1" s="118">
        <v>2044</v>
      </c>
      <c r="AG1" s="119">
        <v>2045</v>
      </c>
      <c r="AH1" s="117">
        <v>2046</v>
      </c>
      <c r="AI1" s="118">
        <v>2047</v>
      </c>
      <c r="AJ1" s="118">
        <v>2048</v>
      </c>
      <c r="AK1" s="118">
        <v>2049</v>
      </c>
      <c r="AL1" s="119">
        <v>2050</v>
      </c>
      <c r="AM1" s="117">
        <v>2051</v>
      </c>
      <c r="AN1" s="118">
        <v>2052</v>
      </c>
      <c r="AO1" s="118">
        <v>2053</v>
      </c>
      <c r="AP1" s="118">
        <v>2054</v>
      </c>
      <c r="AQ1" s="119">
        <v>2055</v>
      </c>
      <c r="AR1" s="117">
        <v>2056</v>
      </c>
      <c r="AS1" s="118">
        <v>2057</v>
      </c>
      <c r="AT1" s="118">
        <v>2058</v>
      </c>
      <c r="AU1" s="118">
        <v>2059</v>
      </c>
      <c r="AV1" s="119">
        <v>2060</v>
      </c>
    </row>
    <row r="2" spans="1:48" x14ac:dyDescent="0.2">
      <c r="A2" s="87" t="s">
        <v>37</v>
      </c>
      <c r="B2" s="88" t="s">
        <v>70</v>
      </c>
      <c r="C2" s="104" cm="1">
        <f t="array" ref="C2:I8">TRANSPOSE('Pivot Table'!O4:U10)</f>
        <v>1.0156176506608969E-2</v>
      </c>
      <c r="D2" s="102">
        <v>5.7931602590997004E-3</v>
      </c>
      <c r="E2" s="102">
        <v>1.4704566986844653E-2</v>
      </c>
      <c r="F2" s="102">
        <v>1.4480286864323754E-3</v>
      </c>
      <c r="G2" s="102">
        <v>4.7108947144267003E-3</v>
      </c>
      <c r="H2" s="111">
        <v>2.4510110793332248E-3</v>
      </c>
      <c r="I2" s="103">
        <v>7.2276675799423339E-3</v>
      </c>
      <c r="J2" s="90">
        <f>(($M2/$H2)^0.2)^2*H2</f>
        <v>6.286385686578036E-3</v>
      </c>
      <c r="K2" s="90">
        <f>($M2/$H2)^0.2*J2</f>
        <v>1.0067668261764189E-2</v>
      </c>
      <c r="L2" s="90">
        <f>($M2/$H2)^0.2*K2</f>
        <v>1.612340528920167E-2</v>
      </c>
      <c r="M2" s="90">
        <f>'Electric Ratio'!P13*'Electric Ratio'!R13*$B$1</f>
        <v>2.5821688931405261E-2</v>
      </c>
      <c r="N2" s="114">
        <f>($R2/$M2)^0.2*M2</f>
        <v>3.0366560046652918E-2</v>
      </c>
      <c r="O2" s="90">
        <f t="shared" ref="O2:Q2" si="0">($R2/$M2)^0.2*N2</f>
        <v>3.5711373160624373E-2</v>
      </c>
      <c r="P2" s="90">
        <f t="shared" si="0"/>
        <v>4.1996925929643783E-2</v>
      </c>
      <c r="Q2" s="90">
        <f t="shared" si="0"/>
        <v>4.9388797781786259E-2</v>
      </c>
      <c r="R2" s="91">
        <f>'Electric Ratio'!P14*'Electric Ratio'!R14*$B$1</f>
        <v>5.8081711752345513E-2</v>
      </c>
      <c r="S2" s="114">
        <f>($W2/$R2)^0.2*R2</f>
        <v>6.5012882583576154E-2</v>
      </c>
      <c r="T2" s="90">
        <f t="shared" ref="T2:V2" si="1">($W2/$R2)^0.2*S2</f>
        <v>7.2771183463875344E-2</v>
      </c>
      <c r="U2" s="90">
        <f t="shared" si="1"/>
        <v>8.1455319811812407E-2</v>
      </c>
      <c r="V2" s="90">
        <f t="shared" si="1"/>
        <v>9.1175776039678288E-2</v>
      </c>
      <c r="W2" s="91">
        <f>'Electric Ratio'!P15*'Electric Ratio'!R15*$B$1</f>
        <v>0.10205622119762449</v>
      </c>
      <c r="X2" s="114">
        <f>($AB2/$W2)^0.2*W2</f>
        <v>0.11352155223293002</v>
      </c>
      <c r="Y2" s="90">
        <f t="shared" ref="Y2:AA2" si="2">($AB2/$W2)^0.2*X2</f>
        <v>0.12627493620814001</v>
      </c>
      <c r="Z2" s="90">
        <f t="shared" si="2"/>
        <v>0.14046107722040507</v>
      </c>
      <c r="AA2" s="90">
        <f t="shared" si="2"/>
        <v>0.15624093590034846</v>
      </c>
      <c r="AB2" s="91">
        <f>'Electric Ratio'!P16*'Electric Ratio'!R16*$B$1</f>
        <v>0.17379355572442187</v>
      </c>
      <c r="AC2" s="114">
        <f>($AG2/$AB2)^0.2*AB2</f>
        <v>0.18940699033425981</v>
      </c>
      <c r="AD2" s="90">
        <f t="shared" ref="AD2:AF2" si="3">($AG2/$AB2)^0.2*AC2</f>
        <v>0.20642311987889866</v>
      </c>
      <c r="AE2" s="90">
        <f t="shared" si="3"/>
        <v>0.22496796103111305</v>
      </c>
      <c r="AF2" s="90">
        <f t="shared" si="3"/>
        <v>0.24517885167217648</v>
      </c>
      <c r="AG2" s="91">
        <f>'Electric Ratio'!P17*'Electric Ratio'!R17*$B$1</f>
        <v>0.26720546797760908</v>
      </c>
      <c r="AH2" s="114">
        <f>($AL2/$AG2)^0.2*AG2</f>
        <v>0.28539294398928688</v>
      </c>
      <c r="AI2" s="90">
        <f t="shared" ref="AI2:AK2" si="4">($AL2/$AG2)^0.2*AH2</f>
        <v>0.30481835980129496</v>
      </c>
      <c r="AJ2" s="90">
        <f t="shared" si="4"/>
        <v>0.32556597641544893</v>
      </c>
      <c r="AK2" s="90">
        <f t="shared" si="4"/>
        <v>0.34772579010148708</v>
      </c>
      <c r="AL2" s="91">
        <f>'Electric Ratio'!P18*'Electric Ratio'!R18*$B$1</f>
        <v>0.37139392277099698</v>
      </c>
      <c r="AM2" s="114">
        <f>($AQ2/$AK2)^0.2*AL2</f>
        <v>0.39482931282683048</v>
      </c>
      <c r="AN2" s="90">
        <f t="shared" ref="AN2:AP2" si="5">($AQ2/$AK2)^0.2*AM2</f>
        <v>0.419743503351372</v>
      </c>
      <c r="AO2" s="90">
        <f t="shared" si="5"/>
        <v>0.44622980838040421</v>
      </c>
      <c r="AP2" s="90">
        <f t="shared" si="5"/>
        <v>0.47438743017429336</v>
      </c>
      <c r="AQ2" s="91">
        <f>'Electric Ratio'!P19*'Electric Ratio'!R19*$B$1</f>
        <v>0.47218248958450432</v>
      </c>
      <c r="AR2" s="114">
        <f>($AV2/$AQ2)^0.2*AQ2</f>
        <v>0.48992017449360092</v>
      </c>
      <c r="AS2" s="90">
        <f t="shared" ref="AS2:AU2" si="6">($AV2/$AQ2)^0.2*AR2</f>
        <v>0.5083241811593795</v>
      </c>
      <c r="AT2" s="90">
        <f t="shared" si="6"/>
        <v>0.52741954016986214</v>
      </c>
      <c r="AU2" s="90">
        <f t="shared" si="6"/>
        <v>0.54723222239504532</v>
      </c>
      <c r="AV2" s="91">
        <f>'Electric Ratio'!P20*'Electric Ratio'!R20*$B$1</f>
        <v>0.56778917430888953</v>
      </c>
    </row>
    <row r="3" spans="1:48" x14ac:dyDescent="0.2">
      <c r="A3" s="92" t="s">
        <v>38</v>
      </c>
      <c r="B3" s="86" t="s">
        <v>70</v>
      </c>
      <c r="C3" s="104">
        <v>2.4989306018271179E-2</v>
      </c>
      <c r="D3" s="102">
        <v>1.9626904618155399E-2</v>
      </c>
      <c r="E3" s="102">
        <v>6.1228069718387526E-2</v>
      </c>
      <c r="F3" s="102">
        <v>5.7736629238756908E-2</v>
      </c>
      <c r="G3" s="102">
        <v>9.1817408186147503E-2</v>
      </c>
      <c r="H3" s="111">
        <v>8.5155792130889113E-2</v>
      </c>
      <c r="I3" s="104">
        <v>3.9224345301127589E-2</v>
      </c>
      <c r="J3" s="135"/>
      <c r="K3" s="135"/>
      <c r="L3" s="135"/>
      <c r="M3" s="135"/>
      <c r="N3" s="115"/>
      <c r="O3" s="135"/>
      <c r="P3" s="135"/>
      <c r="Q3" s="135"/>
      <c r="R3" s="93"/>
      <c r="S3" s="115"/>
      <c r="T3" s="135"/>
      <c r="U3" s="135"/>
      <c r="V3" s="135"/>
      <c r="W3" s="93"/>
      <c r="X3" s="115"/>
      <c r="Y3" s="135"/>
      <c r="Z3" s="135"/>
      <c r="AA3" s="135"/>
      <c r="AB3" s="93"/>
      <c r="AC3" s="115"/>
      <c r="AD3" s="135"/>
      <c r="AE3" s="135"/>
      <c r="AF3" s="135"/>
      <c r="AG3" s="93"/>
      <c r="AH3" s="115"/>
      <c r="AI3" s="135"/>
      <c r="AJ3" s="135"/>
      <c r="AK3" s="135"/>
      <c r="AL3" s="93"/>
      <c r="AM3" s="115"/>
      <c r="AN3" s="135"/>
      <c r="AO3" s="135"/>
      <c r="AP3" s="135"/>
      <c r="AQ3" s="93"/>
      <c r="AR3" s="115"/>
      <c r="AS3" s="135"/>
      <c r="AT3" s="135"/>
      <c r="AU3" s="135"/>
      <c r="AV3" s="93"/>
    </row>
    <row r="4" spans="1:48" x14ac:dyDescent="0.2">
      <c r="A4" s="92" t="s">
        <v>39</v>
      </c>
      <c r="B4" s="86" t="s">
        <v>70</v>
      </c>
      <c r="C4" s="104">
        <v>3.7806109680316505E-4</v>
      </c>
      <c r="D4" s="102">
        <v>3.1978142300174985E-5</v>
      </c>
      <c r="E4" s="102">
        <v>3.9946263591499085E-5</v>
      </c>
      <c r="F4" s="102">
        <v>3.5146327340591636E-5</v>
      </c>
      <c r="G4" s="102">
        <v>2.3704602722710668E-5</v>
      </c>
      <c r="H4" s="111">
        <v>2.6233151907239576E-5</v>
      </c>
      <c r="I4" s="104">
        <v>2.6325505663603473E-6</v>
      </c>
      <c r="J4" s="135"/>
      <c r="K4" s="135"/>
      <c r="L4" s="135"/>
      <c r="M4" s="135"/>
      <c r="N4" s="115"/>
      <c r="O4" s="135"/>
      <c r="P4" s="135"/>
      <c r="Q4" s="135"/>
      <c r="R4" s="93"/>
      <c r="S4" s="115"/>
      <c r="T4" s="135"/>
      <c r="U4" s="135"/>
      <c r="V4" s="135"/>
      <c r="W4" s="93"/>
      <c r="X4" s="115"/>
      <c r="Y4" s="135"/>
      <c r="Z4" s="135"/>
      <c r="AA4" s="135"/>
      <c r="AB4" s="93"/>
      <c r="AC4" s="115"/>
      <c r="AD4" s="135"/>
      <c r="AE4" s="135"/>
      <c r="AF4" s="135"/>
      <c r="AG4" s="93"/>
      <c r="AH4" s="115"/>
      <c r="AI4" s="135"/>
      <c r="AJ4" s="135"/>
      <c r="AK4" s="135"/>
      <c r="AL4" s="93"/>
      <c r="AM4" s="115"/>
      <c r="AN4" s="135"/>
      <c r="AO4" s="135"/>
      <c r="AP4" s="135"/>
      <c r="AQ4" s="93"/>
      <c r="AR4" s="115"/>
      <c r="AS4" s="135"/>
      <c r="AT4" s="135"/>
      <c r="AU4" s="135"/>
      <c r="AV4" s="93"/>
    </row>
    <row r="5" spans="1:48" x14ac:dyDescent="0.2">
      <c r="A5" s="92" t="s">
        <v>40</v>
      </c>
      <c r="B5" s="86" t="s">
        <v>70</v>
      </c>
      <c r="C5" s="104">
        <v>0.96447645637831669</v>
      </c>
      <c r="D5" s="102">
        <v>0.97454028222629263</v>
      </c>
      <c r="E5" s="102">
        <v>0.92219596768520951</v>
      </c>
      <c r="F5" s="102">
        <v>0.94042346052496317</v>
      </c>
      <c r="G5" s="102">
        <v>0.90184635150607195</v>
      </c>
      <c r="H5" s="111">
        <v>0.91225070307828149</v>
      </c>
      <c r="I5" s="104">
        <v>0.95291485870772041</v>
      </c>
      <c r="J5" s="135">
        <v>1</v>
      </c>
      <c r="K5" s="135">
        <v>1</v>
      </c>
      <c r="L5" s="135">
        <v>1</v>
      </c>
      <c r="M5" s="135">
        <v>1</v>
      </c>
      <c r="N5" s="115">
        <f t="shared" ref="N5:Q5" si="7">($R5/$M5)^0.2*M5</f>
        <v>1</v>
      </c>
      <c r="O5" s="135">
        <f t="shared" si="7"/>
        <v>1</v>
      </c>
      <c r="P5" s="135">
        <f t="shared" si="7"/>
        <v>1</v>
      </c>
      <c r="Q5" s="135">
        <f t="shared" si="7"/>
        <v>1</v>
      </c>
      <c r="R5" s="93">
        <v>1</v>
      </c>
      <c r="S5" s="115">
        <f t="shared" ref="S5:V5" si="8">($W5/$R5)^0.2*R5</f>
        <v>1</v>
      </c>
      <c r="T5" s="135">
        <f t="shared" si="8"/>
        <v>1</v>
      </c>
      <c r="U5" s="135">
        <f t="shared" si="8"/>
        <v>1</v>
      </c>
      <c r="V5" s="135">
        <f t="shared" si="8"/>
        <v>1</v>
      </c>
      <c r="W5" s="93">
        <v>1</v>
      </c>
      <c r="X5" s="115">
        <f t="shared" ref="X5:AA5" si="9">($AB5/$W5)^0.2*W5</f>
        <v>1</v>
      </c>
      <c r="Y5" s="135">
        <f t="shared" si="9"/>
        <v>1</v>
      </c>
      <c r="Z5" s="135">
        <f t="shared" si="9"/>
        <v>1</v>
      </c>
      <c r="AA5" s="135">
        <f t="shared" si="9"/>
        <v>1</v>
      </c>
      <c r="AB5" s="93">
        <v>1</v>
      </c>
      <c r="AC5" s="115">
        <f t="shared" ref="AC5:AF5" si="10">($AG5/$AB5)^0.2*AB5</f>
        <v>1</v>
      </c>
      <c r="AD5" s="135">
        <f t="shared" si="10"/>
        <v>1</v>
      </c>
      <c r="AE5" s="135">
        <f t="shared" si="10"/>
        <v>1</v>
      </c>
      <c r="AF5" s="135">
        <f t="shared" si="10"/>
        <v>1</v>
      </c>
      <c r="AG5" s="93">
        <v>1</v>
      </c>
      <c r="AH5" s="115">
        <f t="shared" ref="AH5:AK5" si="11">($AL5/$AG5)^0.2*AG5</f>
        <v>1</v>
      </c>
      <c r="AI5" s="135">
        <f t="shared" si="11"/>
        <v>1</v>
      </c>
      <c r="AJ5" s="135">
        <f t="shared" si="11"/>
        <v>1</v>
      </c>
      <c r="AK5" s="135">
        <f t="shared" si="11"/>
        <v>1</v>
      </c>
      <c r="AL5" s="93">
        <v>1</v>
      </c>
      <c r="AM5" s="115">
        <f t="shared" ref="AM5:AP5" si="12">($AQ5/$AK5)^0.2*AL5</f>
        <v>1</v>
      </c>
      <c r="AN5" s="135">
        <f t="shared" si="12"/>
        <v>1</v>
      </c>
      <c r="AO5" s="135">
        <f t="shared" si="12"/>
        <v>1</v>
      </c>
      <c r="AP5" s="135">
        <f t="shared" si="12"/>
        <v>1</v>
      </c>
      <c r="AQ5" s="93">
        <v>1</v>
      </c>
      <c r="AR5" s="115">
        <f t="shared" ref="AR5:AU5" si="13">($AV5/$AQ5)^0.2*AQ5</f>
        <v>1</v>
      </c>
      <c r="AS5" s="135">
        <f t="shared" si="13"/>
        <v>1</v>
      </c>
      <c r="AT5" s="135">
        <f t="shared" si="13"/>
        <v>1</v>
      </c>
      <c r="AU5" s="135">
        <f t="shared" si="13"/>
        <v>1</v>
      </c>
      <c r="AV5" s="93">
        <v>1</v>
      </c>
    </row>
    <row r="6" spans="1:48" x14ac:dyDescent="0.2">
      <c r="A6" s="92" t="s">
        <v>41</v>
      </c>
      <c r="B6" s="86" t="s">
        <v>70</v>
      </c>
      <c r="C6" s="104">
        <v>0</v>
      </c>
      <c r="D6" s="102">
        <v>0</v>
      </c>
      <c r="E6" s="102">
        <v>9.7260467874954297E-4</v>
      </c>
      <c r="F6" s="102">
        <v>0</v>
      </c>
      <c r="G6" s="102">
        <v>0</v>
      </c>
      <c r="H6" s="111">
        <v>6.5582879768098939E-6</v>
      </c>
      <c r="I6" s="104">
        <v>1.6453441039752171E-5</v>
      </c>
      <c r="J6" s="135">
        <f t="shared" ref="J6:J27" si="14">(($M6/$H6)^0.2)^2*H6</f>
        <v>3.9889291820295376E-5</v>
      </c>
      <c r="K6" s="135">
        <f t="shared" ref="K6:L27" si="15">($M6/$H6)^0.2*J6</f>
        <v>9.8376019864379423E-5</v>
      </c>
      <c r="L6" s="135">
        <f t="shared" si="15"/>
        <v>2.4261752572485532E-4</v>
      </c>
      <c r="M6" s="135">
        <f>'Electric Ratio'!P13*'Electric Ratio'!Q13*$B$1</f>
        <v>5.9834971845780429E-4</v>
      </c>
      <c r="N6" s="115">
        <f t="shared" ref="N6:Q6" si="16">($R6/$M6)^0.2*M6</f>
        <v>7.036651515210531E-4</v>
      </c>
      <c r="O6" s="135">
        <f t="shared" si="16"/>
        <v>8.2751713620145089E-4</v>
      </c>
      <c r="P6" s="135">
        <f t="shared" si="16"/>
        <v>9.731682878238463E-4</v>
      </c>
      <c r="Q6" s="135">
        <f t="shared" si="16"/>
        <v>1.1444554740863335E-3</v>
      </c>
      <c r="R6" s="93">
        <f>'Electric Ratio'!P14*'Electric Ratio'!Q14*$B$1</f>
        <v>1.3458908891236479E-3</v>
      </c>
      <c r="S6" s="115">
        <f t="shared" ref="S6:V6" si="17">($W6/$R6)^0.2*R6</f>
        <v>1.5065025410751108E-3</v>
      </c>
      <c r="T6" s="135">
        <f t="shared" si="17"/>
        <v>1.6862807561937962E-3</v>
      </c>
      <c r="U6" s="135">
        <f t="shared" si="17"/>
        <v>1.887512772915893E-3</v>
      </c>
      <c r="V6" s="135">
        <f t="shared" si="17"/>
        <v>2.1127587768730955E-3</v>
      </c>
      <c r="W6" s="93">
        <f>'Electric Ratio'!P15*'Electric Ratio'!Q15*$B$1</f>
        <v>2.3648844729980542E-3</v>
      </c>
      <c r="X6" s="115">
        <f t="shared" ref="X6:AA6" si="18">($AB6/$W6)^0.2*W6</f>
        <v>2.6305633608207975E-3</v>
      </c>
      <c r="Y6" s="135">
        <f t="shared" si="18"/>
        <v>2.9260894873736625E-3</v>
      </c>
      <c r="Z6" s="135">
        <f t="shared" si="18"/>
        <v>3.2548159894719726E-3</v>
      </c>
      <c r="AA6" s="135">
        <f t="shared" si="18"/>
        <v>3.6204727063323685E-3</v>
      </c>
      <c r="AB6" s="93">
        <f>'Electric Ratio'!P16*'Electric Ratio'!Q16*$B$1</f>
        <v>4.0272084995576348E-3</v>
      </c>
      <c r="AC6" s="115">
        <f t="shared" ref="AC6:AF6" si="19">($AG6/$AB6)^0.2*AB6</f>
        <v>4.3890087763626667E-3</v>
      </c>
      <c r="AD6" s="135">
        <f t="shared" si="19"/>
        <v>4.7833128185701046E-3</v>
      </c>
      <c r="AE6" s="135">
        <f t="shared" si="19"/>
        <v>5.2130407310915982E-3</v>
      </c>
      <c r="AF6" s="135">
        <f t="shared" si="19"/>
        <v>5.6813749580659455E-3</v>
      </c>
      <c r="AG6" s="93">
        <f>'Electric Ratio'!P17*'Electric Ratio'!Q17*$B$1</f>
        <v>6.1917838511459126E-3</v>
      </c>
      <c r="AH6" s="115">
        <f t="shared" ref="AH6:AK6" si="20">($AL6/$AG6)^0.2*AG6</f>
        <v>6.6132307665647504E-3</v>
      </c>
      <c r="AI6" s="135">
        <f t="shared" si="20"/>
        <v>7.063363680523925E-3</v>
      </c>
      <c r="AJ6" s="135">
        <f t="shared" si="20"/>
        <v>7.5441351200965989E-3</v>
      </c>
      <c r="AK6" s="135">
        <f t="shared" si="20"/>
        <v>8.0576305121037358E-3</v>
      </c>
      <c r="AL6" s="93">
        <f>'Electric Ratio'!P18*'Electric Ratio'!Q18*$B$1</f>
        <v>8.6060772290029973E-3</v>
      </c>
      <c r="AM6" s="115">
        <f t="shared" ref="AM6:AP6" si="21">($AQ6/$AK6)^0.2*AL6</f>
        <v>9.1491307480469092E-3</v>
      </c>
      <c r="AN6" s="135">
        <f t="shared" si="21"/>
        <v>9.7264515780501187E-3</v>
      </c>
      <c r="AO6" s="135">
        <f t="shared" si="21"/>
        <v>1.0340202026334469E-2</v>
      </c>
      <c r="AP6" s="135">
        <f t="shared" si="21"/>
        <v>1.0992680844337877E-2</v>
      </c>
      <c r="AQ6" s="93">
        <f>'Electric Ratio'!P19*'Electric Ratio'!Q19*$B$1</f>
        <v>1.0941587146144027E-2</v>
      </c>
      <c r="AR6" s="115">
        <f t="shared" ref="AR6:AU6" si="22">($AV6/$AQ6)^0.2*AQ6</f>
        <v>1.1352611335911214E-2</v>
      </c>
      <c r="AS6" s="135">
        <f t="shared" si="22"/>
        <v>1.1779075779666902E-2</v>
      </c>
      <c r="AT6" s="135">
        <f t="shared" si="22"/>
        <v>1.2221560495446924E-2</v>
      </c>
      <c r="AU6" s="135">
        <f t="shared" si="22"/>
        <v>1.2680667289848506E-2</v>
      </c>
      <c r="AV6" s="93">
        <f>'Electric Ratio'!P20*'Electric Ratio'!Q20*$B$1</f>
        <v>1.3157020576524472E-2</v>
      </c>
    </row>
    <row r="7" spans="1:48" x14ac:dyDescent="0.2">
      <c r="A7" s="92" t="s">
        <v>42</v>
      </c>
      <c r="B7" s="86" t="s">
        <v>70</v>
      </c>
      <c r="C7" s="104">
        <v>0</v>
      </c>
      <c r="D7" s="102">
        <v>0</v>
      </c>
      <c r="E7" s="102">
        <v>0</v>
      </c>
      <c r="F7" s="102">
        <v>0</v>
      </c>
      <c r="G7" s="102">
        <v>0</v>
      </c>
      <c r="H7" s="111">
        <v>0</v>
      </c>
      <c r="I7" s="104">
        <v>0</v>
      </c>
      <c r="J7" s="135"/>
      <c r="K7" s="135"/>
      <c r="L7" s="135"/>
      <c r="M7" s="135"/>
      <c r="N7" s="115"/>
      <c r="O7" s="135"/>
      <c r="P7" s="135"/>
      <c r="Q7" s="135"/>
      <c r="R7" s="93"/>
      <c r="S7" s="115"/>
      <c r="T7" s="135"/>
      <c r="U7" s="135"/>
      <c r="V7" s="135"/>
      <c r="W7" s="93"/>
      <c r="X7" s="115"/>
      <c r="Y7" s="135"/>
      <c r="Z7" s="135"/>
      <c r="AA7" s="135"/>
      <c r="AB7" s="93"/>
      <c r="AC7" s="115"/>
      <c r="AD7" s="135"/>
      <c r="AE7" s="135"/>
      <c r="AF7" s="135"/>
      <c r="AG7" s="93"/>
      <c r="AH7" s="115"/>
      <c r="AI7" s="135"/>
      <c r="AJ7" s="135"/>
      <c r="AK7" s="135"/>
      <c r="AL7" s="93"/>
      <c r="AM7" s="115"/>
      <c r="AN7" s="135"/>
      <c r="AO7" s="135"/>
      <c r="AP7" s="135"/>
      <c r="AQ7" s="93"/>
      <c r="AR7" s="115"/>
      <c r="AS7" s="135"/>
      <c r="AT7" s="135"/>
      <c r="AU7" s="135"/>
      <c r="AV7" s="93"/>
    </row>
    <row r="8" spans="1:48" x14ac:dyDescent="0.2">
      <c r="A8" s="94" t="s">
        <v>43</v>
      </c>
      <c r="B8" s="106" t="s">
        <v>70</v>
      </c>
      <c r="C8" s="105">
        <v>0</v>
      </c>
      <c r="D8" s="95">
        <v>0</v>
      </c>
      <c r="E8" s="95">
        <v>8.1021443327975319E-4</v>
      </c>
      <c r="F8" s="95">
        <v>3.5497790613997553E-4</v>
      </c>
      <c r="G8" s="95">
        <v>1.5913689961179762E-3</v>
      </c>
      <c r="H8" s="112">
        <v>8.7046367692204042E-5</v>
      </c>
      <c r="I8" s="105">
        <v>5.4296355431182163E-4</v>
      </c>
      <c r="J8" s="96" cm="1">
        <f t="array" ref="J8:AV8">TRANSPOSE(Hydrogen!AK17:'Hydrogen'!AK55)</f>
        <v>4.456418000000073E-3</v>
      </c>
      <c r="K8" s="96">
        <v>4.8799370000001119E-3</v>
      </c>
      <c r="L8" s="96">
        <v>5.3034560000000397E-3</v>
      </c>
      <c r="M8" s="96">
        <v>5.7269750000000785E-3</v>
      </c>
      <c r="N8" s="116">
        <v>6.1504940000001174E-3</v>
      </c>
      <c r="O8" s="96">
        <v>6.5740130000000452E-3</v>
      </c>
      <c r="P8" s="96">
        <v>6.997532000000084E-3</v>
      </c>
      <c r="Q8" s="96">
        <v>7.4210510000001229E-3</v>
      </c>
      <c r="R8" s="97">
        <v>7.8445700000000507E-3</v>
      </c>
      <c r="S8" s="116">
        <v>8.2680890000000895E-3</v>
      </c>
      <c r="T8" s="96">
        <v>8.6916080000001283E-3</v>
      </c>
      <c r="U8" s="96">
        <v>9.1151270000000562E-3</v>
      </c>
      <c r="V8" s="96">
        <v>9.538646000000095E-3</v>
      </c>
      <c r="W8" s="97">
        <v>9.9621650000001338E-3</v>
      </c>
      <c r="X8" s="116">
        <v>1.0385684000000062E-2</v>
      </c>
      <c r="Y8" s="96">
        <v>1.08092030000001E-2</v>
      </c>
      <c r="Z8" s="96">
        <v>1.1232722000000028E-2</v>
      </c>
      <c r="AA8" s="96">
        <v>1.1656241000000067E-2</v>
      </c>
      <c r="AB8" s="97">
        <v>1.2079760000000106E-2</v>
      </c>
      <c r="AC8" s="116">
        <v>1.2503279000000034E-2</v>
      </c>
      <c r="AD8" s="96">
        <v>1.2926798000000073E-2</v>
      </c>
      <c r="AE8" s="96">
        <v>1.3350317000000111E-2</v>
      </c>
      <c r="AF8" s="96">
        <v>1.3773836000000039E-2</v>
      </c>
      <c r="AG8" s="97">
        <v>1.4197355000000078E-2</v>
      </c>
      <c r="AH8" s="116">
        <v>1.4620874000000117E-2</v>
      </c>
      <c r="AI8" s="96">
        <v>1.5044393000000045E-2</v>
      </c>
      <c r="AJ8" s="96">
        <v>1.5467912000000084E-2</v>
      </c>
      <c r="AK8" s="96">
        <v>1.5891431000000122E-2</v>
      </c>
      <c r="AL8" s="97">
        <v>1.631495000000005E-2</v>
      </c>
      <c r="AM8" s="116">
        <v>1.6738469000000089E-2</v>
      </c>
      <c r="AN8" s="96">
        <v>1.7161988000000128E-2</v>
      </c>
      <c r="AO8" s="96">
        <v>1.7585507000000056E-2</v>
      </c>
      <c r="AP8" s="96">
        <v>1.8009026000000095E-2</v>
      </c>
      <c r="AQ8" s="97">
        <v>1.8432545000000133E-2</v>
      </c>
      <c r="AR8" s="116">
        <v>1.8856064000000061E-2</v>
      </c>
      <c r="AS8" s="96">
        <v>1.92795830000001E-2</v>
      </c>
      <c r="AT8" s="96">
        <v>1.9703102000000139E-2</v>
      </c>
      <c r="AU8" s="96">
        <v>2.0126621000000067E-2</v>
      </c>
      <c r="AV8" s="97">
        <v>2.0550140000000106E-2</v>
      </c>
    </row>
    <row r="9" spans="1:48" x14ac:dyDescent="0.2">
      <c r="A9" s="87" t="s">
        <v>37</v>
      </c>
      <c r="B9" s="107" t="s">
        <v>66</v>
      </c>
      <c r="C9" s="103" cm="1">
        <f t="array" ref="C9:I15">TRANSPOSE('Pivot Table'!O12:U18)</f>
        <v>1.6196795145339851E-2</v>
      </c>
      <c r="D9" s="89">
        <v>1.0646226870465011E-2</v>
      </c>
      <c r="E9" s="89">
        <v>3.1765911361251509E-2</v>
      </c>
      <c r="F9" s="89">
        <v>1.9954350363406721E-2</v>
      </c>
      <c r="G9" s="89">
        <v>8.2804976335238232E-3</v>
      </c>
      <c r="H9" s="110">
        <v>6.1048099092889446E-3</v>
      </c>
      <c r="I9" s="103">
        <v>1.6377494764606228E-2</v>
      </c>
      <c r="J9" s="90">
        <f t="shared" si="14"/>
        <v>1.7792069968407646E-2</v>
      </c>
      <c r="K9" s="90">
        <f t="shared" si="15"/>
        <v>3.0374115772353785E-2</v>
      </c>
      <c r="L9" s="90">
        <f t="shared" si="15"/>
        <v>5.185382648508776E-2</v>
      </c>
      <c r="M9" s="90">
        <f>'Electric Ratio'!T13*'Electric Ratio'!V13*Projection!$B$1</f>
        <v>8.8523377644886894E-2</v>
      </c>
      <c r="N9" s="114">
        <f t="shared" ref="N9:Q9" si="23">($R9/$M9)^0.2*M9</f>
        <v>0.10196580454494283</v>
      </c>
      <c r="O9" s="90">
        <f t="shared" si="23"/>
        <v>0.11744948705194393</v>
      </c>
      <c r="P9" s="90">
        <f t="shared" si="23"/>
        <v>0.13528439333487219</v>
      </c>
      <c r="Q9" s="90">
        <f t="shared" si="23"/>
        <v>0.15582756076142004</v>
      </c>
      <c r="R9" s="91">
        <f>'Electric Ratio'!T14*'Electric Ratio'!V14*Projection!$B$1</f>
        <v>0.17949024343663758</v>
      </c>
      <c r="S9" s="114">
        <f t="shared" ref="S9:V9" si="24">($W9/$R9)^0.2*R9</f>
        <v>0.19850360840922185</v>
      </c>
      <c r="T9" s="90">
        <f t="shared" si="24"/>
        <v>0.2195310552653616</v>
      </c>
      <c r="U9" s="90">
        <f t="shared" si="24"/>
        <v>0.24278593528924641</v>
      </c>
      <c r="V9" s="90">
        <f t="shared" si="24"/>
        <v>0.26850420002319692</v>
      </c>
      <c r="W9" s="91">
        <f>'Electric Ratio'!T15*'Electric Ratio'!V15*Projection!$B$1</f>
        <v>0.29694679530841084</v>
      </c>
      <c r="X9" s="114">
        <f t="shared" ref="X9:AA9" si="25">($AB9/$W9)^0.2*W9</f>
        <v>0.32222352741419563</v>
      </c>
      <c r="Y9" s="90">
        <f t="shared" si="25"/>
        <v>0.34965186780820606</v>
      </c>
      <c r="Z9" s="90">
        <f t="shared" si="25"/>
        <v>0.37941496588675594</v>
      </c>
      <c r="AA9" s="90">
        <f t="shared" si="25"/>
        <v>0.41171156110572232</v>
      </c>
      <c r="AB9" s="91">
        <f>'Electric Ratio'!T16*'Electric Ratio'!V16*Projection!$B$1</f>
        <v>0.44675731003901265</v>
      </c>
      <c r="AC9" s="114">
        <f t="shared" ref="AC9:AF9" si="26">($AG9/$AB9)^0.2*AB9</f>
        <v>0.47489097494484778</v>
      </c>
      <c r="AD9" s="90">
        <f t="shared" si="26"/>
        <v>0.50479630219005167</v>
      </c>
      <c r="AE9" s="90">
        <f t="shared" si="26"/>
        <v>0.53658485873382589</v>
      </c>
      <c r="AF9" s="90">
        <f t="shared" si="26"/>
        <v>0.57037523724569417</v>
      </c>
      <c r="AG9" s="91">
        <f>'Electric Ratio'!T17*'Electric Ratio'!V17*Projection!$B$1</f>
        <v>0.60629349853582337</v>
      </c>
      <c r="AH9" s="114">
        <f t="shared" ref="AH9:AK9" si="27">($AL9/$AG9)^0.2*AG9</f>
        <v>0.6392433508691916</v>
      </c>
      <c r="AI9" s="90">
        <f t="shared" si="27"/>
        <v>0.67398390815224618</v>
      </c>
      <c r="AJ9" s="90">
        <f t="shared" si="27"/>
        <v>0.71061248870327243</v>
      </c>
      <c r="AK9" s="90">
        <f t="shared" si="27"/>
        <v>0.74923169973813508</v>
      </c>
      <c r="AL9" s="91">
        <f>'Electric Ratio'!T18*'Electric Ratio'!V18*Projection!$B$1</f>
        <v>0.78994972480267611</v>
      </c>
      <c r="AM9" s="114">
        <f t="shared" ref="AM9:AP9" si="28">($AQ9/$AK9)^0.2*AL9</f>
        <v>0.81820152568513649</v>
      </c>
      <c r="AN9" s="90">
        <f t="shared" si="28"/>
        <v>0.84746372536645909</v>
      </c>
      <c r="AO9" s="90">
        <f t="shared" si="28"/>
        <v>0.8777724597990737</v>
      </c>
      <c r="AP9" s="90">
        <f t="shared" si="28"/>
        <v>0.9091651573033932</v>
      </c>
      <c r="AQ9" s="91">
        <f>'Electric Ratio'!T19*'Electric Ratio'!V19*Projection!$B$1</f>
        <v>0.89314157977262021</v>
      </c>
      <c r="AR9" s="114">
        <f t="shared" ref="AR9:AU9" si="29">($AV9/$AQ9)^0.2*AQ9</f>
        <v>0.91216164383814913</v>
      </c>
      <c r="AS9" s="90">
        <f t="shared" si="29"/>
        <v>0.93158675324615203</v>
      </c>
      <c r="AT9" s="90">
        <f t="shared" si="29"/>
        <v>0.95142553371570626</v>
      </c>
      <c r="AU9" s="90">
        <f t="shared" si="29"/>
        <v>0.97168679465650776</v>
      </c>
      <c r="AV9" s="91">
        <f>'Electric Ratio'!T20*'Electric Ratio'!V20*Projection!$B$1</f>
        <v>0.99237953308068916</v>
      </c>
    </row>
    <row r="10" spans="1:48" x14ac:dyDescent="0.2">
      <c r="A10" s="92" t="s">
        <v>38</v>
      </c>
      <c r="B10" s="107" t="s">
        <v>66</v>
      </c>
      <c r="C10" s="104">
        <v>2.3551845755015059E-2</v>
      </c>
      <c r="D10" s="102">
        <v>1.0011230854930093E-2</v>
      </c>
      <c r="E10" s="113">
        <v>1.042548717482048E-2</v>
      </c>
      <c r="F10" s="102">
        <v>1.3300617434326062E-2</v>
      </c>
      <c r="G10" s="102">
        <v>1.4985627624185774E-2</v>
      </c>
      <c r="H10" s="111">
        <v>8.6013824417410061E-3</v>
      </c>
      <c r="I10" s="104">
        <v>9.3264694104484881E-3</v>
      </c>
      <c r="J10" s="135"/>
      <c r="K10" s="135"/>
      <c r="L10" s="135"/>
      <c r="M10" s="135"/>
      <c r="N10" s="115"/>
      <c r="O10" s="135"/>
      <c r="P10" s="135"/>
      <c r="Q10" s="135"/>
      <c r="R10" s="93"/>
      <c r="S10" s="115"/>
      <c r="T10" s="135"/>
      <c r="U10" s="135"/>
      <c r="V10" s="135"/>
      <c r="W10" s="93"/>
      <c r="X10" s="115"/>
      <c r="Y10" s="135"/>
      <c r="Z10" s="135"/>
      <c r="AA10" s="135"/>
      <c r="AB10" s="93"/>
      <c r="AC10" s="115"/>
      <c r="AD10" s="135"/>
      <c r="AE10" s="135"/>
      <c r="AF10" s="135"/>
      <c r="AG10" s="93"/>
      <c r="AH10" s="115"/>
      <c r="AI10" s="135"/>
      <c r="AJ10" s="135"/>
      <c r="AK10" s="135"/>
      <c r="AL10" s="93"/>
      <c r="AM10" s="115"/>
      <c r="AN10" s="135"/>
      <c r="AO10" s="135"/>
      <c r="AP10" s="135"/>
      <c r="AQ10" s="93"/>
      <c r="AR10" s="115"/>
      <c r="AS10" s="135"/>
      <c r="AT10" s="135"/>
      <c r="AU10" s="135"/>
      <c r="AV10" s="93"/>
    </row>
    <row r="11" spans="1:48" x14ac:dyDescent="0.2">
      <c r="A11" s="92" t="s">
        <v>39</v>
      </c>
      <c r="B11" s="107" t="s">
        <v>66</v>
      </c>
      <c r="C11" s="104">
        <v>0.46163055361867839</v>
      </c>
      <c r="D11" s="102">
        <v>0.45371874413498131</v>
      </c>
      <c r="E11" s="113">
        <v>0.43102638967507628</v>
      </c>
      <c r="F11" s="102">
        <v>0.45988975994317766</v>
      </c>
      <c r="G11" s="102">
        <v>0.49608372736550582</v>
      </c>
      <c r="H11" s="111">
        <v>0.46048538588293036</v>
      </c>
      <c r="I11" s="104">
        <v>0.45817153367142283</v>
      </c>
      <c r="J11" s="135">
        <v>1</v>
      </c>
      <c r="K11" s="135">
        <v>1</v>
      </c>
      <c r="L11" s="135">
        <v>1</v>
      </c>
      <c r="M11" s="135">
        <v>1</v>
      </c>
      <c r="N11" s="115">
        <f t="shared" ref="N11:Q11" si="30">($R11/$M11)^0.2*M11</f>
        <v>1</v>
      </c>
      <c r="O11" s="135">
        <f t="shared" si="30"/>
        <v>1</v>
      </c>
      <c r="P11" s="135">
        <f t="shared" si="30"/>
        <v>1</v>
      </c>
      <c r="Q11" s="135">
        <f t="shared" si="30"/>
        <v>1</v>
      </c>
      <c r="R11" s="93">
        <v>1</v>
      </c>
      <c r="S11" s="115">
        <f t="shared" ref="S11:V11" si="31">($W11/$R11)^0.2*R11</f>
        <v>1</v>
      </c>
      <c r="T11" s="135">
        <f t="shared" si="31"/>
        <v>1</v>
      </c>
      <c r="U11" s="135">
        <f t="shared" si="31"/>
        <v>1</v>
      </c>
      <c r="V11" s="135">
        <f t="shared" si="31"/>
        <v>1</v>
      </c>
      <c r="W11" s="93">
        <v>1</v>
      </c>
      <c r="X11" s="115">
        <f t="shared" ref="X11:AA11" si="32">($AB11/$W11)^0.2*W11</f>
        <v>1</v>
      </c>
      <c r="Y11" s="135">
        <f t="shared" si="32"/>
        <v>1</v>
      </c>
      <c r="Z11" s="135">
        <f t="shared" si="32"/>
        <v>1</v>
      </c>
      <c r="AA11" s="135">
        <f t="shared" si="32"/>
        <v>1</v>
      </c>
      <c r="AB11" s="93">
        <v>1</v>
      </c>
      <c r="AC11" s="115">
        <f t="shared" ref="AC11:AF11" si="33">($AG11/$AB11)^0.2*AB11</f>
        <v>1</v>
      </c>
      <c r="AD11" s="135">
        <f t="shared" si="33"/>
        <v>1</v>
      </c>
      <c r="AE11" s="135">
        <f t="shared" si="33"/>
        <v>1</v>
      </c>
      <c r="AF11" s="135">
        <f t="shared" si="33"/>
        <v>1</v>
      </c>
      <c r="AG11" s="93">
        <v>1</v>
      </c>
      <c r="AH11" s="115">
        <f t="shared" ref="AH11:AK11" si="34">($AL11/$AG11)^0.2*AG11</f>
        <v>1</v>
      </c>
      <c r="AI11" s="135">
        <f t="shared" si="34"/>
        <v>1</v>
      </c>
      <c r="AJ11" s="135">
        <f t="shared" si="34"/>
        <v>1</v>
      </c>
      <c r="AK11" s="135">
        <f t="shared" si="34"/>
        <v>1</v>
      </c>
      <c r="AL11" s="93">
        <v>1</v>
      </c>
      <c r="AM11" s="115">
        <f t="shared" ref="AM11:AP11" si="35">($AQ11/$AK11)^0.2*AL11</f>
        <v>1</v>
      </c>
      <c r="AN11" s="135">
        <f t="shared" si="35"/>
        <v>1</v>
      </c>
      <c r="AO11" s="135">
        <f t="shared" si="35"/>
        <v>1</v>
      </c>
      <c r="AP11" s="135">
        <f t="shared" si="35"/>
        <v>1</v>
      </c>
      <c r="AQ11" s="93">
        <v>1</v>
      </c>
      <c r="AR11" s="115">
        <f t="shared" ref="AR11:AU11" si="36">($AV11/$AQ11)^0.2*AQ11</f>
        <v>1</v>
      </c>
      <c r="AS11" s="135">
        <f t="shared" si="36"/>
        <v>1</v>
      </c>
      <c r="AT11" s="135">
        <f t="shared" si="36"/>
        <v>1</v>
      </c>
      <c r="AU11" s="135">
        <f t="shared" si="36"/>
        <v>1</v>
      </c>
      <c r="AV11" s="93">
        <v>1</v>
      </c>
    </row>
    <row r="12" spans="1:48" x14ac:dyDescent="0.2">
      <c r="A12" s="92" t="s">
        <v>40</v>
      </c>
      <c r="B12" s="107" t="s">
        <v>66</v>
      </c>
      <c r="C12" s="104">
        <v>0.4986181915136243</v>
      </c>
      <c r="D12" s="102">
        <v>0.52562379813962357</v>
      </c>
      <c r="E12" s="113">
        <v>0.52678221178885176</v>
      </c>
      <c r="F12" s="102">
        <v>0.50685478308595844</v>
      </c>
      <c r="G12" s="102">
        <v>0.48060539780316125</v>
      </c>
      <c r="H12" s="111">
        <v>0.5246819425458199</v>
      </c>
      <c r="I12" s="104">
        <v>0.51558787695154329</v>
      </c>
      <c r="J12" s="135">
        <v>1</v>
      </c>
      <c r="K12" s="135">
        <v>1</v>
      </c>
      <c r="L12" s="135">
        <v>1</v>
      </c>
      <c r="M12" s="135">
        <v>1</v>
      </c>
      <c r="N12" s="115">
        <f t="shared" ref="N12:Q12" si="37">($R12/$M12)^0.2*M12</f>
        <v>1</v>
      </c>
      <c r="O12" s="135">
        <f t="shared" si="37"/>
        <v>1</v>
      </c>
      <c r="P12" s="135">
        <f t="shared" si="37"/>
        <v>1</v>
      </c>
      <c r="Q12" s="135">
        <f t="shared" si="37"/>
        <v>1</v>
      </c>
      <c r="R12" s="93">
        <v>1</v>
      </c>
      <c r="S12" s="115">
        <f t="shared" ref="S12:V12" si="38">($W12/$R12)^0.2*R12</f>
        <v>1</v>
      </c>
      <c r="T12" s="135">
        <f t="shared" si="38"/>
        <v>1</v>
      </c>
      <c r="U12" s="135">
        <f t="shared" si="38"/>
        <v>1</v>
      </c>
      <c r="V12" s="135">
        <f t="shared" si="38"/>
        <v>1</v>
      </c>
      <c r="W12" s="93">
        <v>1</v>
      </c>
      <c r="X12" s="115">
        <f t="shared" ref="X12:AA12" si="39">($AB12/$W12)^0.2*W12</f>
        <v>1</v>
      </c>
      <c r="Y12" s="135">
        <f t="shared" si="39"/>
        <v>1</v>
      </c>
      <c r="Z12" s="135">
        <f t="shared" si="39"/>
        <v>1</v>
      </c>
      <c r="AA12" s="135">
        <f t="shared" si="39"/>
        <v>1</v>
      </c>
      <c r="AB12" s="93">
        <v>1</v>
      </c>
      <c r="AC12" s="115">
        <f t="shared" ref="AC12:AF12" si="40">($AG12/$AB12)^0.2*AB12</f>
        <v>1</v>
      </c>
      <c r="AD12" s="135">
        <f t="shared" si="40"/>
        <v>1</v>
      </c>
      <c r="AE12" s="135">
        <f t="shared" si="40"/>
        <v>1</v>
      </c>
      <c r="AF12" s="135">
        <f t="shared" si="40"/>
        <v>1</v>
      </c>
      <c r="AG12" s="93">
        <v>1</v>
      </c>
      <c r="AH12" s="115">
        <f t="shared" ref="AH12:AK12" si="41">($AL12/$AG12)^0.2*AG12</f>
        <v>1</v>
      </c>
      <c r="AI12" s="135">
        <f t="shared" si="41"/>
        <v>1</v>
      </c>
      <c r="AJ12" s="135">
        <f t="shared" si="41"/>
        <v>1</v>
      </c>
      <c r="AK12" s="135">
        <f t="shared" si="41"/>
        <v>1</v>
      </c>
      <c r="AL12" s="93">
        <v>1</v>
      </c>
      <c r="AM12" s="115">
        <f t="shared" ref="AM12:AP12" si="42">($AQ12/$AK12)^0.2*AL12</f>
        <v>1</v>
      </c>
      <c r="AN12" s="135">
        <f t="shared" si="42"/>
        <v>1</v>
      </c>
      <c r="AO12" s="135">
        <f t="shared" si="42"/>
        <v>1</v>
      </c>
      <c r="AP12" s="135">
        <f t="shared" si="42"/>
        <v>1</v>
      </c>
      <c r="AQ12" s="93">
        <v>1</v>
      </c>
      <c r="AR12" s="115">
        <f t="shared" ref="AR12:AU12" si="43">($AV12/$AQ12)^0.2*AQ12</f>
        <v>1</v>
      </c>
      <c r="AS12" s="135">
        <f t="shared" si="43"/>
        <v>1</v>
      </c>
      <c r="AT12" s="135">
        <f t="shared" si="43"/>
        <v>1</v>
      </c>
      <c r="AU12" s="135">
        <f t="shared" si="43"/>
        <v>1</v>
      </c>
      <c r="AV12" s="93">
        <v>1</v>
      </c>
    </row>
    <row r="13" spans="1:48" x14ac:dyDescent="0.2">
      <c r="A13" s="92" t="s">
        <v>41</v>
      </c>
      <c r="B13" s="107" t="s">
        <v>66</v>
      </c>
      <c r="C13" s="104">
        <v>0</v>
      </c>
      <c r="D13" s="102">
        <v>0</v>
      </c>
      <c r="E13" s="113">
        <v>0</v>
      </c>
      <c r="F13" s="102">
        <v>4.8917313108959402E-7</v>
      </c>
      <c r="G13" s="102">
        <v>4.4749573623322746E-5</v>
      </c>
      <c r="H13" s="111">
        <v>1.2647922021981133E-4</v>
      </c>
      <c r="I13" s="104">
        <v>5.3194409395239145E-4</v>
      </c>
      <c r="J13" s="135">
        <f t="shared" si="14"/>
        <v>2.4783133224031296E-4</v>
      </c>
      <c r="K13" s="135">
        <f t="shared" si="15"/>
        <v>3.4691631733876075E-4</v>
      </c>
      <c r="L13" s="135">
        <f t="shared" si="15"/>
        <v>4.8561628647982193E-4</v>
      </c>
      <c r="M13" s="135">
        <f>'Electric Ratio'!T13*'Electric Ratio'!U13*Projection!$B$1</f>
        <v>6.7976963292900726E-4</v>
      </c>
      <c r="N13" s="115">
        <f t="shared" ref="N13:Q13" si="44">($R13/$M13)^0.2*M13</f>
        <v>7.8299381893083705E-4</v>
      </c>
      <c r="O13" s="135">
        <f t="shared" si="44"/>
        <v>9.0189277482467995E-4</v>
      </c>
      <c r="P13" s="135">
        <f t="shared" si="44"/>
        <v>1.0388467413339959E-3</v>
      </c>
      <c r="Q13" s="135">
        <f t="shared" si="44"/>
        <v>1.1965974028232454E-3</v>
      </c>
      <c r="R13" s="93">
        <f>'Electric Ratio'!T14*'Electric Ratio'!U14*Projection!$B$1</f>
        <v>1.3783027731354158E-3</v>
      </c>
      <c r="S13" s="115">
        <f t="shared" ref="S13:V13" si="45">($W13/$R13)^0.2*R13</f>
        <v>1.5243061054981567E-3</v>
      </c>
      <c r="T13" s="135">
        <f t="shared" si="45"/>
        <v>1.6857755411558452E-3</v>
      </c>
      <c r="U13" s="135">
        <f t="shared" si="45"/>
        <v>1.864349401284163E-3</v>
      </c>
      <c r="V13" s="135">
        <f t="shared" si="45"/>
        <v>2.0618395540876397E-3</v>
      </c>
      <c r="W13" s="93">
        <f>'Electric Ratio'!T15*'Electric Ratio'!U15*Projection!$B$1</f>
        <v>2.2802497986011117E-3</v>
      </c>
      <c r="X13" s="115">
        <f t="shared" ref="X13:AA13" si="46">($AB13/$W13)^0.2*W13</f>
        <v>2.4743494292559821E-3</v>
      </c>
      <c r="Y13" s="135">
        <f t="shared" si="46"/>
        <v>2.6849712263171247E-3</v>
      </c>
      <c r="Z13" s="135">
        <f t="shared" si="46"/>
        <v>2.9135215911354111E-3</v>
      </c>
      <c r="AA13" s="135">
        <f t="shared" si="46"/>
        <v>3.1615266408853569E-3</v>
      </c>
      <c r="AB13" s="93">
        <f>'Electric Ratio'!T16*'Electric Ratio'!U16*Projection!$B$1</f>
        <v>3.4306423990263495E-3</v>
      </c>
      <c r="AC13" s="115">
        <f t="shared" ref="AC13:AF13" si="47">($AG13/$AB13)^0.2*AB13</f>
        <v>3.6466803719864996E-3</v>
      </c>
      <c r="AD13" s="135">
        <f t="shared" si="47"/>
        <v>3.8763229123518613E-3</v>
      </c>
      <c r="AE13" s="135">
        <f t="shared" si="47"/>
        <v>4.1204267410578652E-3</v>
      </c>
      <c r="AF13" s="135">
        <f t="shared" si="47"/>
        <v>4.3799025293596652E-3</v>
      </c>
      <c r="AG13" s="93">
        <f>'Electric Ratio'!T17*'Electric Ratio'!U17*Projection!$B$1</f>
        <v>4.6557182962476511E-3</v>
      </c>
      <c r="AH13" s="115">
        <f t="shared" ref="AH13:AK13" si="48">($AL13/$AG13)^0.2*AG13</f>
        <v>4.9087396971658351E-3</v>
      </c>
      <c r="AI13" s="135">
        <f t="shared" si="48"/>
        <v>5.1755118933961407E-3</v>
      </c>
      <c r="AJ13" s="135">
        <f t="shared" si="48"/>
        <v>5.4567821907831708E-3</v>
      </c>
      <c r="AK13" s="135">
        <f t="shared" si="48"/>
        <v>5.7533385085333528E-3</v>
      </c>
      <c r="AL13" s="93">
        <f>'Electric Ratio'!T18*'Electric Ratio'!U18*Projection!$B$1</f>
        <v>6.066011586403827E-3</v>
      </c>
      <c r="AM13" s="115">
        <f t="shared" ref="AM13:AP13" si="49">($AQ13/$AK13)^0.2*AL13</f>
        <v>6.282956723681502E-3</v>
      </c>
      <c r="AN13" s="135">
        <f t="shared" si="49"/>
        <v>6.5076606975387049E-3</v>
      </c>
      <c r="AO13" s="135">
        <f t="shared" si="49"/>
        <v>6.7404009953891814E-3</v>
      </c>
      <c r="AP13" s="135">
        <f t="shared" si="49"/>
        <v>6.9814650287202146E-3</v>
      </c>
      <c r="AQ13" s="93">
        <f>'Electric Ratio'!T19*'Electric Ratio'!U19*Projection!$B$1</f>
        <v>6.8584202273797397E-3</v>
      </c>
      <c r="AR13" s="115">
        <f t="shared" ref="AR13:AU13" si="50">($AV13/$AQ13)^0.2*AQ13</f>
        <v>7.0044750019724661E-3</v>
      </c>
      <c r="AS13" s="135">
        <f t="shared" si="50"/>
        <v>7.1536401134174275E-3</v>
      </c>
      <c r="AT13" s="135">
        <f t="shared" si="50"/>
        <v>7.3059817984765605E-3</v>
      </c>
      <c r="AU13" s="135">
        <f t="shared" si="50"/>
        <v>7.461567704469191E-3</v>
      </c>
      <c r="AV13" s="93">
        <f>'Electric Ratio'!T20*'Electric Ratio'!U20*Projection!$B$1</f>
        <v>7.6204669193108213E-3</v>
      </c>
    </row>
    <row r="14" spans="1:48" x14ac:dyDescent="0.2">
      <c r="A14" s="92" t="s">
        <v>42</v>
      </c>
      <c r="B14" s="107" t="s">
        <v>66</v>
      </c>
      <c r="C14" s="104">
        <v>0</v>
      </c>
      <c r="D14" s="102">
        <v>0</v>
      </c>
      <c r="E14" s="113">
        <v>0</v>
      </c>
      <c r="F14" s="102">
        <v>0</v>
      </c>
      <c r="G14" s="102">
        <v>0</v>
      </c>
      <c r="H14" s="111">
        <v>0</v>
      </c>
      <c r="I14" s="104">
        <v>0</v>
      </c>
      <c r="J14" s="135"/>
      <c r="K14" s="135"/>
      <c r="L14" s="135"/>
      <c r="M14" s="135"/>
      <c r="N14" s="115"/>
      <c r="O14" s="135"/>
      <c r="P14" s="135"/>
      <c r="Q14" s="135"/>
      <c r="R14" s="93"/>
      <c r="S14" s="115"/>
      <c r="T14" s="135"/>
      <c r="U14" s="135"/>
      <c r="V14" s="135"/>
      <c r="W14" s="93"/>
      <c r="X14" s="115"/>
      <c r="Y14" s="135"/>
      <c r="Z14" s="135"/>
      <c r="AA14" s="135"/>
      <c r="AB14" s="93"/>
      <c r="AC14" s="115"/>
      <c r="AD14" s="135"/>
      <c r="AE14" s="135"/>
      <c r="AF14" s="135"/>
      <c r="AG14" s="93"/>
      <c r="AH14" s="115"/>
      <c r="AI14" s="135"/>
      <c r="AJ14" s="135"/>
      <c r="AK14" s="135"/>
      <c r="AL14" s="93"/>
      <c r="AM14" s="115"/>
      <c r="AN14" s="135"/>
      <c r="AO14" s="135"/>
      <c r="AP14" s="135"/>
      <c r="AQ14" s="93"/>
      <c r="AR14" s="115"/>
      <c r="AS14" s="135"/>
      <c r="AT14" s="135"/>
      <c r="AU14" s="135"/>
      <c r="AV14" s="93"/>
    </row>
    <row r="15" spans="1:48" x14ac:dyDescent="0.2">
      <c r="A15" s="94" t="s">
        <v>43</v>
      </c>
      <c r="B15" s="107" t="s">
        <v>66</v>
      </c>
      <c r="C15" s="105">
        <v>0</v>
      </c>
      <c r="D15" s="95">
        <v>0</v>
      </c>
      <c r="E15" s="98">
        <v>0</v>
      </c>
      <c r="F15" s="95">
        <v>0</v>
      </c>
      <c r="G15" s="95">
        <v>0</v>
      </c>
      <c r="H15" s="112">
        <v>0</v>
      </c>
      <c r="I15" s="105">
        <v>1.2766658254857395E-6</v>
      </c>
      <c r="J15" s="96">
        <f>J29</f>
        <v>2.0174360542372349E-6</v>
      </c>
      <c r="K15" s="96">
        <f t="shared" ref="K15:AV15" si="51">K29</f>
        <v>2.0174360542372349E-6</v>
      </c>
      <c r="L15" s="96">
        <f t="shared" si="51"/>
        <v>2.0174360542372349E-6</v>
      </c>
      <c r="M15" s="96">
        <f t="shared" si="51"/>
        <v>3.1610750000005128E-4</v>
      </c>
      <c r="N15" s="116">
        <f t="shared" si="51"/>
        <v>4.4239980000004842E-4</v>
      </c>
      <c r="O15" s="96">
        <f t="shared" si="51"/>
        <v>5.6869210000004555E-4</v>
      </c>
      <c r="P15" s="96">
        <f t="shared" si="51"/>
        <v>6.9498440000004269E-4</v>
      </c>
      <c r="Q15" s="96">
        <f t="shared" si="51"/>
        <v>8.2127670000003983E-4</v>
      </c>
      <c r="R15" s="97">
        <f t="shared" si="51"/>
        <v>9.4756900000003697E-4</v>
      </c>
      <c r="S15" s="116">
        <f t="shared" si="51"/>
        <v>1.0738613000000341E-3</v>
      </c>
      <c r="T15" s="96">
        <f t="shared" si="51"/>
        <v>1.2001536000000312E-3</v>
      </c>
      <c r="U15" s="96">
        <f t="shared" si="51"/>
        <v>1.3264459000000284E-3</v>
      </c>
      <c r="V15" s="96">
        <f t="shared" si="51"/>
        <v>1.4527382000000255E-3</v>
      </c>
      <c r="W15" s="97">
        <f t="shared" si="51"/>
        <v>1.5790305000000227E-3</v>
      </c>
      <c r="X15" s="116">
        <f t="shared" si="51"/>
        <v>1.7053228000000198E-3</v>
      </c>
      <c r="Y15" s="96">
        <f t="shared" si="51"/>
        <v>1.8316151000000169E-3</v>
      </c>
      <c r="Z15" s="96">
        <f t="shared" si="51"/>
        <v>1.9579074000000141E-3</v>
      </c>
      <c r="AA15" s="96">
        <f t="shared" si="51"/>
        <v>2.0841997000000667E-3</v>
      </c>
      <c r="AB15" s="97">
        <f t="shared" si="51"/>
        <v>2.2104920000000639E-3</v>
      </c>
      <c r="AC15" s="116">
        <f t="shared" si="51"/>
        <v>2.336784300000061E-3</v>
      </c>
      <c r="AD15" s="96">
        <f t="shared" si="51"/>
        <v>2.4630766000000581E-3</v>
      </c>
      <c r="AE15" s="96">
        <f t="shared" si="51"/>
        <v>2.5893689000000553E-3</v>
      </c>
      <c r="AF15" s="96">
        <f t="shared" si="51"/>
        <v>2.7156612000000524E-3</v>
      </c>
      <c r="AG15" s="97">
        <f t="shared" si="51"/>
        <v>2.8419535000000495E-3</v>
      </c>
      <c r="AH15" s="116">
        <f t="shared" si="51"/>
        <v>2.9682458000000467E-3</v>
      </c>
      <c r="AI15" s="96">
        <f t="shared" si="51"/>
        <v>3.0945381000000438E-3</v>
      </c>
      <c r="AJ15" s="96">
        <f t="shared" si="51"/>
        <v>3.2208304000000409E-3</v>
      </c>
      <c r="AK15" s="96">
        <f t="shared" si="51"/>
        <v>3.3471227000000381E-3</v>
      </c>
      <c r="AL15" s="97">
        <f t="shared" si="51"/>
        <v>3.4734150000000352E-3</v>
      </c>
      <c r="AM15" s="116">
        <f t="shared" si="51"/>
        <v>3.5997073000000324E-3</v>
      </c>
      <c r="AN15" s="96">
        <f t="shared" si="51"/>
        <v>3.7259996000000295E-3</v>
      </c>
      <c r="AO15" s="96">
        <f t="shared" si="51"/>
        <v>3.8522919000000266E-3</v>
      </c>
      <c r="AP15" s="96">
        <f t="shared" si="51"/>
        <v>3.9785842000000238E-3</v>
      </c>
      <c r="AQ15" s="97">
        <f t="shared" si="51"/>
        <v>4.1048765000000209E-3</v>
      </c>
      <c r="AR15" s="116">
        <f t="shared" si="51"/>
        <v>4.231168800000018E-3</v>
      </c>
      <c r="AS15" s="96">
        <f t="shared" si="51"/>
        <v>4.3574611000000152E-3</v>
      </c>
      <c r="AT15" s="96">
        <f t="shared" si="51"/>
        <v>4.4837534000000678E-3</v>
      </c>
      <c r="AU15" s="96">
        <f t="shared" si="51"/>
        <v>4.610045700000065E-3</v>
      </c>
      <c r="AV15" s="97">
        <f t="shared" si="51"/>
        <v>4.7363380000000621E-3</v>
      </c>
    </row>
    <row r="16" spans="1:48" x14ac:dyDescent="0.2">
      <c r="A16" s="87" t="s">
        <v>37</v>
      </c>
      <c r="B16" s="108" t="s">
        <v>64</v>
      </c>
      <c r="C16" s="103" cm="1">
        <f t="array" ref="C16:I22">TRANSPOSE('Pivot Table'!O20:U26)</f>
        <v>0.30889060618586345</v>
      </c>
      <c r="D16" s="89">
        <v>0.35811116398516557</v>
      </c>
      <c r="E16" s="99">
        <v>0.37823071451153967</v>
      </c>
      <c r="F16" s="89">
        <v>0.47349221655875467</v>
      </c>
      <c r="G16" s="89">
        <v>0.43749962150344884</v>
      </c>
      <c r="H16" s="110">
        <v>0.51950070654733871</v>
      </c>
      <c r="I16" s="103">
        <v>0.42638832289852924</v>
      </c>
      <c r="J16" s="90">
        <f t="shared" si="14"/>
        <v>0.55031605819483764</v>
      </c>
      <c r="K16" s="90">
        <f t="shared" si="15"/>
        <v>0.56640255955977692</v>
      </c>
      <c r="L16" s="90">
        <f t="shared" si="15"/>
        <v>0.58295929166269078</v>
      </c>
      <c r="M16" s="90">
        <f>0.6*$B$1</f>
        <v>0.6</v>
      </c>
      <c r="N16" s="114">
        <f t="shared" ref="N16:Q16" si="52">($R16/$M16)^0.2*M16</f>
        <v>0.61878618388652706</v>
      </c>
      <c r="O16" s="90">
        <f t="shared" si="52"/>
        <v>0.63816056894808482</v>
      </c>
      <c r="P16" s="90">
        <f t="shared" si="52"/>
        <v>0.65814157194373391</v>
      </c>
      <c r="Q16" s="90">
        <f t="shared" si="52"/>
        <v>0.67874818626690547</v>
      </c>
      <c r="R16" s="91">
        <f>0.7*$B$1</f>
        <v>0.7</v>
      </c>
      <c r="S16" s="114">
        <f t="shared" ref="S16:V16" si="53">($W16/$R16)^0.2*R16</f>
        <v>0.71160853846783911</v>
      </c>
      <c r="T16" s="90">
        <f t="shared" si="53"/>
        <v>0.72340958860047722</v>
      </c>
      <c r="U16" s="90">
        <f t="shared" si="53"/>
        <v>0.73540634293943763</v>
      </c>
      <c r="V16" s="90">
        <f t="shared" si="53"/>
        <v>0.74760204697015953</v>
      </c>
      <c r="W16" s="91">
        <f>0.76*$B$1</f>
        <v>0.76</v>
      </c>
      <c r="X16" s="114">
        <f t="shared" ref="X16:AA16" si="54">($AB16/$W16)^0.2*W16</f>
        <v>0.77720334120388512</v>
      </c>
      <c r="Y16" s="90">
        <f t="shared" si="54"/>
        <v>0.79479609681379293</v>
      </c>
      <c r="Z16" s="90">
        <f t="shared" si="54"/>
        <v>0.81278708160458735</v>
      </c>
      <c r="AA16" s="90">
        <f t="shared" si="54"/>
        <v>0.831185309882158</v>
      </c>
      <c r="AB16" s="91">
        <f>0.85*$B$1</f>
        <v>0.85</v>
      </c>
      <c r="AC16" s="114">
        <f t="shared" ref="AC16:AF16" si="55">($AG16/$AB16)^0.2*AB16</f>
        <v>0.87808213349684239</v>
      </c>
      <c r="AD16" s="90">
        <f t="shared" si="55"/>
        <v>0.90709203901925484</v>
      </c>
      <c r="AE16" s="90">
        <f t="shared" si="55"/>
        <v>0.93706036811768045</v>
      </c>
      <c r="AF16" s="90">
        <f t="shared" si="55"/>
        <v>0.96801878500248173</v>
      </c>
      <c r="AG16" s="91">
        <f>1*$B$1</f>
        <v>1</v>
      </c>
      <c r="AH16" s="114">
        <f t="shared" ref="AH16:AK16" si="56">($AL16/$AG16)^0.2*AG16</f>
        <v>1</v>
      </c>
      <c r="AI16" s="90">
        <f t="shared" si="56"/>
        <v>1</v>
      </c>
      <c r="AJ16" s="90">
        <f t="shared" si="56"/>
        <v>1</v>
      </c>
      <c r="AK16" s="90">
        <f t="shared" si="56"/>
        <v>1</v>
      </c>
      <c r="AL16" s="91">
        <f>1*$B$1</f>
        <v>1</v>
      </c>
      <c r="AM16" s="114">
        <f t="shared" ref="AM16:AP16" si="57">($AQ16/$AK16)^0.2*AL16</f>
        <v>1</v>
      </c>
      <c r="AN16" s="90">
        <f t="shared" si="57"/>
        <v>1</v>
      </c>
      <c r="AO16" s="90">
        <f t="shared" si="57"/>
        <v>1</v>
      </c>
      <c r="AP16" s="90">
        <f t="shared" si="57"/>
        <v>1</v>
      </c>
      <c r="AQ16" s="91">
        <v>1</v>
      </c>
      <c r="AR16" s="114">
        <f t="shared" ref="AR16:AU16" si="58">($AV16/$AQ16)^0.2*AQ16</f>
        <v>1</v>
      </c>
      <c r="AS16" s="90">
        <f t="shared" si="58"/>
        <v>1</v>
      </c>
      <c r="AT16" s="90">
        <f t="shared" si="58"/>
        <v>1</v>
      </c>
      <c r="AU16" s="90">
        <f t="shared" si="58"/>
        <v>1</v>
      </c>
      <c r="AV16" s="91">
        <f>1*$B$1</f>
        <v>1</v>
      </c>
    </row>
    <row r="17" spans="1:48" x14ac:dyDescent="0.2">
      <c r="A17" s="92" t="s">
        <v>38</v>
      </c>
      <c r="B17" s="108" t="s">
        <v>64</v>
      </c>
      <c r="C17" s="104">
        <v>9.2004385097855981E-2</v>
      </c>
      <c r="D17" s="102">
        <v>4.5612392979199522E-2</v>
      </c>
      <c r="E17" s="113">
        <v>4.3377529244388237E-2</v>
      </c>
      <c r="F17" s="102">
        <v>2.111585617853699E-2</v>
      </c>
      <c r="G17" s="102">
        <v>1.2608477111556559E-2</v>
      </c>
      <c r="H17" s="111">
        <v>8.6198775317946306E-3</v>
      </c>
      <c r="I17" s="104">
        <v>4.8994183677249659E-3</v>
      </c>
      <c r="J17" s="135"/>
      <c r="K17" s="135"/>
      <c r="L17" s="135"/>
      <c r="M17" s="135"/>
      <c r="N17" s="115"/>
      <c r="O17" s="135"/>
      <c r="P17" s="135"/>
      <c r="Q17" s="135"/>
      <c r="R17" s="93"/>
      <c r="S17" s="115"/>
      <c r="T17" s="135"/>
      <c r="U17" s="135"/>
      <c r="V17" s="135"/>
      <c r="W17" s="93"/>
      <c r="X17" s="115"/>
      <c r="Y17" s="135"/>
      <c r="Z17" s="135"/>
      <c r="AA17" s="135"/>
      <c r="AB17" s="93"/>
      <c r="AC17" s="115"/>
      <c r="AD17" s="135"/>
      <c r="AE17" s="135"/>
      <c r="AF17" s="135"/>
      <c r="AG17" s="93"/>
      <c r="AH17" s="115"/>
      <c r="AI17" s="135"/>
      <c r="AJ17" s="135"/>
      <c r="AK17" s="135"/>
      <c r="AL17" s="93"/>
      <c r="AM17" s="115"/>
      <c r="AN17" s="135"/>
      <c r="AO17" s="135"/>
      <c r="AP17" s="135"/>
      <c r="AQ17" s="93"/>
      <c r="AR17" s="115"/>
      <c r="AS17" s="135"/>
      <c r="AT17" s="135"/>
      <c r="AU17" s="135"/>
      <c r="AV17" s="93"/>
    </row>
    <row r="18" spans="1:48" x14ac:dyDescent="0.2">
      <c r="A18" s="92" t="s">
        <v>39</v>
      </c>
      <c r="B18" s="108" t="s">
        <v>64</v>
      </c>
      <c r="C18" s="104">
        <v>6.5593156371870673E-2</v>
      </c>
      <c r="D18" s="102">
        <v>7.5434670609934987E-2</v>
      </c>
      <c r="E18" s="102">
        <v>8.3025411002213084E-2</v>
      </c>
      <c r="F18" s="102">
        <v>7.0279652844744453E-2</v>
      </c>
      <c r="G18" s="102">
        <v>9.2686235443022638E-2</v>
      </c>
      <c r="H18" s="111">
        <v>7.4884597268016953E-2</v>
      </c>
      <c r="I18" s="104">
        <v>0.11429815137257808</v>
      </c>
      <c r="J18" s="135"/>
      <c r="K18" s="135"/>
      <c r="L18" s="135"/>
      <c r="M18" s="135"/>
      <c r="N18" s="115"/>
      <c r="O18" s="135"/>
      <c r="P18" s="135"/>
      <c r="Q18" s="135"/>
      <c r="R18" s="93"/>
      <c r="S18" s="115"/>
      <c r="T18" s="135"/>
      <c r="U18" s="135"/>
      <c r="V18" s="135"/>
      <c r="W18" s="93"/>
      <c r="X18" s="115"/>
      <c r="Y18" s="135"/>
      <c r="Z18" s="135"/>
      <c r="AA18" s="135"/>
      <c r="AB18" s="93"/>
      <c r="AC18" s="115"/>
      <c r="AD18" s="135"/>
      <c r="AE18" s="135"/>
      <c r="AF18" s="135"/>
      <c r="AG18" s="93"/>
      <c r="AH18" s="115"/>
      <c r="AI18" s="135"/>
      <c r="AJ18" s="135"/>
      <c r="AK18" s="135"/>
      <c r="AL18" s="93"/>
      <c r="AM18" s="115"/>
      <c r="AN18" s="135"/>
      <c r="AO18" s="135"/>
      <c r="AP18" s="135"/>
      <c r="AQ18" s="93"/>
      <c r="AR18" s="115"/>
      <c r="AS18" s="135"/>
      <c r="AT18" s="135"/>
      <c r="AU18" s="135"/>
      <c r="AV18" s="93"/>
    </row>
    <row r="19" spans="1:48" x14ac:dyDescent="0.2">
      <c r="A19" s="92" t="s">
        <v>40</v>
      </c>
      <c r="B19" s="108" t="s">
        <v>64</v>
      </c>
      <c r="C19" s="104">
        <v>0.4427367323832288</v>
      </c>
      <c r="D19" s="102">
        <v>0.44752293794465003</v>
      </c>
      <c r="E19" s="102">
        <v>0.42141064653809673</v>
      </c>
      <c r="F19" s="102">
        <v>0.39918446066951369</v>
      </c>
      <c r="G19" s="102">
        <v>0.42403725617252175</v>
      </c>
      <c r="H19" s="111">
        <v>0.33670277908619878</v>
      </c>
      <c r="I19" s="104">
        <v>0.43334382988182119</v>
      </c>
      <c r="J19" s="135">
        <v>1</v>
      </c>
      <c r="K19" s="135">
        <v>1</v>
      </c>
      <c r="L19" s="135">
        <v>1</v>
      </c>
      <c r="M19" s="135">
        <v>1</v>
      </c>
      <c r="N19" s="115">
        <f t="shared" ref="N19:Q19" si="59">($R19/$M19)^0.2*M19</f>
        <v>1</v>
      </c>
      <c r="O19" s="135">
        <f t="shared" si="59"/>
        <v>1</v>
      </c>
      <c r="P19" s="135">
        <f t="shared" si="59"/>
        <v>1</v>
      </c>
      <c r="Q19" s="135">
        <f t="shared" si="59"/>
        <v>1</v>
      </c>
      <c r="R19" s="93">
        <v>1</v>
      </c>
      <c r="S19" s="115">
        <f t="shared" ref="S19:V19" si="60">($W19/$R19)^0.2*R19</f>
        <v>1</v>
      </c>
      <c r="T19" s="135">
        <f t="shared" si="60"/>
        <v>1</v>
      </c>
      <c r="U19" s="135">
        <f t="shared" si="60"/>
        <v>1</v>
      </c>
      <c r="V19" s="135">
        <f t="shared" si="60"/>
        <v>1</v>
      </c>
      <c r="W19" s="93">
        <v>1</v>
      </c>
      <c r="X19" s="115">
        <f t="shared" ref="X19:AA19" si="61">($AB19/$W19)^0.2*W19</f>
        <v>1</v>
      </c>
      <c r="Y19" s="135">
        <f t="shared" si="61"/>
        <v>1</v>
      </c>
      <c r="Z19" s="135">
        <f t="shared" si="61"/>
        <v>1</v>
      </c>
      <c r="AA19" s="135">
        <f t="shared" si="61"/>
        <v>1</v>
      </c>
      <c r="AB19" s="93">
        <v>1</v>
      </c>
      <c r="AC19" s="115">
        <f t="shared" ref="AC19:AF19" si="62">($AG19/$AB19)^0.2*AB19</f>
        <v>1</v>
      </c>
      <c r="AD19" s="135">
        <f t="shared" si="62"/>
        <v>1</v>
      </c>
      <c r="AE19" s="135">
        <f t="shared" si="62"/>
        <v>1</v>
      </c>
      <c r="AF19" s="135">
        <f t="shared" si="62"/>
        <v>1</v>
      </c>
      <c r="AG19" s="93">
        <v>1</v>
      </c>
      <c r="AH19" s="115">
        <f t="shared" ref="AH19:AK19" si="63">($AL19/$AG19)^0.2*AG19</f>
        <v>1</v>
      </c>
      <c r="AI19" s="135">
        <f t="shared" si="63"/>
        <v>1</v>
      </c>
      <c r="AJ19" s="135">
        <f t="shared" si="63"/>
        <v>1</v>
      </c>
      <c r="AK19" s="135">
        <f t="shared" si="63"/>
        <v>1</v>
      </c>
      <c r="AL19" s="93">
        <v>1</v>
      </c>
      <c r="AM19" s="115">
        <f t="shared" ref="AM19:AP19" si="64">($AQ19/$AK19)^0.2*AL19</f>
        <v>1</v>
      </c>
      <c r="AN19" s="135">
        <f t="shared" si="64"/>
        <v>1</v>
      </c>
      <c r="AO19" s="135">
        <f t="shared" si="64"/>
        <v>1</v>
      </c>
      <c r="AP19" s="135">
        <f t="shared" si="64"/>
        <v>1</v>
      </c>
      <c r="AQ19" s="93">
        <v>1</v>
      </c>
      <c r="AR19" s="115">
        <f t="shared" ref="AR19:AU19" si="65">($AV19/$AQ19)^0.2*AQ19</f>
        <v>1</v>
      </c>
      <c r="AS19" s="135">
        <f t="shared" si="65"/>
        <v>1</v>
      </c>
      <c r="AT19" s="135">
        <f t="shared" si="65"/>
        <v>1</v>
      </c>
      <c r="AU19" s="135">
        <f t="shared" si="65"/>
        <v>1</v>
      </c>
      <c r="AV19" s="93">
        <v>1</v>
      </c>
    </row>
    <row r="20" spans="1:48" x14ac:dyDescent="0.2">
      <c r="A20" s="92" t="s">
        <v>41</v>
      </c>
      <c r="B20" s="108" t="s">
        <v>64</v>
      </c>
      <c r="C20" s="104">
        <v>6.0747982675269124E-2</v>
      </c>
      <c r="D20" s="102">
        <v>2.1016781176137457E-2</v>
      </c>
      <c r="E20" s="102">
        <v>6.2050466329434083E-2</v>
      </c>
      <c r="F20" s="102">
        <v>3.2175230748036916E-2</v>
      </c>
      <c r="G20" s="102">
        <v>2.6028450828756048E-2</v>
      </c>
      <c r="H20" s="111">
        <v>4.7564766839378235E-2</v>
      </c>
      <c r="I20" s="104">
        <v>1.1354795687770904E-2</v>
      </c>
      <c r="J20" s="135">
        <f t="shared" si="14"/>
        <v>2.3984766950613964E-2</v>
      </c>
      <c r="K20" s="135">
        <f t="shared" si="15"/>
        <v>1.7031800773065292E-2</v>
      </c>
      <c r="L20" s="135">
        <f t="shared" si="15"/>
        <v>1.2094436363325262E-2</v>
      </c>
      <c r="M20" s="135">
        <f>M16*('Electric Ratio'!$Y13/'Electric Ratio'!$Z13)</f>
        <v>8.588369068868491E-3</v>
      </c>
      <c r="N20" s="115">
        <f t="shared" ref="N20:Q20" si="66">($R20/$M20)^0.2*M20</f>
        <v>8.9074883778926407E-3</v>
      </c>
      <c r="O20" s="135">
        <f t="shared" si="66"/>
        <v>9.2384652506259692E-3</v>
      </c>
      <c r="P20" s="135">
        <f t="shared" si="66"/>
        <v>9.5817402803298098E-3</v>
      </c>
      <c r="Q20" s="135">
        <f t="shared" si="66"/>
        <v>9.9377704314549467E-3</v>
      </c>
      <c r="R20" s="93">
        <f>R16*('Electric Ratio'!$Y14/'Electric Ratio'!$Z14)</f>
        <v>1.0307029647948343E-2</v>
      </c>
      <c r="S20" s="115">
        <f t="shared" ref="S20:V20" si="67">($W20/$R20)^0.2*R20</f>
        <v>1.0694678681186773E-2</v>
      </c>
      <c r="T20" s="135">
        <f t="shared" si="67"/>
        <v>1.109690725655358E-2</v>
      </c>
      <c r="U20" s="135">
        <f t="shared" si="67"/>
        <v>1.1514263712959601E-2</v>
      </c>
      <c r="V20" s="135">
        <f t="shared" si="67"/>
        <v>1.1947317012429794E-2</v>
      </c>
      <c r="W20" s="93">
        <f>W16*('Electric Ratio'!$Y15/'Electric Ratio'!$Z15)</f>
        <v>1.2396657515741857E-2</v>
      </c>
      <c r="X20" s="115">
        <f t="shared" ref="X20:AA20" si="68">($AB20/$W20)^0.2*W20</f>
        <v>1.2626208168150356E-2</v>
      </c>
      <c r="Y20" s="135">
        <f t="shared" si="68"/>
        <v>1.2860009442305424E-2</v>
      </c>
      <c r="Z20" s="135">
        <f t="shared" si="68"/>
        <v>1.3098140047568338E-2</v>
      </c>
      <c r="AA20" s="135">
        <f t="shared" si="68"/>
        <v>1.3340680150772702E-2</v>
      </c>
      <c r="AB20" s="93">
        <f>AB16*('Electric Ratio'!$Y16/'Electric Ratio'!$Z16)</f>
        <v>1.358771140321266E-2</v>
      </c>
      <c r="AC20" s="115">
        <f t="shared" ref="AC20:AF20" si="69">($AG20/$AB20)^0.2*AB20</f>
        <v>1.4211008069236215E-2</v>
      </c>
      <c r="AD20" s="135">
        <f t="shared" si="69"/>
        <v>1.4862896653526757E-2</v>
      </c>
      <c r="AE20" s="135">
        <f t="shared" si="69"/>
        <v>1.5544688727017921E-2</v>
      </c>
      <c r="AF20" s="135">
        <f t="shared" si="69"/>
        <v>1.6257756025137998E-2</v>
      </c>
      <c r="AG20" s="93">
        <f>AG16*('Electric Ratio'!$Y17/'Electric Ratio'!$Z17)</f>
        <v>1.7003533207680822E-2</v>
      </c>
      <c r="AH20" s="115">
        <f t="shared" ref="AH20:AK20" si="70">($AL20/$AG20)^0.2*AG20</f>
        <v>1.6964739527302704E-2</v>
      </c>
      <c r="AI20" s="135">
        <f t="shared" si="70"/>
        <v>1.6926034354978702E-2</v>
      </c>
      <c r="AJ20" s="135">
        <f t="shared" si="70"/>
        <v>1.6887417488777066E-2</v>
      </c>
      <c r="AK20" s="135">
        <f t="shared" si="70"/>
        <v>1.6848888727226761E-2</v>
      </c>
      <c r="AL20" s="93">
        <f>AL16*('Electric Ratio'!$Y18/'Electric Ratio'!$Z18)</f>
        <v>1.6810447869316406E-2</v>
      </c>
      <c r="AM20" s="115">
        <f t="shared" ref="AM20:AP20" si="71">($AQ20/$AK20)^0.2*AL20</f>
        <v>1.6884467076475385E-2</v>
      </c>
      <c r="AN20" s="135">
        <f t="shared" si="71"/>
        <v>1.6958812202555205E-2</v>
      </c>
      <c r="AO20" s="135">
        <f t="shared" si="71"/>
        <v>1.7033484682631266E-2</v>
      </c>
      <c r="AP20" s="135">
        <f t="shared" si="71"/>
        <v>1.7108485958097833E-2</v>
      </c>
      <c r="AQ20" s="93">
        <f>AQ16*('Electric Ratio'!$Y19/'Electric Ratio'!$Z19)</f>
        <v>1.7223112127921974E-2</v>
      </c>
      <c r="AR20" s="115">
        <f t="shared" ref="AR20:AU20" si="72">($AV20/$AQ20)^0.2*AQ20</f>
        <v>1.7145012437614481E-2</v>
      </c>
      <c r="AS20" s="135">
        <f t="shared" si="72"/>
        <v>1.70672668971018E-2</v>
      </c>
      <c r="AT20" s="135">
        <f t="shared" si="72"/>
        <v>1.6989873900461083E-2</v>
      </c>
      <c r="AU20" s="135">
        <f t="shared" si="72"/>
        <v>1.6912831849051676E-2</v>
      </c>
      <c r="AV20" s="93">
        <f>AV16*('Electric Ratio'!$Y20/'Electric Ratio'!$Z20)</f>
        <v>1.6836139151482105E-2</v>
      </c>
    </row>
    <row r="21" spans="1:48" x14ac:dyDescent="0.2">
      <c r="A21" s="92" t="s">
        <v>42</v>
      </c>
      <c r="B21" s="108" t="s">
        <v>64</v>
      </c>
      <c r="C21" s="104">
        <v>0</v>
      </c>
      <c r="D21" s="102">
        <v>0</v>
      </c>
      <c r="E21" s="102">
        <v>0</v>
      </c>
      <c r="F21" s="102">
        <v>0</v>
      </c>
      <c r="G21" s="102">
        <v>0</v>
      </c>
      <c r="H21" s="111">
        <v>0</v>
      </c>
      <c r="I21" s="104">
        <v>0</v>
      </c>
      <c r="J21" s="135"/>
      <c r="K21" s="135"/>
      <c r="L21" s="135"/>
      <c r="M21" s="135"/>
      <c r="N21" s="115"/>
      <c r="O21" s="135"/>
      <c r="P21" s="135"/>
      <c r="Q21" s="135"/>
      <c r="R21" s="93"/>
      <c r="S21" s="115"/>
      <c r="T21" s="135"/>
      <c r="U21" s="135"/>
      <c r="V21" s="135"/>
      <c r="W21" s="93"/>
      <c r="X21" s="115"/>
      <c r="Y21" s="135"/>
      <c r="Z21" s="135"/>
      <c r="AA21" s="135"/>
      <c r="AB21" s="93"/>
      <c r="AC21" s="115"/>
      <c r="AD21" s="135"/>
      <c r="AE21" s="135"/>
      <c r="AF21" s="135"/>
      <c r="AG21" s="93"/>
      <c r="AH21" s="115"/>
      <c r="AI21" s="135"/>
      <c r="AJ21" s="135"/>
      <c r="AK21" s="135"/>
      <c r="AL21" s="93"/>
      <c r="AM21" s="115"/>
      <c r="AN21" s="135"/>
      <c r="AO21" s="135"/>
      <c r="AP21" s="135"/>
      <c r="AQ21" s="93"/>
      <c r="AR21" s="115"/>
      <c r="AS21" s="135"/>
      <c r="AT21" s="135"/>
      <c r="AU21" s="135"/>
      <c r="AV21" s="93"/>
    </row>
    <row r="22" spans="1:48" x14ac:dyDescent="0.2">
      <c r="A22" s="94" t="s">
        <v>43</v>
      </c>
      <c r="B22" s="109" t="s">
        <v>64</v>
      </c>
      <c r="C22" s="104">
        <v>0</v>
      </c>
      <c r="D22" s="102">
        <v>1.1405064635254235E-4</v>
      </c>
      <c r="E22" s="102">
        <v>5.6809200126462216E-4</v>
      </c>
      <c r="F22" s="102">
        <v>2.4080451852872297E-3</v>
      </c>
      <c r="G22" s="102">
        <v>7.1217911062394397E-3</v>
      </c>
      <c r="H22" s="111">
        <v>1.2727272727272728E-2</v>
      </c>
      <c r="I22" s="105">
        <v>9.696958470714629E-3</v>
      </c>
      <c r="J22" s="96" cm="1">
        <f t="array" ref="J22:AV22">TRANSPOSE(Hydrogen!M17:M55)</f>
        <v>7.0419100000002288E-2</v>
      </c>
      <c r="K22" s="96">
        <v>9.2868150000008143E-2</v>
      </c>
      <c r="L22" s="96">
        <v>0.11531720000000689</v>
      </c>
      <c r="M22" s="96">
        <v>0.13776625000000564</v>
      </c>
      <c r="N22" s="116">
        <v>0.16021530000000439</v>
      </c>
      <c r="O22" s="96">
        <v>0.18266435000000314</v>
      </c>
      <c r="P22" s="96">
        <v>0.20511340000000189</v>
      </c>
      <c r="Q22" s="96">
        <v>0.22756245000000774</v>
      </c>
      <c r="R22" s="97">
        <v>0.25001150000000649</v>
      </c>
      <c r="S22" s="116">
        <v>0.27246055000000524</v>
      </c>
      <c r="T22" s="96">
        <v>0.29490960000000399</v>
      </c>
      <c r="U22" s="96">
        <v>0.31735865000000274</v>
      </c>
      <c r="V22" s="96">
        <v>0.33980770000000859</v>
      </c>
      <c r="W22" s="97">
        <v>0.36225675000000734</v>
      </c>
      <c r="X22" s="116">
        <v>0.38470580000000609</v>
      </c>
      <c r="Y22" s="96">
        <v>0.40715485000000484</v>
      </c>
      <c r="Z22" s="96">
        <v>0.42960390000000359</v>
      </c>
      <c r="AA22" s="96">
        <v>0.45205295000000234</v>
      </c>
      <c r="AB22" s="97">
        <v>0.4745020000000082</v>
      </c>
      <c r="AC22" s="116">
        <v>0.49695105000000694</v>
      </c>
      <c r="AD22" s="96">
        <v>0.51940010000000569</v>
      </c>
      <c r="AE22" s="96">
        <v>0.54184915000000444</v>
      </c>
      <c r="AF22" s="96">
        <v>0.56429820000000319</v>
      </c>
      <c r="AG22" s="97">
        <v>0.58674725000000194</v>
      </c>
      <c r="AH22" s="116">
        <v>0.6091963000000078</v>
      </c>
      <c r="AI22" s="96">
        <v>0.63164535000000654</v>
      </c>
      <c r="AJ22" s="96">
        <v>0.65409440000000529</v>
      </c>
      <c r="AK22" s="96">
        <v>0.67654345000000404</v>
      </c>
      <c r="AL22" s="97">
        <v>0.69899250000000279</v>
      </c>
      <c r="AM22" s="116">
        <v>0.72144155000000865</v>
      </c>
      <c r="AN22" s="96">
        <v>0.7438906000000074</v>
      </c>
      <c r="AO22" s="96">
        <v>0.76633965000000615</v>
      </c>
      <c r="AP22" s="96">
        <v>0.78878870000000489</v>
      </c>
      <c r="AQ22" s="97">
        <v>0.81123775000000364</v>
      </c>
      <c r="AR22" s="116">
        <v>0.83368680000000239</v>
      </c>
      <c r="AS22" s="96">
        <v>0.85613585000000825</v>
      </c>
      <c r="AT22" s="96">
        <v>0.878584900000007</v>
      </c>
      <c r="AU22" s="96">
        <v>0.90103395000000575</v>
      </c>
      <c r="AV22" s="97">
        <v>0.92348300000000449</v>
      </c>
    </row>
    <row r="23" spans="1:48" x14ac:dyDescent="0.2">
      <c r="A23" s="87" t="s">
        <v>37</v>
      </c>
      <c r="B23" s="100" t="s">
        <v>62</v>
      </c>
      <c r="C23" s="103" cm="1">
        <f t="array" ref="C23:I29">TRANSPOSE('Pivot Table'!O28:U34)</f>
        <v>6.4143129756928608E-3</v>
      </c>
      <c r="D23" s="89">
        <v>9.943212402146049E-3</v>
      </c>
      <c r="E23" s="89">
        <v>2.0527331154421697E-2</v>
      </c>
      <c r="F23" s="89">
        <v>3.2757885160855017E-2</v>
      </c>
      <c r="G23" s="89">
        <v>3.3156802345693251E-2</v>
      </c>
      <c r="H23" s="110">
        <v>4.6244040100301476E-2</v>
      </c>
      <c r="I23" s="103">
        <v>0.11284507495161911</v>
      </c>
      <c r="J23" s="90">
        <f t="shared" si="14"/>
        <v>5.9755013331632391E-2</v>
      </c>
      <c r="K23" s="90">
        <f t="shared" si="15"/>
        <v>6.7925624019229816E-2</v>
      </c>
      <c r="L23" s="90">
        <f t="shared" si="15"/>
        <v>7.7213444381566632E-2</v>
      </c>
      <c r="M23" s="90">
        <f>'Electric Ratio'!$AJ$13*'Electric Ratio'!$AL$13*$B$1</f>
        <v>8.7771236250659357E-2</v>
      </c>
      <c r="N23" s="114">
        <f t="shared" ref="N23:Q23" si="73">($R23/$M23)^0.2*M23</f>
        <v>9.4802090246916604E-2</v>
      </c>
      <c r="O23" s="90">
        <f t="shared" si="73"/>
        <v>0.10239614592550535</v>
      </c>
      <c r="P23" s="90">
        <f t="shared" si="73"/>
        <v>0.11059851816651695</v>
      </c>
      <c r="Q23" s="90">
        <f t="shared" si="73"/>
        <v>0.11945793574621801</v>
      </c>
      <c r="R23" s="91">
        <f>'Electric Ratio'!$AJ$14*'Electric Ratio'!$AL$14*$B$1</f>
        <v>0.12902703082569661</v>
      </c>
      <c r="S23" s="114">
        <f t="shared" ref="S23:V23" si="74">($W23/$R23)^0.2*R23</f>
        <v>0.13633301990991792</v>
      </c>
      <c r="T23" s="90">
        <f t="shared" si="74"/>
        <v>0.14405270119613112</v>
      </c>
      <c r="U23" s="90">
        <f t="shared" si="74"/>
        <v>0.15220949947131798</v>
      </c>
      <c r="V23" s="90">
        <f t="shared" si="74"/>
        <v>0.16082816592078855</v>
      </c>
      <c r="W23" s="91">
        <f>'Electric Ratio'!$AJ$15*'Electric Ratio'!$AL$15*$B$1</f>
        <v>0.16993485323377441</v>
      </c>
      <c r="X23" s="114">
        <f t="shared" ref="X23:AA23" si="75">($AB23/$W23)^0.2*W23</f>
        <v>0.18137462328449994</v>
      </c>
      <c r="Y23" s="90">
        <f t="shared" si="75"/>
        <v>0.19358450221120421</v>
      </c>
      <c r="Z23" s="90">
        <f t="shared" si="75"/>
        <v>0.20661633263644272</v>
      </c>
      <c r="AA23" s="90">
        <f t="shared" si="75"/>
        <v>0.22052544715360139</v>
      </c>
      <c r="AB23" s="91">
        <f>'Electric Ratio'!$AJ$16*'Electric Ratio'!$AL$16*$B$1</f>
        <v>0.23537090326671634</v>
      </c>
      <c r="AC23" s="114">
        <f t="shared" ref="AC23:AF23" si="76">($AG23/$AB23)^0.2*AB23</f>
        <v>0.25241701775852654</v>
      </c>
      <c r="AD23" s="90">
        <f t="shared" si="76"/>
        <v>0.27069765196044138</v>
      </c>
      <c r="AE23" s="90">
        <f t="shared" si="76"/>
        <v>0.29030221269390216</v>
      </c>
      <c r="AF23" s="90">
        <f t="shared" si="76"/>
        <v>0.31132658183267609</v>
      </c>
      <c r="AG23" s="91">
        <f>'Electric Ratio'!$AJ$17*'Electric Ratio'!$AL$17*$B$1</f>
        <v>0.33387358524137734</v>
      </c>
      <c r="AH23" s="114">
        <f t="shared" ref="AH23:AK23" si="77">($AL23/$AG23)^0.2*AG23</f>
        <v>0.34876438122551101</v>
      </c>
      <c r="AI23" s="90">
        <f t="shared" si="77"/>
        <v>0.36431930823061415</v>
      </c>
      <c r="AJ23" s="90">
        <f t="shared" si="77"/>
        <v>0.3805679865680176</v>
      </c>
      <c r="AK23" s="90">
        <f t="shared" si="77"/>
        <v>0.39754135761796122</v>
      </c>
      <c r="AL23" s="91">
        <f>'Electric Ratio'!$AJ$18*'Electric Ratio'!$AL$18*$B$1</f>
        <v>0.41527174274940226</v>
      </c>
      <c r="AM23" s="114">
        <f t="shared" ref="AM23:AP23" si="78">($AQ23/$AK23)^0.2*AL23</f>
        <v>0.44082606253049444</v>
      </c>
      <c r="AN23" s="90">
        <f t="shared" si="78"/>
        <v>0.46795290264526218</v>
      </c>
      <c r="AO23" s="90">
        <f t="shared" si="78"/>
        <v>0.49674903030257689</v>
      </c>
      <c r="AP23" s="90">
        <f t="shared" si="78"/>
        <v>0.5273171674150503</v>
      </c>
      <c r="AQ23" s="91">
        <f>'Electric Ratio'!$AJ$19*'Electric Ratio'!$AL$19*$B$1</f>
        <v>0.53586664974898723</v>
      </c>
      <c r="AR23" s="114">
        <f t="shared" ref="AR23:AU23" si="79">($AV23/$AQ23)^0.2*AQ23</f>
        <v>0.55825505214391635</v>
      </c>
      <c r="AS23" s="90">
        <f t="shared" si="79"/>
        <v>0.58157883755257112</v>
      </c>
      <c r="AT23" s="90">
        <f t="shared" si="79"/>
        <v>0.60587708609183222</v>
      </c>
      <c r="AU23" s="90">
        <f t="shared" si="79"/>
        <v>0.63119051063811626</v>
      </c>
      <c r="AV23" s="91">
        <f>'Electric Ratio'!$AJ$20*'Electric Ratio'!$AL$20*$B$1</f>
        <v>0.65756152504374565</v>
      </c>
    </row>
    <row r="24" spans="1:48" x14ac:dyDescent="0.2">
      <c r="A24" s="92" t="s">
        <v>38</v>
      </c>
      <c r="B24" s="100" t="s">
        <v>62</v>
      </c>
      <c r="C24" s="104">
        <v>7.0656032171429795E-2</v>
      </c>
      <c r="D24" s="102">
        <v>4.4769763953987733E-3</v>
      </c>
      <c r="E24" s="102">
        <v>4.0297478208967076E-3</v>
      </c>
      <c r="F24" s="102">
        <v>5.606661225604887E-3</v>
      </c>
      <c r="G24" s="102">
        <v>4.9056671114259204E-3</v>
      </c>
      <c r="H24" s="111">
        <v>2.0622263683202869E-3</v>
      </c>
      <c r="I24" s="104">
        <v>2.1102817214874278E-3</v>
      </c>
      <c r="J24" s="135"/>
      <c r="K24" s="135"/>
      <c r="L24" s="135"/>
      <c r="M24" s="135"/>
      <c r="N24" s="115"/>
      <c r="O24" s="135"/>
      <c r="P24" s="135"/>
      <c r="Q24" s="135"/>
      <c r="R24" s="93"/>
      <c r="S24" s="115"/>
      <c r="T24" s="135"/>
      <c r="U24" s="135"/>
      <c r="V24" s="135"/>
      <c r="W24" s="93"/>
      <c r="X24" s="115"/>
      <c r="Y24" s="135"/>
      <c r="Z24" s="135"/>
      <c r="AA24" s="135"/>
      <c r="AB24" s="93"/>
      <c r="AC24" s="115"/>
      <c r="AD24" s="135"/>
      <c r="AE24" s="135"/>
      <c r="AF24" s="135"/>
      <c r="AG24" s="93"/>
      <c r="AH24" s="115"/>
      <c r="AI24" s="135"/>
      <c r="AJ24" s="135"/>
      <c r="AK24" s="135"/>
      <c r="AL24" s="93"/>
      <c r="AM24" s="115"/>
      <c r="AN24" s="135"/>
      <c r="AO24" s="135"/>
      <c r="AP24" s="135"/>
      <c r="AQ24" s="93"/>
      <c r="AR24" s="115"/>
      <c r="AS24" s="135"/>
      <c r="AT24" s="135"/>
      <c r="AU24" s="135"/>
      <c r="AV24" s="93"/>
    </row>
    <row r="25" spans="1:48" x14ac:dyDescent="0.2">
      <c r="A25" s="92" t="s">
        <v>39</v>
      </c>
      <c r="B25" s="100" t="s">
        <v>62</v>
      </c>
      <c r="C25" s="104">
        <v>0.91130625762804485</v>
      </c>
      <c r="D25" s="102">
        <v>0.97188097521147043</v>
      </c>
      <c r="E25" s="102">
        <v>0.9572988274298514</v>
      </c>
      <c r="F25" s="102">
        <v>0.9312705530563814</v>
      </c>
      <c r="G25" s="102">
        <v>0.92761735329808204</v>
      </c>
      <c r="H25" s="111">
        <v>0.90476102072080022</v>
      </c>
      <c r="I25" s="104">
        <v>0.81938249146152908</v>
      </c>
      <c r="J25" s="135">
        <v>1</v>
      </c>
      <c r="K25" s="135">
        <v>1</v>
      </c>
      <c r="L25" s="135">
        <v>1</v>
      </c>
      <c r="M25" s="135">
        <v>1</v>
      </c>
      <c r="N25" s="115">
        <f t="shared" ref="N25:Q25" si="80">($R25/$M25)^0.2*M25</f>
        <v>1</v>
      </c>
      <c r="O25" s="135">
        <f t="shared" si="80"/>
        <v>1</v>
      </c>
      <c r="P25" s="135">
        <f t="shared" si="80"/>
        <v>1</v>
      </c>
      <c r="Q25" s="135">
        <f t="shared" si="80"/>
        <v>1</v>
      </c>
      <c r="R25" s="93">
        <v>1</v>
      </c>
      <c r="S25" s="115">
        <f t="shared" ref="S25:V25" si="81">($W25/$R25)^0.2*R25</f>
        <v>1</v>
      </c>
      <c r="T25" s="135">
        <f t="shared" si="81"/>
        <v>1</v>
      </c>
      <c r="U25" s="135">
        <f t="shared" si="81"/>
        <v>1</v>
      </c>
      <c r="V25" s="135">
        <f t="shared" si="81"/>
        <v>1</v>
      </c>
      <c r="W25" s="93">
        <v>1</v>
      </c>
      <c r="X25" s="115">
        <f t="shared" ref="X25:AA25" si="82">($AB25/$W25)^0.2*W25</f>
        <v>1</v>
      </c>
      <c r="Y25" s="135">
        <f t="shared" si="82"/>
        <v>1</v>
      </c>
      <c r="Z25" s="135">
        <f t="shared" si="82"/>
        <v>1</v>
      </c>
      <c r="AA25" s="135">
        <f t="shared" si="82"/>
        <v>1</v>
      </c>
      <c r="AB25" s="93">
        <v>1</v>
      </c>
      <c r="AC25" s="115">
        <f t="shared" ref="AC25:AF25" si="83">($AG25/$AB25)^0.2*AB25</f>
        <v>1</v>
      </c>
      <c r="AD25" s="135">
        <f t="shared" si="83"/>
        <v>1</v>
      </c>
      <c r="AE25" s="135">
        <f t="shared" si="83"/>
        <v>1</v>
      </c>
      <c r="AF25" s="135">
        <f t="shared" si="83"/>
        <v>1</v>
      </c>
      <c r="AG25" s="93">
        <v>1</v>
      </c>
      <c r="AH25" s="115">
        <f t="shared" ref="AH25:AK25" si="84">($AL25/$AG25)^0.2*AG25</f>
        <v>1</v>
      </c>
      <c r="AI25" s="135">
        <f t="shared" si="84"/>
        <v>1</v>
      </c>
      <c r="AJ25" s="135">
        <f t="shared" si="84"/>
        <v>1</v>
      </c>
      <c r="AK25" s="135">
        <f t="shared" si="84"/>
        <v>1</v>
      </c>
      <c r="AL25" s="93">
        <v>1</v>
      </c>
      <c r="AM25" s="115">
        <f t="shared" ref="AM25:AP25" si="85">($AQ25/$AK25)^0.2*AL25</f>
        <v>1</v>
      </c>
      <c r="AN25" s="135">
        <f t="shared" si="85"/>
        <v>1</v>
      </c>
      <c r="AO25" s="135">
        <f t="shared" si="85"/>
        <v>1</v>
      </c>
      <c r="AP25" s="135">
        <f t="shared" si="85"/>
        <v>1</v>
      </c>
      <c r="AQ25" s="93">
        <v>1</v>
      </c>
      <c r="AR25" s="115">
        <f t="shared" ref="AR25:AU25" si="86">($AV25/$AQ25)^0.2*AQ25</f>
        <v>1</v>
      </c>
      <c r="AS25" s="135">
        <f t="shared" si="86"/>
        <v>1</v>
      </c>
      <c r="AT25" s="135">
        <f t="shared" si="86"/>
        <v>1</v>
      </c>
      <c r="AU25" s="135">
        <f t="shared" si="86"/>
        <v>1</v>
      </c>
      <c r="AV25" s="93">
        <v>1</v>
      </c>
    </row>
    <row r="26" spans="1:48" x14ac:dyDescent="0.2">
      <c r="A26" s="92" t="s">
        <v>40</v>
      </c>
      <c r="B26" s="100" t="s">
        <v>62</v>
      </c>
      <c r="C26" s="104">
        <v>7.717422544225418E-3</v>
      </c>
      <c r="D26" s="102">
        <v>6.2493140240607939E-3</v>
      </c>
      <c r="E26" s="102">
        <v>6.4897689967125076E-3</v>
      </c>
      <c r="F26" s="102">
        <v>8.2949787766025181E-3</v>
      </c>
      <c r="G26" s="102">
        <v>7.225370312411346E-3</v>
      </c>
      <c r="H26" s="111">
        <v>9.2284605360498373E-3</v>
      </c>
      <c r="I26" s="104">
        <v>8.9422743668348126E-3</v>
      </c>
      <c r="J26" s="135"/>
      <c r="K26" s="135"/>
      <c r="L26" s="135"/>
      <c r="M26" s="135"/>
      <c r="N26" s="115"/>
      <c r="O26" s="135"/>
      <c r="P26" s="135"/>
      <c r="Q26" s="135"/>
      <c r="R26" s="93"/>
      <c r="S26" s="115"/>
      <c r="T26" s="135"/>
      <c r="U26" s="135"/>
      <c r="V26" s="135"/>
      <c r="W26" s="93"/>
      <c r="X26" s="115"/>
      <c r="Y26" s="135"/>
      <c r="Z26" s="135"/>
      <c r="AA26" s="135"/>
      <c r="AB26" s="93"/>
      <c r="AC26" s="115"/>
      <c r="AD26" s="135"/>
      <c r="AE26" s="135"/>
      <c r="AF26" s="135"/>
      <c r="AG26" s="93"/>
      <c r="AH26" s="115"/>
      <c r="AI26" s="135"/>
      <c r="AJ26" s="135"/>
      <c r="AK26" s="135"/>
      <c r="AL26" s="93"/>
      <c r="AM26" s="115"/>
      <c r="AN26" s="135"/>
      <c r="AO26" s="135"/>
      <c r="AP26" s="135"/>
      <c r="AQ26" s="93"/>
      <c r="AR26" s="115"/>
      <c r="AS26" s="135"/>
      <c r="AT26" s="135"/>
      <c r="AU26" s="135"/>
      <c r="AV26" s="93"/>
    </row>
    <row r="27" spans="1:48" x14ac:dyDescent="0.2">
      <c r="A27" s="92" t="s">
        <v>41</v>
      </c>
      <c r="B27" s="100" t="s">
        <v>62</v>
      </c>
      <c r="C27" s="104">
        <v>5.9815020325391444E-4</v>
      </c>
      <c r="D27" s="102">
        <v>9.9798516470108096E-4</v>
      </c>
      <c r="E27" s="102">
        <v>2.3761361846806155E-3</v>
      </c>
      <c r="F27" s="102">
        <v>8.2646137440234788E-3</v>
      </c>
      <c r="G27" s="102">
        <v>9.1731596026817328E-3</v>
      </c>
      <c r="H27" s="111">
        <v>1.0232341971280206E-2</v>
      </c>
      <c r="I27" s="104">
        <v>1.9372745368302479E-2</v>
      </c>
      <c r="J27" s="135">
        <f t="shared" si="14"/>
        <v>1.2953207961002992E-2</v>
      </c>
      <c r="K27" s="135">
        <f t="shared" si="15"/>
        <v>1.4573990566515906E-2</v>
      </c>
      <c r="L27" s="135">
        <f t="shared" si="15"/>
        <v>1.6397575154537082E-2</v>
      </c>
      <c r="M27" s="135">
        <f>'Electric Ratio'!$AJ$13*'Electric Ratio'!$AK$13*$B$1</f>
        <v>1.8449337518198432E-2</v>
      </c>
      <c r="N27" s="115">
        <f t="shared" ref="N27:Q27" si="87">($R27/$M27)^0.2*M27</f>
        <v>1.9986150234958273E-2</v>
      </c>
      <c r="O27" s="135">
        <f t="shared" si="87"/>
        <v>2.1650978026734498E-2</v>
      </c>
      <c r="P27" s="135">
        <f t="shared" si="87"/>
        <v>2.3454484430633957E-2</v>
      </c>
      <c r="Q27" s="135">
        <f t="shared" si="87"/>
        <v>2.5408221246521735E-2</v>
      </c>
      <c r="R27" s="93">
        <f>'Electric Ratio'!$AJ$14*'Electric Ratio'!$AK$14*$B$1</f>
        <v>2.7524702528485677E-2</v>
      </c>
      <c r="S27" s="115">
        <f t="shared" ref="S27:V27" si="88">($W27/$R27)^0.2*R27</f>
        <v>2.9141446071148183E-2</v>
      </c>
      <c r="T27" s="135">
        <f t="shared" si="88"/>
        <v>3.0853153753024755E-2</v>
      </c>
      <c r="U27" s="135">
        <f t="shared" si="88"/>
        <v>3.2665403569325333E-2</v>
      </c>
      <c r="V27" s="135">
        <f t="shared" si="88"/>
        <v>3.4584101155049139E-2</v>
      </c>
      <c r="W27" s="93">
        <f>'Electric Ratio'!$AJ$15*'Electric Ratio'!$AK$15*$B$1</f>
        <v>3.6615499029861678E-2</v>
      </c>
      <c r="X27" s="115">
        <f t="shared" ref="X27:AA27" si="89">($AB27/$W27)^0.2*W27</f>
        <v>3.9149312691686068E-2</v>
      </c>
      <c r="Y27" s="135">
        <f t="shared" si="89"/>
        <v>4.185846772104479E-2</v>
      </c>
      <c r="Z27" s="135">
        <f t="shared" si="89"/>
        <v>4.4755097841751884E-2</v>
      </c>
      <c r="AA27" s="135">
        <f t="shared" si="89"/>
        <v>4.7852176438311071E-2</v>
      </c>
      <c r="AB27" s="93">
        <f>'Electric Ratio'!$AJ$16*'Electric Ratio'!$AK$16*$B$1</f>
        <v>5.116357466092003E-2</v>
      </c>
      <c r="AC27" s="115">
        <f t="shared" ref="AC27:AF27" si="90">($AG27/$AB27)^0.2*AB27</f>
        <v>5.49230333560966E-2</v>
      </c>
      <c r="AD27" s="135">
        <f t="shared" si="90"/>
        <v>5.8958734080380923E-2</v>
      </c>
      <c r="AE27" s="135">
        <f t="shared" si="90"/>
        <v>6.329097487794183E-2</v>
      </c>
      <c r="AF27" s="135">
        <f t="shared" si="90"/>
        <v>6.7941545277058688E-2</v>
      </c>
      <c r="AG27" s="93">
        <f>'Electric Ratio'!$AJ$17*'Electric Ratio'!$AK$17*$B$1</f>
        <v>7.2933835883185333E-2</v>
      </c>
      <c r="AH27" s="115">
        <f t="shared" ref="AH27:AK27" si="91">($AL27/$AG27)^0.2*AG27</f>
        <v>7.6247020270795246E-2</v>
      </c>
      <c r="AI27" s="135">
        <f t="shared" si="91"/>
        <v>7.9710713549832224E-2</v>
      </c>
      <c r="AJ27" s="135">
        <f t="shared" si="91"/>
        <v>8.3331752926967692E-2</v>
      </c>
      <c r="AK27" s="135">
        <f t="shared" si="91"/>
        <v>8.7117286204444019E-2</v>
      </c>
      <c r="AL27" s="93">
        <f>'Electric Ratio'!$AJ$18*'Electric Ratio'!$AK$18*$B$1</f>
        <v>9.1074785889580553E-2</v>
      </c>
      <c r="AM27" s="115">
        <f t="shared" ref="AM27:AP27" si="92">($AQ27/$AK27)^0.2*AL27</f>
        <v>9.6832673558027466E-2</v>
      </c>
      <c r="AN27" s="135">
        <f t="shared" si="92"/>
        <v>0.10295458371720687</v>
      </c>
      <c r="AO27" s="135">
        <f t="shared" si="92"/>
        <v>0.10946353042737653</v>
      </c>
      <c r="AP27" s="135">
        <f t="shared" si="92"/>
        <v>0.1163839827329862</v>
      </c>
      <c r="AQ27" s="93">
        <f>'Electric Ratio'!$AJ$19*'Electric Ratio'!$AK$19*$B$1</f>
        <v>0.11836496070338853</v>
      </c>
      <c r="AR27" s="115">
        <f t="shared" ref="AR27:AU27" si="93">($AV27/$AQ27)^0.2*AQ27</f>
        <v>0.12332579782047819</v>
      </c>
      <c r="AS27" s="135">
        <f t="shared" si="93"/>
        <v>0.12849455039460891</v>
      </c>
      <c r="AT27" s="135">
        <f t="shared" si="93"/>
        <v>0.13387993244647042</v>
      </c>
      <c r="AU27" s="135">
        <f t="shared" si="93"/>
        <v>0.13949102321325757</v>
      </c>
      <c r="AV27" s="93">
        <f>'Electric Ratio'!$AJ$20*'Electric Ratio'!$AK$20*$B$1</f>
        <v>0.14533728245539274</v>
      </c>
    </row>
    <row r="28" spans="1:48" x14ac:dyDescent="0.2">
      <c r="A28" s="92" t="s">
        <v>42</v>
      </c>
      <c r="B28" s="100" t="s">
        <v>62</v>
      </c>
      <c r="C28" s="104">
        <v>0</v>
      </c>
      <c r="D28" s="102">
        <v>6.9562050338606001E-5</v>
      </c>
      <c r="E28" s="102">
        <v>2.1332368837504524E-4</v>
      </c>
      <c r="F28" s="102">
        <v>1.3827091646861185E-4</v>
      </c>
      <c r="G28" s="102">
        <v>9.2886963429075536E-6</v>
      </c>
      <c r="H28" s="111">
        <v>0</v>
      </c>
      <c r="I28" s="104">
        <v>0</v>
      </c>
      <c r="J28" s="135"/>
      <c r="K28" s="135"/>
      <c r="L28" s="135"/>
      <c r="M28" s="135"/>
      <c r="N28" s="115"/>
      <c r="O28" s="135"/>
      <c r="P28" s="135"/>
      <c r="Q28" s="135"/>
      <c r="R28" s="93"/>
      <c r="S28" s="115"/>
      <c r="T28" s="135"/>
      <c r="U28" s="135"/>
      <c r="V28" s="135"/>
      <c r="W28" s="93"/>
      <c r="X28" s="115"/>
      <c r="Y28" s="135"/>
      <c r="Z28" s="135"/>
      <c r="AA28" s="135"/>
      <c r="AB28" s="93"/>
      <c r="AC28" s="115"/>
      <c r="AD28" s="135"/>
      <c r="AE28" s="135"/>
      <c r="AF28" s="135"/>
      <c r="AG28" s="93"/>
      <c r="AH28" s="115"/>
      <c r="AI28" s="135"/>
      <c r="AJ28" s="135"/>
      <c r="AK28" s="135"/>
      <c r="AL28" s="93"/>
      <c r="AM28" s="115"/>
      <c r="AN28" s="135"/>
      <c r="AO28" s="135"/>
      <c r="AP28" s="135"/>
      <c r="AQ28" s="93"/>
      <c r="AR28" s="115"/>
      <c r="AS28" s="135"/>
      <c r="AT28" s="135"/>
      <c r="AU28" s="135"/>
      <c r="AV28" s="93"/>
    </row>
    <row r="29" spans="1:48" x14ac:dyDescent="0.2">
      <c r="A29" s="94" t="s">
        <v>43</v>
      </c>
      <c r="B29" s="101" t="s">
        <v>62</v>
      </c>
      <c r="C29" s="105">
        <v>0</v>
      </c>
      <c r="D29" s="95">
        <v>3.2316864268806508E-7</v>
      </c>
      <c r="E29" s="95">
        <v>2.0174360542372349E-6</v>
      </c>
      <c r="F29" s="95">
        <v>0</v>
      </c>
      <c r="G29" s="95">
        <v>0</v>
      </c>
      <c r="H29" s="112">
        <v>0</v>
      </c>
      <c r="I29" s="105">
        <v>8.8855936327145482E-7</v>
      </c>
      <c r="J29" s="96">
        <f>MAX(C29:I29)</f>
        <v>2.0174360542372349E-6</v>
      </c>
      <c r="K29" s="96">
        <f t="shared" ref="K29:L29" si="94">MAX(D29:J29)</f>
        <v>2.0174360542372349E-6</v>
      </c>
      <c r="L29" s="96">
        <f t="shared" si="94"/>
        <v>2.0174360542372349E-6</v>
      </c>
      <c r="M29" s="96" cm="1">
        <f t="array" ref="M29:AV29">TRANSPOSE(Hydrogen!Y20:Y55)</f>
        <v>3.1610750000005128E-4</v>
      </c>
      <c r="N29" s="116">
        <v>4.4239980000004842E-4</v>
      </c>
      <c r="O29" s="96">
        <v>5.6869210000004555E-4</v>
      </c>
      <c r="P29" s="96">
        <v>6.9498440000004269E-4</v>
      </c>
      <c r="Q29" s="96">
        <v>8.2127670000003983E-4</v>
      </c>
      <c r="R29" s="97">
        <v>9.4756900000003697E-4</v>
      </c>
      <c r="S29" s="116">
        <v>1.0738613000000341E-3</v>
      </c>
      <c r="T29" s="96">
        <v>1.2001536000000312E-3</v>
      </c>
      <c r="U29" s="96">
        <v>1.3264459000000284E-3</v>
      </c>
      <c r="V29" s="96">
        <v>1.4527382000000255E-3</v>
      </c>
      <c r="W29" s="97">
        <v>1.5790305000000227E-3</v>
      </c>
      <c r="X29" s="116">
        <v>1.7053228000000198E-3</v>
      </c>
      <c r="Y29" s="96">
        <v>1.8316151000000169E-3</v>
      </c>
      <c r="Z29" s="96">
        <v>1.9579074000000141E-3</v>
      </c>
      <c r="AA29" s="96">
        <v>2.0841997000000667E-3</v>
      </c>
      <c r="AB29" s="97">
        <v>2.2104920000000639E-3</v>
      </c>
      <c r="AC29" s="116">
        <v>2.336784300000061E-3</v>
      </c>
      <c r="AD29" s="96">
        <v>2.4630766000000581E-3</v>
      </c>
      <c r="AE29" s="96">
        <v>2.5893689000000553E-3</v>
      </c>
      <c r="AF29" s="96">
        <v>2.7156612000000524E-3</v>
      </c>
      <c r="AG29" s="97">
        <v>2.8419535000000495E-3</v>
      </c>
      <c r="AH29" s="116">
        <v>2.9682458000000467E-3</v>
      </c>
      <c r="AI29" s="96">
        <v>3.0945381000000438E-3</v>
      </c>
      <c r="AJ29" s="96">
        <v>3.2208304000000409E-3</v>
      </c>
      <c r="AK29" s="96">
        <v>3.3471227000000381E-3</v>
      </c>
      <c r="AL29" s="97">
        <v>3.4734150000000352E-3</v>
      </c>
      <c r="AM29" s="116">
        <v>3.5997073000000324E-3</v>
      </c>
      <c r="AN29" s="96">
        <v>3.7259996000000295E-3</v>
      </c>
      <c r="AO29" s="96">
        <v>3.8522919000000266E-3</v>
      </c>
      <c r="AP29" s="96">
        <v>3.9785842000000238E-3</v>
      </c>
      <c r="AQ29" s="97">
        <v>4.1048765000000209E-3</v>
      </c>
      <c r="AR29" s="116">
        <v>4.231168800000018E-3</v>
      </c>
      <c r="AS29" s="96">
        <v>4.3574611000000152E-3</v>
      </c>
      <c r="AT29" s="96">
        <v>4.4837534000000678E-3</v>
      </c>
      <c r="AU29" s="96">
        <v>4.610045700000065E-3</v>
      </c>
      <c r="AV29" s="97">
        <v>4.7363380000000621E-3</v>
      </c>
    </row>
    <row r="30" spans="1:48" x14ac:dyDescent="0.2">
      <c r="A30" s="4"/>
    </row>
  </sheetData>
  <phoneticPr fontId="19" type="noConversion"/>
  <conditionalFormatting sqref="C2:I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1DFA8-563D-4EEA-B75D-A937C433F63B}">
  <sheetPr codeName="Sheet6">
    <tabColor theme="3"/>
  </sheetPr>
  <dimension ref="A1:AQ8"/>
  <sheetViews>
    <sheetView workbookViewId="0">
      <selection activeCell="F35" sqref="F35"/>
    </sheetView>
  </sheetViews>
  <sheetFormatPr defaultColWidth="9.125" defaultRowHeight="14.25" x14ac:dyDescent="0.2"/>
  <cols>
    <col min="1" max="1" width="24.375" style="82" customWidth="1"/>
    <col min="2" max="2" width="10.125" style="82" customWidth="1"/>
    <col min="3" max="16384" width="9.125" style="82"/>
  </cols>
  <sheetData>
    <row r="1" spans="1:43" ht="28.5" x14ac:dyDescent="0.2">
      <c r="A1" s="85" t="s">
        <v>98</v>
      </c>
      <c r="B1" s="84">
        <v>2019</v>
      </c>
      <c r="C1" s="82">
        <f>[1]Data!O9</f>
        <v>2020</v>
      </c>
      <c r="D1" s="82">
        <f>[1]Data!P9</f>
        <v>2021</v>
      </c>
      <c r="E1" s="82">
        <f>[1]Data!Q9</f>
        <v>2022</v>
      </c>
      <c r="F1" s="82">
        <f>[1]Data!R9</f>
        <v>2023</v>
      </c>
      <c r="G1" s="82">
        <f>[1]Data!S9</f>
        <v>2024</v>
      </c>
      <c r="H1" s="82">
        <f>[1]Data!T9</f>
        <v>2025</v>
      </c>
      <c r="I1" s="82">
        <f>[1]Data!U9</f>
        <v>2026</v>
      </c>
      <c r="J1" s="82">
        <f>[1]Data!V9</f>
        <v>2027</v>
      </c>
      <c r="K1" s="82">
        <f>[1]Data!W9</f>
        <v>2028</v>
      </c>
      <c r="L1" s="82">
        <f>[1]Data!X9</f>
        <v>2029</v>
      </c>
      <c r="M1" s="82">
        <f>[1]Data!Y9</f>
        <v>2030</v>
      </c>
      <c r="N1" s="82">
        <f>[1]Data!Z9</f>
        <v>2031</v>
      </c>
      <c r="O1" s="82">
        <f>[1]Data!AA9</f>
        <v>2032</v>
      </c>
      <c r="P1" s="82">
        <f>[1]Data!AB9</f>
        <v>2033</v>
      </c>
      <c r="Q1" s="82">
        <f>[1]Data!AC9</f>
        <v>2034</v>
      </c>
      <c r="R1" s="82">
        <f>[1]Data!AD9</f>
        <v>2035</v>
      </c>
      <c r="S1" s="82">
        <f>[1]Data!AE9</f>
        <v>2036</v>
      </c>
      <c r="T1" s="82">
        <f>[1]Data!AF9</f>
        <v>2037</v>
      </c>
      <c r="U1" s="82">
        <f>[1]Data!AG9</f>
        <v>2038</v>
      </c>
      <c r="V1" s="82">
        <f>[1]Data!AH9</f>
        <v>2039</v>
      </c>
      <c r="W1" s="82">
        <f>[1]Data!AI9</f>
        <v>2040</v>
      </c>
      <c r="X1" s="82">
        <f>[1]Data!AJ9</f>
        <v>2041</v>
      </c>
      <c r="Y1" s="82">
        <f>[1]Data!AK9</f>
        <v>2042</v>
      </c>
      <c r="Z1" s="82">
        <f>[1]Data!AL9</f>
        <v>2043</v>
      </c>
      <c r="AA1" s="82">
        <f>[1]Data!AM9</f>
        <v>2044</v>
      </c>
      <c r="AB1" s="82">
        <f>[1]Data!AN9</f>
        <v>2045</v>
      </c>
      <c r="AC1" s="82">
        <f>[1]Data!AO9</f>
        <v>2046</v>
      </c>
      <c r="AD1" s="82">
        <f>[1]Data!AP9</f>
        <v>2047</v>
      </c>
      <c r="AE1" s="82">
        <f>[1]Data!AQ9</f>
        <v>2048</v>
      </c>
      <c r="AF1" s="82">
        <f>[1]Data!AR9</f>
        <v>2049</v>
      </c>
      <c r="AG1" s="82">
        <f>[1]Data!AS9</f>
        <v>2050</v>
      </c>
      <c r="AH1" s="82">
        <v>2051</v>
      </c>
      <c r="AI1" s="82">
        <v>2052</v>
      </c>
      <c r="AJ1" s="82">
        <v>2053</v>
      </c>
      <c r="AK1" s="82">
        <v>2054</v>
      </c>
      <c r="AL1" s="82">
        <v>2055</v>
      </c>
      <c r="AM1" s="82">
        <v>2056</v>
      </c>
      <c r="AN1" s="82">
        <v>2057</v>
      </c>
      <c r="AO1" s="82">
        <v>2058</v>
      </c>
      <c r="AP1" s="82">
        <v>2059</v>
      </c>
      <c r="AQ1" s="82">
        <v>2060</v>
      </c>
    </row>
    <row r="2" spans="1:43" x14ac:dyDescent="0.2">
      <c r="A2" s="82" t="s">
        <v>37</v>
      </c>
      <c r="B2" s="83">
        <f t="shared" ref="B2:B8" si="0">MAX(0,TREND(C2:E2,C$1:E$1,B$1))</f>
        <v>0.10175526903472409</v>
      </c>
      <c r="C2" s="82">
        <f>[1]Data!O10</f>
        <v>0.10493766900950537</v>
      </c>
      <c r="D2" s="82">
        <f>[1]Data!P10</f>
        <v>0.10734631403784391</v>
      </c>
      <c r="E2" s="82">
        <f>[1]Data!Q10</f>
        <v>0.11091559148584682</v>
      </c>
      <c r="F2" s="82">
        <f>[1]Data!R10</f>
        <v>0.11618758896588241</v>
      </c>
      <c r="G2" s="82">
        <f>[1]Data!S10</f>
        <v>0.12393729421917928</v>
      </c>
      <c r="H2" s="82">
        <f>[1]Data!T10</f>
        <v>0.13524915051708791</v>
      </c>
      <c r="I2" s="82">
        <f>[1]Data!U10</f>
        <v>0.15159175830898186</v>
      </c>
      <c r="J2" s="82">
        <f>[1]Data!V10</f>
        <v>0.17485542684453012</v>
      </c>
      <c r="K2" s="82">
        <f>[1]Data!W10</f>
        <v>0.20728262981990581</v>
      </c>
      <c r="L2" s="82">
        <f>[1]Data!X10</f>
        <v>0.25118345337946801</v>
      </c>
      <c r="M2" s="82">
        <f>[1]Data!Y10</f>
        <v>0.30832769485088407</v>
      </c>
      <c r="N2" s="82">
        <f>[1]Data!Z10</f>
        <v>0.37902296698514881</v>
      </c>
      <c r="O2" s="82">
        <f>[1]Data!AA10</f>
        <v>0.46118110589879324</v>
      </c>
      <c r="P2" s="82">
        <f>[1]Data!AB10</f>
        <v>0.55000000000000004</v>
      </c>
      <c r="Q2" s="82">
        <f>[1]Data!AC10</f>
        <v>0.63881889410120674</v>
      </c>
      <c r="R2" s="82">
        <f>[1]Data!AD10</f>
        <v>0.72097703301485117</v>
      </c>
      <c r="S2" s="82">
        <f>[1]Data!AE10</f>
        <v>0.79167230514911591</v>
      </c>
      <c r="T2" s="82">
        <f>[1]Data!AF10</f>
        <v>0.84881654662053196</v>
      </c>
      <c r="U2" s="82">
        <f>[1]Data!AG10</f>
        <v>0.89271737018009412</v>
      </c>
      <c r="V2" s="82">
        <f>[1]Data!AH10</f>
        <v>0.92514457315546994</v>
      </c>
      <c r="W2" s="82">
        <f>[1]Data!AI10</f>
        <v>0.94840824169101812</v>
      </c>
      <c r="X2" s="82">
        <f>[1]Data!AJ10</f>
        <v>0.96475084948291212</v>
      </c>
      <c r="Y2" s="82">
        <f>[1]Data!AK10</f>
        <v>0.97606270578082066</v>
      </c>
      <c r="Z2" s="82">
        <f>[1]Data!AL10</f>
        <v>0.98381241103411754</v>
      </c>
      <c r="AA2" s="82">
        <f>[1]Data!AM10</f>
        <v>0.98908440851415313</v>
      </c>
      <c r="AB2" s="82">
        <f>[1]Data!AN10</f>
        <v>0.99265368596215608</v>
      </c>
      <c r="AC2" s="82">
        <f>[1]Data!AO10</f>
        <v>0.99506233099049457</v>
      </c>
      <c r="AD2" s="82">
        <f>[1]Data!AP10</f>
        <v>0.99668418409050774</v>
      </c>
      <c r="AE2" s="82">
        <f>[1]Data!AQ10</f>
        <v>0.99777463915902875</v>
      </c>
      <c r="AF2" s="82">
        <f>[1]Data!AR10</f>
        <v>0.99850707902784297</v>
      </c>
      <c r="AG2" s="82">
        <f>[1]Data!AS10</f>
        <v>0.9989987175704258</v>
      </c>
      <c r="AH2" s="82">
        <f>[1]Data!AT10</f>
        <v>0.9989987175704258</v>
      </c>
      <c r="AI2" s="82">
        <f>[1]Data!AU10</f>
        <v>0.9989987175704258</v>
      </c>
      <c r="AJ2" s="82">
        <f>[1]Data!AV10</f>
        <v>0.9989987175704258</v>
      </c>
      <c r="AK2" s="82">
        <f>[1]Data!AW10</f>
        <v>0.9989987175704258</v>
      </c>
      <c r="AL2" s="82">
        <f>[1]Data!AX10</f>
        <v>0.9989987175704258</v>
      </c>
      <c r="AM2" s="82">
        <f>[1]Data!AY10</f>
        <v>0.9989987175704258</v>
      </c>
      <c r="AN2" s="82">
        <f>[1]Data!AZ10</f>
        <v>0.9989987175704258</v>
      </c>
      <c r="AO2" s="82">
        <f>[1]Data!BA10</f>
        <v>0.9989987175704258</v>
      </c>
      <c r="AP2" s="82">
        <f>[1]Data!BB10</f>
        <v>0.9989987175704258</v>
      </c>
      <c r="AQ2" s="82">
        <f>[1]Data!BC10</f>
        <v>0.9989987175704258</v>
      </c>
    </row>
    <row r="3" spans="1:43" x14ac:dyDescent="0.2">
      <c r="A3" s="82" t="s">
        <v>38</v>
      </c>
      <c r="B3" s="83">
        <f t="shared" si="0"/>
        <v>3.7347944433242797E-4</v>
      </c>
      <c r="C3" s="82">
        <f>[1]Data!O11</f>
        <v>3.8057610451262282E-4</v>
      </c>
      <c r="D3" s="82">
        <f>[1]Data!P11</f>
        <v>3.9320484961125079E-4</v>
      </c>
      <c r="E3" s="82">
        <f>[1]Data!Q11</f>
        <v>3.9753546733222448E-4</v>
      </c>
      <c r="F3" s="82">
        <f>[1]Data!R11</f>
        <v>4.033110396505392E-4</v>
      </c>
      <c r="G3" s="82">
        <f>[1]Data!S11</f>
        <v>4.1098212309343519E-4</v>
      </c>
      <c r="H3" s="82">
        <f>[1]Data!T11</f>
        <v>4.2111542890787591E-4</v>
      </c>
      <c r="I3" s="82">
        <f>[1]Data!U11</f>
        <v>4.3440531499218697E-4</v>
      </c>
      <c r="J3" s="82">
        <f>[1]Data!V11</f>
        <v>4.516715783138295E-4</v>
      </c>
      <c r="K3" s="82">
        <f>[1]Data!W11</f>
        <v>4.7383134956379655E-4</v>
      </c>
      <c r="L3" s="82">
        <f>[1]Data!X11</f>
        <v>5.0182946160490889E-4</v>
      </c>
      <c r="M3" s="82">
        <f>[1]Data!Y11</f>
        <v>5.3651224215358457E-4</v>
      </c>
      <c r="N3" s="82">
        <f>[1]Data!Z11</f>
        <v>5.7843959678952387E-4</v>
      </c>
      <c r="O3" s="82">
        <f>[1]Data!AA11</f>
        <v>6.2765456811457476E-4</v>
      </c>
      <c r="P3" s="82">
        <f>[1]Data!AB11</f>
        <v>6.8346676285730725E-4</v>
      </c>
      <c r="Q3" s="82">
        <f>[1]Data!AC11</f>
        <v>7.4433984155985176E-4</v>
      </c>
      <c r="R3" s="82">
        <f>[1]Data!AD11</f>
        <v>8.0797281520121893E-4</v>
      </c>
      <c r="S3" s="82">
        <f>[1]Data!AE11</f>
        <v>8.716057888425861E-4</v>
      </c>
      <c r="T3" s="82">
        <f>[1]Data!AF11</f>
        <v>9.3247886754513061E-4</v>
      </c>
      <c r="U3" s="82">
        <f>[1]Data!AG11</f>
        <v>9.8829106228786288E-4</v>
      </c>
      <c r="V3" s="82">
        <f>[1]Data!AH11</f>
        <v>1.037506033612914E-3</v>
      </c>
      <c r="W3" s="82">
        <f>[1]Data!AI11</f>
        <v>1.0794333882488531E-3</v>
      </c>
      <c r="X3" s="82">
        <f>[1]Data!AJ11</f>
        <v>1.114116168797529E-3</v>
      </c>
      <c r="Y3" s="82">
        <f>[1]Data!AK11</f>
        <v>1.1421142808386413E-3</v>
      </c>
      <c r="Z3" s="82">
        <f>[1]Data!AL11</f>
        <v>1.1642740520886085E-3</v>
      </c>
      <c r="AA3" s="82">
        <f>[1]Data!AM11</f>
        <v>1.1815403154102509E-3</v>
      </c>
      <c r="AB3" s="82">
        <f>[1]Data!AN11</f>
        <v>1.1948302014945619E-3</v>
      </c>
      <c r="AC3" s="82">
        <f>[1]Data!AO11</f>
        <v>1.2049635073090028E-3</v>
      </c>
      <c r="AD3" s="82">
        <f>[1]Data!AP11</f>
        <v>1.2126345907518985E-3</v>
      </c>
      <c r="AE3" s="82">
        <f>[1]Data!AQ11</f>
        <v>1.2184101630702134E-3</v>
      </c>
      <c r="AF3" s="82">
        <f>[1]Data!AR11</f>
        <v>1.2227407807911871E-3</v>
      </c>
      <c r="AG3" s="82">
        <f>[1]Data!AS11</f>
        <v>1.2259779596081354E-3</v>
      </c>
      <c r="AH3" s="82">
        <f>[1]Data!AT11</f>
        <v>1.2259779596081354E-3</v>
      </c>
      <c r="AI3" s="82">
        <f>[1]Data!AU11</f>
        <v>1.2259779596081354E-3</v>
      </c>
      <c r="AJ3" s="82">
        <f>[1]Data!AV11</f>
        <v>1.2259779596081354E-3</v>
      </c>
      <c r="AK3" s="82">
        <f>[1]Data!AW11</f>
        <v>1.2259779596081354E-3</v>
      </c>
      <c r="AL3" s="82">
        <f>[1]Data!AX11</f>
        <v>1.2259779596081354E-3</v>
      </c>
      <c r="AM3" s="82">
        <f>[1]Data!AY11</f>
        <v>1.2259779596081354E-3</v>
      </c>
      <c r="AN3" s="82">
        <f>[1]Data!AZ11</f>
        <v>1.2259779596081354E-3</v>
      </c>
      <c r="AO3" s="82">
        <f>[1]Data!BA11</f>
        <v>1.2259779596081354E-3</v>
      </c>
      <c r="AP3" s="82">
        <f>[1]Data!BB11</f>
        <v>1.2259779596081354E-3</v>
      </c>
      <c r="AQ3" s="82">
        <f>[1]Data!BC11</f>
        <v>1.2259779596081354E-3</v>
      </c>
    </row>
    <row r="4" spans="1:43" x14ac:dyDescent="0.2">
      <c r="A4" s="82" t="s">
        <v>39</v>
      </c>
      <c r="B4" s="83">
        <f t="shared" si="0"/>
        <v>3</v>
      </c>
      <c r="C4" s="82">
        <f>[1]Data!O12</f>
        <v>3</v>
      </c>
      <c r="D4" s="82">
        <f>[1]Data!P12</f>
        <v>3</v>
      </c>
      <c r="E4" s="82">
        <f>[1]Data!Q12</f>
        <v>3</v>
      </c>
      <c r="F4" s="82">
        <f>[1]Data!R12</f>
        <v>3</v>
      </c>
      <c r="G4" s="82">
        <f>[1]Data!S12</f>
        <v>3</v>
      </c>
      <c r="H4" s="82">
        <f>[1]Data!T12</f>
        <v>3</v>
      </c>
      <c r="I4" s="82">
        <f>[1]Data!U12</f>
        <v>3</v>
      </c>
      <c r="J4" s="82">
        <f>[1]Data!V12</f>
        <v>3</v>
      </c>
      <c r="K4" s="82">
        <f>[1]Data!W12</f>
        <v>3</v>
      </c>
      <c r="L4" s="82">
        <f>[1]Data!X12</f>
        <v>3</v>
      </c>
      <c r="M4" s="82">
        <f>[1]Data!Y12</f>
        <v>3</v>
      </c>
      <c r="N4" s="82">
        <f>[1]Data!Z12</f>
        <v>3</v>
      </c>
      <c r="O4" s="82">
        <f>[1]Data!AA12</f>
        <v>3</v>
      </c>
      <c r="P4" s="82">
        <f>[1]Data!AB12</f>
        <v>3</v>
      </c>
      <c r="Q4" s="82">
        <f>[1]Data!AC12</f>
        <v>3</v>
      </c>
      <c r="R4" s="82">
        <f>[1]Data!AD12</f>
        <v>3</v>
      </c>
      <c r="S4" s="82">
        <f>[1]Data!AE12</f>
        <v>3</v>
      </c>
      <c r="T4" s="82">
        <f>[1]Data!AF12</f>
        <v>3</v>
      </c>
      <c r="U4" s="82">
        <f>[1]Data!AG12</f>
        <v>3</v>
      </c>
      <c r="V4" s="82">
        <f>[1]Data!AH12</f>
        <v>3</v>
      </c>
      <c r="W4" s="82">
        <f>[1]Data!AI12</f>
        <v>3</v>
      </c>
      <c r="X4" s="82">
        <f>[1]Data!AJ12</f>
        <v>3</v>
      </c>
      <c r="Y4" s="82">
        <f>[1]Data!AK12</f>
        <v>3</v>
      </c>
      <c r="Z4" s="82">
        <f>[1]Data!AL12</f>
        <v>3</v>
      </c>
      <c r="AA4" s="82">
        <f>[1]Data!AM12</f>
        <v>3</v>
      </c>
      <c r="AB4" s="82">
        <f>[1]Data!AN12</f>
        <v>3</v>
      </c>
      <c r="AC4" s="82">
        <f>[1]Data!AO12</f>
        <v>3</v>
      </c>
      <c r="AD4" s="82">
        <f>[1]Data!AP12</f>
        <v>3</v>
      </c>
      <c r="AE4" s="82">
        <f>[1]Data!AQ12</f>
        <v>3</v>
      </c>
      <c r="AF4" s="82">
        <f>[1]Data!AR12</f>
        <v>3</v>
      </c>
      <c r="AG4" s="82">
        <f>[1]Data!AS12</f>
        <v>3</v>
      </c>
      <c r="AH4" s="82">
        <f>[1]Data!AT12</f>
        <v>3</v>
      </c>
      <c r="AI4" s="82">
        <f>[1]Data!AU12</f>
        <v>3</v>
      </c>
      <c r="AJ4" s="82">
        <f>[1]Data!AV12</f>
        <v>3</v>
      </c>
      <c r="AK4" s="82">
        <f>[1]Data!AW12</f>
        <v>3</v>
      </c>
      <c r="AL4" s="82">
        <f>[1]Data!AX12</f>
        <v>3</v>
      </c>
      <c r="AM4" s="82">
        <f>[1]Data!AY12</f>
        <v>3</v>
      </c>
      <c r="AN4" s="82">
        <f>[1]Data!AZ12</f>
        <v>3</v>
      </c>
      <c r="AO4" s="82">
        <f>[1]Data!BA12</f>
        <v>3</v>
      </c>
      <c r="AP4" s="82">
        <f>[1]Data!BB12</f>
        <v>3</v>
      </c>
      <c r="AQ4" s="82">
        <f>[1]Data!BC12</f>
        <v>3</v>
      </c>
    </row>
    <row r="5" spans="1:43" x14ac:dyDescent="0.2">
      <c r="A5" s="82" t="s">
        <v>40</v>
      </c>
      <c r="B5" s="83">
        <f t="shared" si="0"/>
        <v>3.3270363887731857E-3</v>
      </c>
      <c r="C5" s="82">
        <f>[1]Data!O13</f>
        <v>4.2138566319580755E-3</v>
      </c>
      <c r="D5" s="82">
        <f>[1]Data!P13</f>
        <v>5.1006768751431508E-3</v>
      </c>
      <c r="E5" s="82">
        <f>[1]Data!Q13</f>
        <v>5.9874971183280223E-3</v>
      </c>
      <c r="F5" s="82">
        <f>[1]Data!R13</f>
        <v>6.8743173615128939E-3</v>
      </c>
      <c r="G5" s="82">
        <f>[1]Data!S13</f>
        <v>7.7611376046979874E-3</v>
      </c>
      <c r="H5" s="82">
        <f>[1]Data!T13</f>
        <v>8.6479578478828589E-3</v>
      </c>
      <c r="I5" s="82">
        <f>[1]Data!U13</f>
        <v>9.5347780910677304E-3</v>
      </c>
      <c r="J5" s="82">
        <f>[1]Data!V13</f>
        <v>1.0421598334252602E-2</v>
      </c>
      <c r="K5" s="82">
        <f>[1]Data!W13</f>
        <v>1.1308418577437696E-2</v>
      </c>
      <c r="L5" s="82">
        <f>[1]Data!X13</f>
        <v>1.2195238820622567E-2</v>
      </c>
      <c r="M5" s="82">
        <f>[1]Data!Y13</f>
        <v>1.3082059063807439E-2</v>
      </c>
      <c r="N5" s="82">
        <f>[1]Data!Z13</f>
        <v>1.3968879306992532E-2</v>
      </c>
      <c r="O5" s="82">
        <f>[1]Data!AA13</f>
        <v>1.4855699550177404E-2</v>
      </c>
      <c r="P5" s="82">
        <f>[1]Data!AB13</f>
        <v>1.5742519793362275E-2</v>
      </c>
      <c r="Q5" s="82">
        <f>[1]Data!AC13</f>
        <v>1.6629340036547369E-2</v>
      </c>
      <c r="R5" s="82">
        <f>[1]Data!AD13</f>
        <v>1.751616027973224E-2</v>
      </c>
      <c r="S5" s="82">
        <f>[1]Data!AE13</f>
        <v>1.8402980522917112E-2</v>
      </c>
      <c r="T5" s="82">
        <f>[1]Data!AF13</f>
        <v>1.9289800766102205E-2</v>
      </c>
      <c r="U5" s="82">
        <f>[1]Data!AG13</f>
        <v>2.0176621009287077E-2</v>
      </c>
      <c r="V5" s="82">
        <f>[1]Data!AH13</f>
        <v>2.1063441252471948E-2</v>
      </c>
      <c r="W5" s="82">
        <f>[1]Data!AI13</f>
        <v>2.1950261495657042E-2</v>
      </c>
      <c r="X5" s="82">
        <f>[1]Data!AJ13</f>
        <v>2.2837081738841913E-2</v>
      </c>
      <c r="Y5" s="82">
        <f>[1]Data!AK13</f>
        <v>2.3723901982026785E-2</v>
      </c>
      <c r="Z5" s="82">
        <f>[1]Data!AL13</f>
        <v>2.4610722225211656E-2</v>
      </c>
      <c r="AA5" s="82">
        <f>[1]Data!AM13</f>
        <v>2.549754246839675E-2</v>
      </c>
      <c r="AB5" s="82">
        <f>[1]Data!AN13</f>
        <v>2.6384362711581621E-2</v>
      </c>
      <c r="AC5" s="82">
        <f>[1]Data!AO13</f>
        <v>2.7271182954766493E-2</v>
      </c>
      <c r="AD5" s="82">
        <f>[1]Data!AP13</f>
        <v>2.8158003197951587E-2</v>
      </c>
      <c r="AE5" s="82">
        <f>[1]Data!AQ13</f>
        <v>2.9044823441136458E-2</v>
      </c>
      <c r="AF5" s="82">
        <f>[1]Data!AR13</f>
        <v>2.993164368432133E-2</v>
      </c>
      <c r="AG5" s="82">
        <f>[1]Data!AS13</f>
        <v>3.0818463927506423E-2</v>
      </c>
      <c r="AH5" s="82">
        <f>[1]Data!AT13</f>
        <v>3.0818463927506423E-2</v>
      </c>
      <c r="AI5" s="82">
        <f>[1]Data!AU13</f>
        <v>3.0818463927506423E-2</v>
      </c>
      <c r="AJ5" s="82">
        <f>[1]Data!AV13</f>
        <v>3.0818463927506423E-2</v>
      </c>
      <c r="AK5" s="82">
        <f>[1]Data!AW13</f>
        <v>3.0818463927506423E-2</v>
      </c>
      <c r="AL5" s="82">
        <f>[1]Data!AX13</f>
        <v>3.0818463927506423E-2</v>
      </c>
      <c r="AM5" s="82">
        <f>[1]Data!AY13</f>
        <v>3.0818463927506423E-2</v>
      </c>
      <c r="AN5" s="82">
        <f>[1]Data!AZ13</f>
        <v>3.0818463927506423E-2</v>
      </c>
      <c r="AO5" s="82">
        <f>[1]Data!BA13</f>
        <v>3.0818463927506423E-2</v>
      </c>
      <c r="AP5" s="82">
        <f>[1]Data!BB13</f>
        <v>3.0818463927506423E-2</v>
      </c>
      <c r="AQ5" s="82">
        <f>[1]Data!BC13</f>
        <v>3.0818463927506423E-2</v>
      </c>
    </row>
    <row r="6" spans="1:43" x14ac:dyDescent="0.2">
      <c r="A6" s="82" t="s">
        <v>41</v>
      </c>
      <c r="B6" s="83">
        <f t="shared" si="0"/>
        <v>2.4119191169384102E-2</v>
      </c>
      <c r="C6" s="82">
        <f>[1]Data!O14</f>
        <v>2.5000000000000001E-2</v>
      </c>
      <c r="D6" s="82">
        <f>[1]Data!P14</f>
        <v>2.6567428891905699E-2</v>
      </c>
      <c r="E6" s="82">
        <f>[1]Data!Q14</f>
        <v>2.7104927691876762E-2</v>
      </c>
      <c r="F6" s="82">
        <f>[1]Data!R14</f>
        <v>2.7821768426907579E-2</v>
      </c>
      <c r="G6" s="82">
        <f>[1]Data!S14</f>
        <v>2.8773872355422291E-2</v>
      </c>
      <c r="H6" s="82">
        <f>[1]Data!T14</f>
        <v>3.0031577391039493E-2</v>
      </c>
      <c r="I6" s="82">
        <f>[1]Data!U14</f>
        <v>3.168106443476388E-2</v>
      </c>
      <c r="J6" s="82">
        <f>[1]Data!V14</f>
        <v>3.3824083378786625E-2</v>
      </c>
      <c r="K6" s="82">
        <f>[1]Data!W14</f>
        <v>3.6574464784378008E-2</v>
      </c>
      <c r="L6" s="82">
        <f>[1]Data!X14</f>
        <v>4.0049477494613184E-2</v>
      </c>
      <c r="M6" s="82">
        <f>[1]Data!Y14</f>
        <v>4.4354164291207518E-2</v>
      </c>
      <c r="N6" s="82">
        <f>[1]Data!Z14</f>
        <v>4.9558018395815848E-2</v>
      </c>
      <c r="O6" s="82">
        <f>[1]Data!AA14</f>
        <v>5.5666382082527388E-2</v>
      </c>
      <c r="P6" s="82">
        <f>[1]Data!AB14</f>
        <v>6.2593566523832689E-2</v>
      </c>
      <c r="Q6" s="82">
        <f>[1]Data!AC14</f>
        <v>7.0148887464468651E-2</v>
      </c>
      <c r="R6" s="82">
        <f>[1]Data!AD14</f>
        <v>7.8046755430319747E-2</v>
      </c>
      <c r="S6" s="82">
        <f>[1]Data!AE14</f>
        <v>8.5944623396170816E-2</v>
      </c>
      <c r="T6" s="82">
        <f>[1]Data!AF14</f>
        <v>9.3499944336806806E-2</v>
      </c>
      <c r="U6" s="82">
        <f>[1]Data!AG14</f>
        <v>0.10042712877811208</v>
      </c>
      <c r="V6" s="82">
        <f>[1]Data!AH14</f>
        <v>0.10653549246482363</v>
      </c>
      <c r="W6" s="82">
        <f>[1]Data!AI14</f>
        <v>0.11173934656943196</v>
      </c>
      <c r="X6" s="82">
        <f>[1]Data!AJ14</f>
        <v>0.11604403336602631</v>
      </c>
      <c r="Y6" s="82">
        <f>[1]Data!AK14</f>
        <v>0.11951904607626149</v>
      </c>
      <c r="Z6" s="82">
        <f>[1]Data!AL14</f>
        <v>0.12226942748185285</v>
      </c>
      <c r="AA6" s="82">
        <f>[1]Data!AM14</f>
        <v>0.12441244642587562</v>
      </c>
      <c r="AB6" s="82">
        <f>[1]Data!AN14</f>
        <v>0.12606193346959998</v>
      </c>
      <c r="AC6" s="82">
        <f>[1]Data!AO14</f>
        <v>0.12731963850521719</v>
      </c>
      <c r="AD6" s="82">
        <f>[1]Data!AP14</f>
        <v>0.12827174243373191</v>
      </c>
      <c r="AE6" s="82">
        <f>[1]Data!AQ14</f>
        <v>0.12898858316876272</v>
      </c>
      <c r="AF6" s="82">
        <f>[1]Data!AR14</f>
        <v>0.12952608196873377</v>
      </c>
      <c r="AG6" s="82">
        <f>[1]Data!AS14</f>
        <v>0.12992786754333543</v>
      </c>
      <c r="AH6" s="82">
        <f>[1]Data!AT14</f>
        <v>0.12992786754333543</v>
      </c>
      <c r="AI6" s="82">
        <f>[1]Data!AU14</f>
        <v>0.12992786754333543</v>
      </c>
      <c r="AJ6" s="82">
        <f>[1]Data!AV14</f>
        <v>0.12992786754333543</v>
      </c>
      <c r="AK6" s="82">
        <f>[1]Data!AW14</f>
        <v>0.12992786754333543</v>
      </c>
      <c r="AL6" s="82">
        <f>[1]Data!AX14</f>
        <v>0.12992786754333543</v>
      </c>
      <c r="AM6" s="82">
        <f>[1]Data!AY14</f>
        <v>0.12992786754333543</v>
      </c>
      <c r="AN6" s="82">
        <f>[1]Data!AZ14</f>
        <v>0.12992786754333543</v>
      </c>
      <c r="AO6" s="82">
        <f>[1]Data!BA14</f>
        <v>0.12992786754333543</v>
      </c>
      <c r="AP6" s="82">
        <f>[1]Data!BB14</f>
        <v>0.12992786754333543</v>
      </c>
      <c r="AQ6" s="82">
        <f>[1]Data!BC14</f>
        <v>0.12992786754333543</v>
      </c>
    </row>
    <row r="7" spans="1:43" x14ac:dyDescent="0.2">
      <c r="A7" s="82" t="s">
        <v>42</v>
      </c>
      <c r="B7" s="83">
        <f t="shared" si="0"/>
        <v>3.0050529193724473E-4</v>
      </c>
      <c r="C7" s="82">
        <f>[1]Data!O15</f>
        <v>3.186067677034385E-4</v>
      </c>
      <c r="D7" s="82">
        <f>[1]Data!P15</f>
        <v>3.3670824346963835E-4</v>
      </c>
      <c r="E7" s="82">
        <f>[1]Data!Q15</f>
        <v>3.5480971923583515E-4</v>
      </c>
      <c r="F7" s="82">
        <f>[1]Data!R15</f>
        <v>3.7291119500203196E-4</v>
      </c>
      <c r="G7" s="82">
        <f>[1]Data!S15</f>
        <v>3.910126707682357E-4</v>
      </c>
      <c r="H7" s="82">
        <f>[1]Data!T15</f>
        <v>4.0911414653443251E-4</v>
      </c>
      <c r="I7" s="82">
        <f>[1]Data!U15</f>
        <v>4.2721562230062932E-4</v>
      </c>
      <c r="J7" s="82">
        <f>[1]Data!V15</f>
        <v>4.4531709806682612E-4</v>
      </c>
      <c r="K7" s="82">
        <f>[1]Data!W15</f>
        <v>4.6341857383302293E-4</v>
      </c>
      <c r="L7" s="82">
        <f>[1]Data!X15</f>
        <v>4.8152004959921973E-4</v>
      </c>
      <c r="M7" s="82">
        <f>[1]Data!Y15</f>
        <v>4.9962152536541654E-4</v>
      </c>
      <c r="N7" s="82">
        <f>[1]Data!Z15</f>
        <v>5.1772300113162029E-4</v>
      </c>
      <c r="O7" s="82">
        <f>[1]Data!AA15</f>
        <v>5.3582447689781709E-4</v>
      </c>
      <c r="P7" s="82">
        <f>[1]Data!AB15</f>
        <v>5.539259526640139E-4</v>
      </c>
      <c r="Q7" s="82">
        <f>[1]Data!AC15</f>
        <v>5.720274284302107E-4</v>
      </c>
      <c r="R7" s="82">
        <f>[1]Data!AD15</f>
        <v>5.9012890419640751E-4</v>
      </c>
      <c r="S7" s="82">
        <f>[1]Data!AE15</f>
        <v>6.0823037996260432E-4</v>
      </c>
      <c r="T7" s="82">
        <f>[1]Data!AF15</f>
        <v>6.2633185572880112E-4</v>
      </c>
      <c r="U7" s="82">
        <f>[1]Data!AG15</f>
        <v>6.4443333149500487E-4</v>
      </c>
      <c r="V7" s="82">
        <f>[1]Data!AH15</f>
        <v>6.6253480726120167E-4</v>
      </c>
      <c r="W7" s="82">
        <f>[1]Data!AI15</f>
        <v>6.8063628302739848E-4</v>
      </c>
      <c r="X7" s="82">
        <f>[1]Data!AJ15</f>
        <v>6.9873775879359529E-4</v>
      </c>
      <c r="Y7" s="82">
        <f>[1]Data!AK15</f>
        <v>7.1683923455979209E-4</v>
      </c>
      <c r="Z7" s="82">
        <f>[1]Data!AL15</f>
        <v>7.349407103259889E-4</v>
      </c>
      <c r="AA7" s="82">
        <f>[1]Data!AM15</f>
        <v>7.5304218609218571E-4</v>
      </c>
      <c r="AB7" s="82">
        <f>[1]Data!AN15</f>
        <v>7.7114366185838945E-4</v>
      </c>
      <c r="AC7" s="82">
        <f>[1]Data!AO15</f>
        <v>7.8924513762458626E-4</v>
      </c>
      <c r="AD7" s="82">
        <f>[1]Data!AP15</f>
        <v>8.0734661339078306E-4</v>
      </c>
      <c r="AE7" s="82">
        <f>[1]Data!AQ15</f>
        <v>8.2544808915697987E-4</v>
      </c>
      <c r="AF7" s="82">
        <f>[1]Data!AR15</f>
        <v>8.4354956492317668E-4</v>
      </c>
      <c r="AG7" s="82">
        <f>[1]Data!AS15</f>
        <v>8.6165104068937348E-4</v>
      </c>
      <c r="AH7" s="82">
        <f>[1]Data!AT15</f>
        <v>8.6165104068937348E-4</v>
      </c>
      <c r="AI7" s="82">
        <f>[1]Data!AU15</f>
        <v>8.6165104068937348E-4</v>
      </c>
      <c r="AJ7" s="82">
        <f>[1]Data!AV15</f>
        <v>8.6165104068937348E-4</v>
      </c>
      <c r="AK7" s="82">
        <f>[1]Data!AW15</f>
        <v>8.6165104068937348E-4</v>
      </c>
      <c r="AL7" s="82">
        <f>[1]Data!AX15</f>
        <v>8.6165104068937348E-4</v>
      </c>
      <c r="AM7" s="82">
        <f>[1]Data!AY15</f>
        <v>8.6165104068937348E-4</v>
      </c>
      <c r="AN7" s="82">
        <f>[1]Data!AZ15</f>
        <v>8.6165104068937348E-4</v>
      </c>
      <c r="AO7" s="82">
        <f>[1]Data!BA15</f>
        <v>8.6165104068937348E-4</v>
      </c>
      <c r="AP7" s="82">
        <f>[1]Data!BB15</f>
        <v>8.6165104068937348E-4</v>
      </c>
      <c r="AQ7" s="82">
        <f>[1]Data!BC15</f>
        <v>8.6165104068937348E-4</v>
      </c>
    </row>
    <row r="8" spans="1:43" x14ac:dyDescent="0.2">
      <c r="A8" s="82" t="s">
        <v>43</v>
      </c>
      <c r="B8" s="83">
        <f t="shared" si="0"/>
        <v>2.7304249221021988E-5</v>
      </c>
      <c r="C8" s="82">
        <f>[1]Data!O16</f>
        <v>2.9671627040405578E-5</v>
      </c>
      <c r="D8" s="82">
        <f>[1]Data!P16</f>
        <v>3.3884455367256228E-5</v>
      </c>
      <c r="E8" s="82">
        <f>[1]Data!Q16</f>
        <v>3.5329107932906753E-5</v>
      </c>
      <c r="F8" s="82">
        <f>[1]Data!R16</f>
        <v>3.7255783503309569E-5</v>
      </c>
      <c r="G8" s="82">
        <f>[1]Data!S16</f>
        <v>3.9814783417669883E-5</v>
      </c>
      <c r="H8" s="82">
        <f>[1]Data!T16</f>
        <v>4.319515711642753E-5</v>
      </c>
      <c r="I8" s="82">
        <f>[1]Data!U16</f>
        <v>4.7628535739509144E-5</v>
      </c>
      <c r="J8" s="82">
        <f>[1]Data!V16</f>
        <v>5.3388395698055686E-5</v>
      </c>
      <c r="K8" s="82">
        <f>[1]Data!W16</f>
        <v>6.0780683000499877E-5</v>
      </c>
      <c r="L8" s="82">
        <f>[1]Data!X16</f>
        <v>7.0120584834289462E-5</v>
      </c>
      <c r="M8" s="82">
        <f>[1]Data!Y16</f>
        <v>8.1690428014137938E-5</v>
      </c>
      <c r="N8" s="82">
        <f>[1]Data!Z16</f>
        <v>9.567699167511389E-5</v>
      </c>
      <c r="O8" s="82">
        <f>[1]Data!AA16</f>
        <v>1.1209463441665937E-4</v>
      </c>
      <c r="P8" s="82">
        <f>[1]Data!AB16</f>
        <v>1.3071304766038166E-4</v>
      </c>
      <c r="Q8" s="82">
        <f>[1]Data!AC16</f>
        <v>1.5101972328791891E-4</v>
      </c>
      <c r="R8" s="82">
        <f>[1]Data!AD16</f>
        <v>1.7224707341530546E-4</v>
      </c>
      <c r="S8" s="82">
        <f>[1]Data!AE16</f>
        <v>1.9347442354269201E-4</v>
      </c>
      <c r="T8" s="82">
        <f>[1]Data!AF16</f>
        <v>2.1378109917022923E-4</v>
      </c>
      <c r="U8" s="82">
        <f>[1]Data!AG16</f>
        <v>2.3239951241395154E-4</v>
      </c>
      <c r="V8" s="82">
        <f>[1]Data!AH16</f>
        <v>2.4881715515549704E-4</v>
      </c>
      <c r="W8" s="82">
        <f>[1]Data!AI16</f>
        <v>2.6280371881647296E-4</v>
      </c>
      <c r="X8" s="82">
        <f>[1]Data!AJ16</f>
        <v>2.7437356199632151E-4</v>
      </c>
      <c r="Y8" s="82">
        <f>[1]Data!AK16</f>
        <v>2.8371346383011109E-4</v>
      </c>
      <c r="Z8" s="82">
        <f>[1]Data!AL16</f>
        <v>2.911057511325553E-4</v>
      </c>
      <c r="AA8" s="82">
        <f>[1]Data!AM16</f>
        <v>2.9686561109110182E-4</v>
      </c>
      <c r="AB8" s="82">
        <f>[1]Data!AN16</f>
        <v>3.0129898971418347E-4</v>
      </c>
      <c r="AC8" s="82">
        <f>[1]Data!AO16</f>
        <v>3.046793634129411E-4</v>
      </c>
      <c r="AD8" s="82">
        <f>[1]Data!AP16</f>
        <v>3.0723836332730134E-4</v>
      </c>
      <c r="AE8" s="82">
        <f>[1]Data!AQ16</f>
        <v>3.091650388977042E-4</v>
      </c>
      <c r="AF8" s="82">
        <f>[1]Data!AR16</f>
        <v>3.1060969146335472E-4</v>
      </c>
      <c r="AG8" s="82">
        <f>[1]Data!AS16</f>
        <v>3.1168958329050089E-4</v>
      </c>
      <c r="AH8" s="82">
        <f>[1]Data!AT16</f>
        <v>3.1168958329050089E-4</v>
      </c>
      <c r="AI8" s="82">
        <f>[1]Data!AU16</f>
        <v>3.1168958329050089E-4</v>
      </c>
      <c r="AJ8" s="82">
        <f>[1]Data!AV16</f>
        <v>3.1168958329050089E-4</v>
      </c>
      <c r="AK8" s="82">
        <f>[1]Data!AW16</f>
        <v>3.1168958329050089E-4</v>
      </c>
      <c r="AL8" s="82">
        <f>[1]Data!AX16</f>
        <v>3.1168958329050089E-4</v>
      </c>
      <c r="AM8" s="82">
        <f>[1]Data!AY16</f>
        <v>3.1168958329050089E-4</v>
      </c>
      <c r="AN8" s="82">
        <f>[1]Data!AZ16</f>
        <v>3.1168958329050089E-4</v>
      </c>
      <c r="AO8" s="82">
        <f>[1]Data!BA16</f>
        <v>3.1168958329050089E-4</v>
      </c>
      <c r="AP8" s="82">
        <f>[1]Data!BB16</f>
        <v>3.1168958329050089E-4</v>
      </c>
      <c r="AQ8" s="82">
        <f>[1]Data!BC16</f>
        <v>3.1168958329050089E-4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Vehicle Sales Database</vt:lpstr>
      <vt:lpstr>Pivot Table</vt:lpstr>
      <vt:lpstr>Electric Ratio</vt:lpstr>
      <vt:lpstr>Hydrogen</vt:lpstr>
      <vt:lpstr>Projection</vt:lpstr>
      <vt:lpstr>TTS-LDVs-psgr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Wang</dc:creator>
  <cp:lastModifiedBy>Wang Rui</cp:lastModifiedBy>
  <dcterms:created xsi:type="dcterms:W3CDTF">2023-03-02T10:07:13Z</dcterms:created>
  <dcterms:modified xsi:type="dcterms:W3CDTF">2023-03-03T08:33:01Z</dcterms:modified>
</cp:coreProperties>
</file>