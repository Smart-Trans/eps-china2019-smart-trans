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zhlxl\Desktop\EPS\eps-china2019-smart-trans\InputData\trans\BCDTRtSY\"/>
    </mc:Choice>
  </mc:AlternateContent>
  <xr:revisionPtr revIDLastSave="0" documentId="13_ncr:1_{6D07F60B-7C55-4352-AC4E-D272D80DA40F}" xr6:coauthVersionLast="47" xr6:coauthVersionMax="47" xr10:uidLastSave="{00000000-0000-0000-0000-000000000000}"/>
  <bookViews>
    <workbookView xWindow="2486" yWindow="3233" windowWidth="17660" windowHeight="11289" tabRatio="742" firstSheet="2" activeTab="5" xr2:uid="{00000000-000D-0000-FFFF-FFFF00000000}"/>
  </bookViews>
  <sheets>
    <sheet name="About " sheetId="33" r:id="rId1"/>
    <sheet name="raw data" sheetId="26" r:id="rId2"/>
    <sheet name="passenger" sheetId="38" r:id="rId3"/>
    <sheet name="2022交科院" sheetId="40" r:id="rId4"/>
    <sheet name="freight" sheetId="39" r:id="rId5"/>
    <sheet name="BCDTRtSY-psgr" sheetId="31" r:id="rId6"/>
    <sheet name="BCDTRtSY-frgt" sheetId="32" r:id="rId7"/>
  </sheets>
  <externalReferences>
    <externalReference r:id="rId8"/>
    <externalReference r:id="rId9"/>
  </externalReferences>
  <definedNames>
    <definedName name="_Toc93782300" localSheetId="0">'About '!$B$16</definedName>
    <definedName name="_Toc93782301" localSheetId="0">'About '!$B$17</definedName>
    <definedName name="Eno_TM" localSheetId="0">'[1]1997  Table 1a Modified'!#REF!</definedName>
    <definedName name="Eno_TM" localSheetId="6">'[1]1997  Table 1a Modified'!#REF!</definedName>
    <definedName name="Eno_TM" localSheetId="5">'[1]1997  Table 1a Modified'!#REF!</definedName>
    <definedName name="Eno_TM" localSheetId="1">'[1]1997  Table 1a Modified'!#REF!</definedName>
    <definedName name="Eno_TM">'[2]1997  Table 1a Modified'!#REF!</definedName>
    <definedName name="Eno_Tons" localSheetId="0">'[1]1997  Table 1a Modified'!#REF!</definedName>
    <definedName name="Eno_Tons" localSheetId="6">'[1]1997  Table 1a Modified'!#REF!</definedName>
    <definedName name="Eno_Tons" localSheetId="5">'[1]1997  Table 1a Modified'!#REF!</definedName>
    <definedName name="Eno_Tons" localSheetId="1">'[1]1997  Table 1a Modified'!#REF!</definedName>
    <definedName name="Eno_Tons">'[2]1997  Table 1a Modified'!#REF!</definedName>
    <definedName name="Sum_T2" localSheetId="0">'[1]1997  Table 1a Modified'!#REF!</definedName>
    <definedName name="Sum_T2" localSheetId="6">'[1]1997  Table 1a Modified'!#REF!</definedName>
    <definedName name="Sum_T2" localSheetId="5">'[1]1997  Table 1a Modified'!#REF!</definedName>
    <definedName name="Sum_T2" localSheetId="1">'[1]1997  Table 1a Modified'!#REF!</definedName>
    <definedName name="Sum_T2">'[2]1997  Table 1a Modified'!#REF!</definedName>
    <definedName name="Sum_TTM" localSheetId="0">'[1]1997  Table 1a Modified'!#REF!</definedName>
    <definedName name="Sum_TTM" localSheetId="6">'[1]1997  Table 1a Modified'!#REF!</definedName>
    <definedName name="Sum_TTM" localSheetId="5">'[1]1997  Table 1a Modified'!#REF!</definedName>
    <definedName name="Sum_TTM" localSheetId="1">'[1]1997  Table 1a Modified'!#REF!</definedName>
    <definedName name="Sum_TTM">'[2]1997  Table 1a Modified'!#REF!</definedName>
    <definedName name="ti_tbl_50" localSheetId="0">#REF!</definedName>
    <definedName name="ti_tbl_50" localSheetId="6">#REF!</definedName>
    <definedName name="ti_tbl_50" localSheetId="5">#REF!</definedName>
    <definedName name="ti_tbl_50" localSheetId="1">#REF!</definedName>
    <definedName name="ti_tbl_50">#REF!</definedName>
    <definedName name="ti_tbl_69" localSheetId="6">#REF!</definedName>
    <definedName name="ti_tbl_69" localSheetId="5">#REF!</definedName>
    <definedName name="ti_tbl_69" localSheetId="1">#REF!</definedName>
    <definedName name="ti_tbl_69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C2" i="31" l="1"/>
  <c r="AB2" i="31"/>
  <c r="AA2" i="31"/>
  <c r="Z2" i="31"/>
  <c r="Y2" i="31"/>
  <c r="X2" i="31"/>
  <c r="W2" i="31"/>
  <c r="V2" i="31"/>
  <c r="U2" i="31"/>
  <c r="T2" i="31"/>
  <c r="S2" i="31"/>
  <c r="R2" i="31"/>
  <c r="Q2" i="31"/>
  <c r="P2" i="31"/>
  <c r="O2" i="31"/>
  <c r="N2" i="31"/>
  <c r="M2" i="31"/>
  <c r="K2" i="31"/>
  <c r="L2" i="31"/>
  <c r="J2" i="31"/>
  <c r="I2" i="31"/>
  <c r="AJ2" i="31"/>
  <c r="AK2" i="31"/>
  <c r="AL2" i="31"/>
  <c r="AM2" i="31"/>
  <c r="AN2" i="31"/>
  <c r="AO2" i="31"/>
  <c r="AP2" i="31"/>
  <c r="AQ2" i="31"/>
  <c r="AI2" i="31"/>
  <c r="AH2" i="31"/>
  <c r="AG2" i="31"/>
  <c r="AF2" i="31"/>
  <c r="AE2" i="31"/>
  <c r="AD2" i="31"/>
  <c r="G2" i="31" l="1"/>
  <c r="H2" i="31"/>
  <c r="F2" i="31"/>
  <c r="E2" i="31"/>
  <c r="D2" i="31"/>
  <c r="C2" i="31"/>
  <c r="D3" i="32" l="1"/>
  <c r="S4" i="32" l="1"/>
  <c r="R4" i="32"/>
  <c r="Q4" i="32"/>
  <c r="P4" i="32"/>
  <c r="O4" i="32"/>
  <c r="N4" i="32"/>
  <c r="M4" i="32"/>
  <c r="L4" i="32"/>
  <c r="K4" i="32"/>
  <c r="J4" i="32"/>
  <c r="I4" i="32"/>
  <c r="T4" i="31"/>
  <c r="S4" i="31"/>
  <c r="R4" i="31"/>
  <c r="Q4" i="31"/>
  <c r="P4" i="31"/>
  <c r="O4" i="31"/>
  <c r="N4" i="31"/>
  <c r="Z6" i="32"/>
  <c r="Y6" i="32"/>
  <c r="X6" i="32"/>
  <c r="W6" i="32"/>
  <c r="V6" i="32"/>
  <c r="U6" i="32"/>
  <c r="T6" i="32"/>
  <c r="S6" i="32"/>
  <c r="R6" i="32"/>
  <c r="Q6" i="32"/>
  <c r="P6" i="32"/>
  <c r="O6" i="32"/>
  <c r="N6" i="32"/>
  <c r="AA6" i="32"/>
  <c r="AB6" i="32"/>
  <c r="AC6" i="32"/>
  <c r="AD6" i="32"/>
  <c r="AE6" i="32"/>
  <c r="AF6" i="32"/>
  <c r="AG6" i="32"/>
  <c r="AH6" i="32"/>
  <c r="AI6" i="32"/>
  <c r="AJ6" i="32"/>
  <c r="AK6" i="32"/>
  <c r="AL6" i="32"/>
  <c r="AM6" i="32"/>
  <c r="AN6" i="32"/>
  <c r="AO6" i="32"/>
  <c r="AP6" i="32"/>
  <c r="AQ6" i="32"/>
  <c r="M6" i="32"/>
  <c r="L6" i="32"/>
  <c r="K6" i="32"/>
  <c r="J6" i="32"/>
  <c r="I6" i="32"/>
  <c r="U4" i="31"/>
  <c r="V4" i="31"/>
  <c r="W4" i="31"/>
  <c r="X4" i="31"/>
  <c r="Y4" i="31"/>
  <c r="Z4" i="31"/>
  <c r="AA4" i="31"/>
  <c r="AB4" i="31"/>
  <c r="AC4" i="31"/>
  <c r="AD4" i="31"/>
  <c r="AE4" i="31"/>
  <c r="AF4" i="31"/>
  <c r="AG4" i="31"/>
  <c r="AH4" i="31"/>
  <c r="AI4" i="31"/>
  <c r="AJ4" i="31"/>
  <c r="AK4" i="31"/>
  <c r="AL4" i="31"/>
  <c r="AM4" i="31"/>
  <c r="AN4" i="31"/>
  <c r="AO4" i="31"/>
  <c r="AP4" i="31"/>
  <c r="AQ4" i="31"/>
  <c r="M4" i="31"/>
  <c r="L4" i="31"/>
  <c r="K4" i="31"/>
  <c r="J4" i="31"/>
  <c r="I4" i="31"/>
  <c r="H46" i="39"/>
  <c r="H47" i="39"/>
  <c r="G46" i="39"/>
  <c r="G40" i="39" s="1"/>
  <c r="F46" i="39"/>
  <c r="E46" i="39"/>
  <c r="P40" i="39"/>
  <c r="Q40" i="39"/>
  <c r="R40" i="39"/>
  <c r="S40" i="39"/>
  <c r="T40" i="39"/>
  <c r="U40" i="39"/>
  <c r="V40" i="39"/>
  <c r="W40" i="39"/>
  <c r="X40" i="39"/>
  <c r="Y40" i="39"/>
  <c r="Z40" i="39"/>
  <c r="AA40" i="39"/>
  <c r="AB40" i="39"/>
  <c r="AC40" i="39"/>
  <c r="AD40" i="39"/>
  <c r="AE40" i="39"/>
  <c r="AF40" i="39"/>
  <c r="AG40" i="39"/>
  <c r="AH40" i="39"/>
  <c r="AI40" i="39"/>
  <c r="AJ40" i="39"/>
  <c r="AK40" i="39"/>
  <c r="AL40" i="39"/>
  <c r="AM40" i="39"/>
  <c r="AN40" i="39"/>
  <c r="AO40" i="39"/>
  <c r="AP40" i="39"/>
  <c r="AQ40" i="39"/>
  <c r="AR40" i="39"/>
  <c r="AS40" i="39"/>
  <c r="AT40" i="39"/>
  <c r="M40" i="39"/>
  <c r="N40" i="39"/>
  <c r="O40" i="39"/>
  <c r="F40" i="39"/>
  <c r="H40" i="39"/>
  <c r="I40" i="39"/>
  <c r="J40" i="39"/>
  <c r="K40" i="39"/>
  <c r="L40" i="39"/>
  <c r="E40" i="39"/>
  <c r="G47" i="39"/>
  <c r="F47" i="39"/>
  <c r="E47" i="39"/>
  <c r="G45" i="39"/>
  <c r="F44" i="39"/>
  <c r="E45" i="39"/>
  <c r="G44" i="39"/>
  <c r="F45" i="39"/>
  <c r="F38" i="39" s="1"/>
  <c r="E44" i="39"/>
  <c r="G38" i="39"/>
  <c r="H38" i="39"/>
  <c r="I38" i="39"/>
  <c r="J38" i="39"/>
  <c r="K38" i="39"/>
  <c r="L38" i="39"/>
  <c r="M38" i="39"/>
  <c r="N38" i="39"/>
  <c r="O38" i="39"/>
  <c r="P38" i="39"/>
  <c r="Q38" i="39"/>
  <c r="R38" i="39"/>
  <c r="S38" i="39"/>
  <c r="T38" i="39"/>
  <c r="U38" i="39"/>
  <c r="V38" i="39"/>
  <c r="W38" i="39"/>
  <c r="X38" i="39"/>
  <c r="Y38" i="39"/>
  <c r="Z38" i="39"/>
  <c r="AA38" i="39"/>
  <c r="AB38" i="39"/>
  <c r="AC38" i="39"/>
  <c r="AD38" i="39"/>
  <c r="AE38" i="39"/>
  <c r="AF38" i="39"/>
  <c r="AG38" i="39"/>
  <c r="AH38" i="39"/>
  <c r="AI38" i="39"/>
  <c r="AJ38" i="39"/>
  <c r="AK38" i="39"/>
  <c r="AL38" i="39"/>
  <c r="AM38" i="39"/>
  <c r="AN38" i="39"/>
  <c r="AO38" i="39"/>
  <c r="AP38" i="39"/>
  <c r="AQ38" i="39"/>
  <c r="AR38" i="39"/>
  <c r="AS38" i="39"/>
  <c r="AT38" i="39"/>
  <c r="E38" i="39"/>
  <c r="I39" i="39"/>
  <c r="J39" i="39"/>
  <c r="K39" i="39"/>
  <c r="L39" i="39"/>
  <c r="M39" i="39"/>
  <c r="N39" i="39"/>
  <c r="O39" i="39"/>
  <c r="P39" i="39"/>
  <c r="Q39" i="39"/>
  <c r="R39" i="39"/>
  <c r="S39" i="39"/>
  <c r="T39" i="39"/>
  <c r="U39" i="39"/>
  <c r="V39" i="39"/>
  <c r="W39" i="39"/>
  <c r="X39" i="39"/>
  <c r="Y39" i="39"/>
  <c r="Z39" i="39"/>
  <c r="AA39" i="39"/>
  <c r="AB39" i="39"/>
  <c r="AC39" i="39"/>
  <c r="AD39" i="39"/>
  <c r="AE39" i="39"/>
  <c r="AF39" i="39"/>
  <c r="AG39" i="39"/>
  <c r="AH39" i="39"/>
  <c r="AI39" i="39"/>
  <c r="AJ39" i="39"/>
  <c r="AK39" i="39"/>
  <c r="AL39" i="39"/>
  <c r="AM39" i="39"/>
  <c r="AN39" i="39"/>
  <c r="AO39" i="39"/>
  <c r="AP39" i="39"/>
  <c r="AQ39" i="39"/>
  <c r="AR39" i="39"/>
  <c r="AS39" i="39"/>
  <c r="AT39" i="39"/>
  <c r="E39" i="39"/>
  <c r="O3" i="31"/>
  <c r="P3" i="31"/>
  <c r="Q3" i="31"/>
  <c r="R3" i="31"/>
  <c r="S3" i="31"/>
  <c r="T3" i="31"/>
  <c r="U3" i="31"/>
  <c r="V3" i="31"/>
  <c r="W3" i="31"/>
  <c r="X3" i="31"/>
  <c r="Y3" i="31"/>
  <c r="Z3" i="31"/>
  <c r="AA3" i="31"/>
  <c r="AB3" i="31"/>
  <c r="AC3" i="31"/>
  <c r="AD3" i="31"/>
  <c r="AE3" i="31"/>
  <c r="AF3" i="31"/>
  <c r="AG3" i="31"/>
  <c r="AH3" i="31"/>
  <c r="AI3" i="31"/>
  <c r="AJ3" i="31"/>
  <c r="AK3" i="31"/>
  <c r="AL3" i="31"/>
  <c r="AM3" i="31"/>
  <c r="AN3" i="31"/>
  <c r="AO3" i="31"/>
  <c r="AP3" i="31"/>
  <c r="AQ3" i="31"/>
  <c r="C3" i="31"/>
  <c r="D3" i="31"/>
  <c r="E3" i="31"/>
  <c r="F3" i="31"/>
  <c r="G3" i="31"/>
  <c r="H3" i="31"/>
  <c r="I3" i="31"/>
  <c r="J3" i="31"/>
  <c r="K3" i="31"/>
  <c r="L3" i="31"/>
  <c r="M3" i="31"/>
  <c r="N3" i="31"/>
  <c r="B3" i="31"/>
  <c r="B2" i="31"/>
  <c r="AQ35" i="38"/>
  <c r="AQ36" i="38" s="1"/>
  <c r="AR35" i="38"/>
  <c r="AR36" i="38" s="1"/>
  <c r="AS35" i="38"/>
  <c r="AS36" i="38" s="1"/>
  <c r="AT35" i="38"/>
  <c r="AT36" i="38" s="1"/>
  <c r="AQ37" i="38"/>
  <c r="AQ38" i="38" s="1"/>
  <c r="AR37" i="38"/>
  <c r="AR38" i="38" s="1"/>
  <c r="AS37" i="38"/>
  <c r="AS38" i="38" s="1"/>
  <c r="AT37" i="38"/>
  <c r="AT38" i="38" s="1"/>
  <c r="O35" i="38"/>
  <c r="P35" i="38"/>
  <c r="Q35" i="38"/>
  <c r="R35" i="38"/>
  <c r="S35" i="38"/>
  <c r="T35" i="38"/>
  <c r="U35" i="38"/>
  <c r="V35" i="38"/>
  <c r="W35" i="38"/>
  <c r="X35" i="38"/>
  <c r="Y35" i="38"/>
  <c r="Z35" i="38"/>
  <c r="AA35" i="38"/>
  <c r="AB35" i="38"/>
  <c r="AC35" i="38"/>
  <c r="AD35" i="38"/>
  <c r="AE35" i="38"/>
  <c r="AF35" i="38"/>
  <c r="AG35" i="38"/>
  <c r="AH35" i="38"/>
  <c r="AI35" i="38"/>
  <c r="AJ35" i="38"/>
  <c r="AK35" i="38"/>
  <c r="AL35" i="38"/>
  <c r="AM35" i="38"/>
  <c r="AN35" i="38"/>
  <c r="AO35" i="38"/>
  <c r="AP35" i="38"/>
  <c r="O36" i="38"/>
  <c r="P36" i="38"/>
  <c r="Q36" i="38"/>
  <c r="R36" i="38"/>
  <c r="S36" i="38"/>
  <c r="T36" i="38"/>
  <c r="U36" i="38"/>
  <c r="V36" i="38"/>
  <c r="W36" i="38"/>
  <c r="X36" i="38"/>
  <c r="Y36" i="38"/>
  <c r="Z36" i="38"/>
  <c r="AA36" i="38"/>
  <c r="AB36" i="38"/>
  <c r="AC36" i="38"/>
  <c r="AD36" i="38"/>
  <c r="AE36" i="38"/>
  <c r="AF36" i="38"/>
  <c r="AG36" i="38"/>
  <c r="AH36" i="38"/>
  <c r="AI36" i="38"/>
  <c r="AJ36" i="38"/>
  <c r="AK36" i="38"/>
  <c r="AL36" i="38"/>
  <c r="AM36" i="38"/>
  <c r="AN36" i="38"/>
  <c r="AO36" i="38"/>
  <c r="AP36" i="38"/>
  <c r="O37" i="38"/>
  <c r="P37" i="38"/>
  <c r="Q37" i="38"/>
  <c r="R37" i="38"/>
  <c r="S37" i="38"/>
  <c r="T37" i="38"/>
  <c r="U37" i="38"/>
  <c r="V37" i="38"/>
  <c r="W37" i="38"/>
  <c r="X37" i="38"/>
  <c r="Y37" i="38"/>
  <c r="Z37" i="38"/>
  <c r="AA37" i="38"/>
  <c r="AB37" i="38"/>
  <c r="AC37" i="38"/>
  <c r="AC38" i="38" s="1"/>
  <c r="AD37" i="38"/>
  <c r="AE37" i="38"/>
  <c r="AF37" i="38"/>
  <c r="AG37" i="38"/>
  <c r="AH37" i="38"/>
  <c r="AI37" i="38"/>
  <c r="AJ37" i="38"/>
  <c r="AK37" i="38"/>
  <c r="AL37" i="38"/>
  <c r="AM37" i="38"/>
  <c r="AN37" i="38"/>
  <c r="AO37" i="38"/>
  <c r="AP37" i="38"/>
  <c r="O38" i="38"/>
  <c r="P38" i="38"/>
  <c r="Q38" i="38"/>
  <c r="R38" i="38"/>
  <c r="S38" i="38"/>
  <c r="T38" i="38"/>
  <c r="U38" i="38"/>
  <c r="V38" i="38"/>
  <c r="W38" i="38"/>
  <c r="X38" i="38"/>
  <c r="Y38" i="38"/>
  <c r="Z38" i="38"/>
  <c r="AA38" i="38"/>
  <c r="AB38" i="38"/>
  <c r="AD38" i="38"/>
  <c r="AE38" i="38"/>
  <c r="AF38" i="38"/>
  <c r="AG38" i="38"/>
  <c r="AH38" i="38"/>
  <c r="AI38" i="38"/>
  <c r="AJ38" i="38"/>
  <c r="AK38" i="38"/>
  <c r="AL38" i="38"/>
  <c r="AM38" i="38"/>
  <c r="AN38" i="38"/>
  <c r="AO38" i="38"/>
  <c r="AP38" i="38"/>
  <c r="F35" i="38"/>
  <c r="G35" i="38"/>
  <c r="H35" i="38"/>
  <c r="I35" i="38"/>
  <c r="J35" i="38"/>
  <c r="K35" i="38"/>
  <c r="L35" i="38"/>
  <c r="M35" i="38"/>
  <c r="N35" i="38"/>
  <c r="F36" i="38"/>
  <c r="G36" i="38"/>
  <c r="H36" i="38"/>
  <c r="I36" i="38"/>
  <c r="J36" i="38"/>
  <c r="K36" i="38"/>
  <c r="L36" i="38"/>
  <c r="M36" i="38"/>
  <c r="N36" i="38"/>
  <c r="F37" i="38"/>
  <c r="G37" i="38"/>
  <c r="H37" i="38"/>
  <c r="I37" i="38"/>
  <c r="J37" i="38"/>
  <c r="K37" i="38"/>
  <c r="L37" i="38"/>
  <c r="M37" i="38"/>
  <c r="N37" i="38"/>
  <c r="F38" i="38"/>
  <c r="G38" i="38"/>
  <c r="H38" i="38"/>
  <c r="I38" i="38"/>
  <c r="J38" i="38"/>
  <c r="K38" i="38"/>
  <c r="L38" i="38"/>
  <c r="M38" i="38"/>
  <c r="N38" i="38"/>
  <c r="E37" i="38"/>
  <c r="E38" i="38"/>
  <c r="E36" i="38"/>
  <c r="E35" i="38"/>
  <c r="E43" i="38"/>
  <c r="G43" i="38"/>
  <c r="F43" i="38"/>
  <c r="G42" i="38"/>
  <c r="G41" i="38"/>
  <c r="F42" i="38"/>
  <c r="F41" i="38"/>
  <c r="E42" i="38"/>
  <c r="E41" i="38"/>
  <c r="AH6" i="31"/>
  <c r="K34" i="38"/>
  <c r="H6" i="31" s="1"/>
  <c r="L34" i="38"/>
  <c r="I6" i="31" s="1"/>
  <c r="M34" i="38"/>
  <c r="J6" i="31" s="1"/>
  <c r="N34" i="38"/>
  <c r="K6" i="31" s="1"/>
  <c r="O34" i="38"/>
  <c r="L6" i="31" s="1"/>
  <c r="P34" i="38"/>
  <c r="M6" i="31" s="1"/>
  <c r="Q34" i="38"/>
  <c r="N6" i="31" s="1"/>
  <c r="R34" i="38"/>
  <c r="O6" i="31" s="1"/>
  <c r="S34" i="38"/>
  <c r="P6" i="31" s="1"/>
  <c r="T34" i="38"/>
  <c r="Q6" i="31" s="1"/>
  <c r="U34" i="38"/>
  <c r="R6" i="31" s="1"/>
  <c r="V34" i="38"/>
  <c r="S6" i="31" s="1"/>
  <c r="W34" i="38"/>
  <c r="T6" i="31" s="1"/>
  <c r="X34" i="38"/>
  <c r="U6" i="31" s="1"/>
  <c r="Y34" i="38"/>
  <c r="V6" i="31" s="1"/>
  <c r="Z34" i="38"/>
  <c r="W6" i="31" s="1"/>
  <c r="AA34" i="38"/>
  <c r="X6" i="31" s="1"/>
  <c r="AB34" i="38"/>
  <c r="Y6" i="31" s="1"/>
  <c r="AC34" i="38"/>
  <c r="Z6" i="31" s="1"/>
  <c r="AD34" i="38"/>
  <c r="AA6" i="31" s="1"/>
  <c r="AE34" i="38"/>
  <c r="AB6" i="31" s="1"/>
  <c r="AF34" i="38"/>
  <c r="AC6" i="31" s="1"/>
  <c r="AG34" i="38"/>
  <c r="AD6" i="31" s="1"/>
  <c r="AH34" i="38"/>
  <c r="AE6" i="31" s="1"/>
  <c r="AI34" i="38"/>
  <c r="AF6" i="31" s="1"/>
  <c r="AJ34" i="38"/>
  <c r="AG6" i="31" s="1"/>
  <c r="AK34" i="38"/>
  <c r="AL34" i="38"/>
  <c r="AI6" i="31" s="1"/>
  <c r="AM34" i="38"/>
  <c r="AJ6" i="31" s="1"/>
  <c r="AN34" i="38"/>
  <c r="AK6" i="31" s="1"/>
  <c r="AO34" i="38"/>
  <c r="AL6" i="31" s="1"/>
  <c r="AP34" i="38"/>
  <c r="AM6" i="31" s="1"/>
  <c r="AQ34" i="38"/>
  <c r="AN6" i="31" s="1"/>
  <c r="AR34" i="38"/>
  <c r="AO6" i="31" s="1"/>
  <c r="AS34" i="38"/>
  <c r="AP6" i="31" s="1"/>
  <c r="AT34" i="38"/>
  <c r="AQ6" i="31" s="1"/>
  <c r="C6" i="32"/>
  <c r="D6" i="32"/>
  <c r="E6" i="32"/>
  <c r="F6" i="32"/>
  <c r="G6" i="32"/>
  <c r="H6" i="32"/>
  <c r="B6" i="32"/>
  <c r="K37" i="39"/>
  <c r="L37" i="39"/>
  <c r="M37" i="39"/>
  <c r="N37" i="39"/>
  <c r="O37" i="39"/>
  <c r="P37" i="39"/>
  <c r="Q37" i="39"/>
  <c r="R37" i="39"/>
  <c r="S37" i="39"/>
  <c r="T37" i="39"/>
  <c r="U37" i="39"/>
  <c r="V37" i="39"/>
  <c r="W37" i="39"/>
  <c r="X37" i="39"/>
  <c r="Y37" i="39"/>
  <c r="Z37" i="39"/>
  <c r="AA37" i="39"/>
  <c r="AB37" i="39"/>
  <c r="AC37" i="39"/>
  <c r="AD37" i="39"/>
  <c r="AE37" i="39"/>
  <c r="AF37" i="39"/>
  <c r="AG37" i="39"/>
  <c r="AH37" i="39"/>
  <c r="AI37" i="39"/>
  <c r="AJ37" i="39"/>
  <c r="AK37" i="39"/>
  <c r="AL37" i="39"/>
  <c r="AM37" i="39"/>
  <c r="AN37" i="39"/>
  <c r="AO37" i="39"/>
  <c r="AP37" i="39"/>
  <c r="AQ37" i="39"/>
  <c r="AR37" i="39"/>
  <c r="AS37" i="39"/>
  <c r="AT37" i="39"/>
  <c r="AP36" i="39"/>
  <c r="AQ36" i="39" s="1"/>
  <c r="AR36" i="39" s="1"/>
  <c r="AS36" i="39" s="1"/>
  <c r="AK36" i="39"/>
  <c r="AL36" i="39" s="1"/>
  <c r="AM36" i="39" s="1"/>
  <c r="AN36" i="39" s="1"/>
  <c r="AF36" i="39"/>
  <c r="AG36" i="39" s="1"/>
  <c r="AH36" i="39" s="1"/>
  <c r="AI36" i="39" s="1"/>
  <c r="AA36" i="39"/>
  <c r="AB36" i="39" s="1"/>
  <c r="AC36" i="39" s="1"/>
  <c r="AD36" i="39" s="1"/>
  <c r="V36" i="39"/>
  <c r="W36" i="39" s="1"/>
  <c r="X36" i="39" s="1"/>
  <c r="Y36" i="39" s="1"/>
  <c r="Q36" i="39"/>
  <c r="R36" i="39" s="1"/>
  <c r="S36" i="39" s="1"/>
  <c r="T36" i="39" s="1"/>
  <c r="L36" i="39"/>
  <c r="M36" i="39" s="1"/>
  <c r="N36" i="39" s="1"/>
  <c r="O36" i="39" s="1"/>
  <c r="AT36" i="39"/>
  <c r="K36" i="39"/>
  <c r="P36" i="39"/>
  <c r="AO36" i="39"/>
  <c r="AJ36" i="39"/>
  <c r="AE36" i="39"/>
  <c r="Z36" i="39"/>
  <c r="U36" i="39"/>
  <c r="F37" i="39"/>
  <c r="G37" i="39"/>
  <c r="H37" i="39"/>
  <c r="I37" i="39"/>
  <c r="J37" i="39"/>
  <c r="E37" i="39"/>
  <c r="F34" i="38"/>
  <c r="C6" i="31" s="1"/>
  <c r="G34" i="38"/>
  <c r="D6" i="31" s="1"/>
  <c r="H34" i="38"/>
  <c r="E6" i="31" s="1"/>
  <c r="I34" i="38"/>
  <c r="F6" i="31" s="1"/>
  <c r="J34" i="38"/>
  <c r="G6" i="31" s="1"/>
  <c r="E34" i="38"/>
  <c r="B6" i="31" s="1"/>
  <c r="E32" i="38"/>
  <c r="H5" i="32"/>
  <c r="I5" i="32"/>
  <c r="J5" i="32"/>
  <c r="K5" i="32"/>
  <c r="L5" i="32"/>
  <c r="M5" i="32"/>
  <c r="N5" i="32"/>
  <c r="O5" i="32"/>
  <c r="P5" i="32"/>
  <c r="Q5" i="32"/>
  <c r="R5" i="32"/>
  <c r="S5" i="32"/>
  <c r="T5" i="32"/>
  <c r="U5" i="32"/>
  <c r="V5" i="32"/>
  <c r="W5" i="32"/>
  <c r="X5" i="32"/>
  <c r="Y5" i="32"/>
  <c r="Z5" i="32"/>
  <c r="AA5" i="32"/>
  <c r="AB5" i="32"/>
  <c r="AC5" i="32"/>
  <c r="AD5" i="32"/>
  <c r="AE5" i="32"/>
  <c r="AF5" i="32"/>
  <c r="AG5" i="32"/>
  <c r="AH5" i="32"/>
  <c r="AI5" i="32"/>
  <c r="AJ5" i="32"/>
  <c r="AK5" i="32"/>
  <c r="AL5" i="32"/>
  <c r="AM5" i="32"/>
  <c r="AN5" i="32"/>
  <c r="AO5" i="32"/>
  <c r="AP5" i="32"/>
  <c r="AQ5" i="32"/>
  <c r="AQ34" i="39"/>
  <c r="AP34" i="39"/>
  <c r="AL34" i="39"/>
  <c r="AM34" i="39"/>
  <c r="AN34" i="39"/>
  <c r="AK34" i="39"/>
  <c r="AG34" i="39"/>
  <c r="AH34" i="39" s="1"/>
  <c r="AF34" i="39"/>
  <c r="AF35" i="39"/>
  <c r="AB34" i="39"/>
  <c r="AA34" i="39"/>
  <c r="W34" i="39"/>
  <c r="V34" i="39"/>
  <c r="V35" i="39" s="1"/>
  <c r="T35" i="39"/>
  <c r="U35" i="39"/>
  <c r="Z35" i="39"/>
  <c r="AA35" i="39"/>
  <c r="AE35" i="39"/>
  <c r="AG35" i="39"/>
  <c r="AJ35" i="39"/>
  <c r="AK35" i="39"/>
  <c r="AL35" i="39"/>
  <c r="AM35" i="39"/>
  <c r="AN35" i="39"/>
  <c r="AO35" i="39"/>
  <c r="AP35" i="39"/>
  <c r="AT35" i="39"/>
  <c r="R34" i="39"/>
  <c r="Q34" i="39"/>
  <c r="Q35" i="39" s="1"/>
  <c r="M34" i="39"/>
  <c r="L34" i="39"/>
  <c r="L35" i="39" s="1"/>
  <c r="L29" i="38"/>
  <c r="K32" i="38"/>
  <c r="H5" i="31" s="1"/>
  <c r="F35" i="39"/>
  <c r="C5" i="32" s="1"/>
  <c r="G35" i="39"/>
  <c r="D5" i="32" s="1"/>
  <c r="H35" i="39"/>
  <c r="E5" i="32" s="1"/>
  <c r="I35" i="39"/>
  <c r="F5" i="32" s="1"/>
  <c r="J35" i="39"/>
  <c r="G5" i="32" s="1"/>
  <c r="K35" i="39"/>
  <c r="P35" i="39"/>
  <c r="E35" i="39"/>
  <c r="B5" i="32" s="1"/>
  <c r="L32" i="38"/>
  <c r="I5" i="31" s="1"/>
  <c r="M32" i="38"/>
  <c r="J5" i="31" s="1"/>
  <c r="N32" i="38"/>
  <c r="K5" i="31" s="1"/>
  <c r="O32" i="38"/>
  <c r="L5" i="31" s="1"/>
  <c r="P32" i="38"/>
  <c r="M5" i="31" s="1"/>
  <c r="Q32" i="38"/>
  <c r="N5" i="31" s="1"/>
  <c r="R32" i="38"/>
  <c r="O5" i="31" s="1"/>
  <c r="S32" i="38"/>
  <c r="P5" i="31" s="1"/>
  <c r="T32" i="38"/>
  <c r="Q5" i="31" s="1"/>
  <c r="U32" i="38"/>
  <c r="R5" i="31" s="1"/>
  <c r="V32" i="38"/>
  <c r="S5" i="31" s="1"/>
  <c r="W32" i="38"/>
  <c r="T5" i="31" s="1"/>
  <c r="X32" i="38"/>
  <c r="U5" i="31" s="1"/>
  <c r="Y32" i="38"/>
  <c r="V5" i="31" s="1"/>
  <c r="Z32" i="38"/>
  <c r="W5" i="31" s="1"/>
  <c r="AA32" i="38"/>
  <c r="X5" i="31" s="1"/>
  <c r="AB32" i="38"/>
  <c r="Y5" i="31" s="1"/>
  <c r="AC32" i="38"/>
  <c r="Z5" i="31" s="1"/>
  <c r="AD32" i="38"/>
  <c r="AA5" i="31" s="1"/>
  <c r="AE32" i="38"/>
  <c r="AB5" i="31" s="1"/>
  <c r="AF32" i="38"/>
  <c r="AC5" i="31" s="1"/>
  <c r="AG32" i="38"/>
  <c r="AD5" i="31" s="1"/>
  <c r="AH32" i="38"/>
  <c r="AE5" i="31" s="1"/>
  <c r="AI32" i="38"/>
  <c r="AF5" i="31" s="1"/>
  <c r="AJ32" i="38"/>
  <c r="AG5" i="31" s="1"/>
  <c r="AK32" i="38"/>
  <c r="AH5" i="31" s="1"/>
  <c r="AL32" i="38"/>
  <c r="AI5" i="31" s="1"/>
  <c r="AM32" i="38"/>
  <c r="AJ5" i="31" s="1"/>
  <c r="AN32" i="38"/>
  <c r="AK5" i="31" s="1"/>
  <c r="AO32" i="38"/>
  <c r="AL5" i="31" s="1"/>
  <c r="AP32" i="38"/>
  <c r="AM5" i="31" s="1"/>
  <c r="AQ32" i="38"/>
  <c r="AN5" i="31" s="1"/>
  <c r="AR32" i="38"/>
  <c r="AO5" i="31" s="1"/>
  <c r="AS32" i="38"/>
  <c r="AP5" i="31" s="1"/>
  <c r="AT32" i="38"/>
  <c r="AQ5" i="31" s="1"/>
  <c r="B5" i="31"/>
  <c r="F32" i="38"/>
  <c r="C5" i="31" s="1"/>
  <c r="G32" i="38"/>
  <c r="D5" i="31" s="1"/>
  <c r="H32" i="38"/>
  <c r="E5" i="31" s="1"/>
  <c r="I32" i="38"/>
  <c r="F5" i="31" s="1"/>
  <c r="J32" i="38"/>
  <c r="G5" i="31" s="1"/>
  <c r="AP29" i="38"/>
  <c r="AK29" i="38"/>
  <c r="AL29" i="38" s="1"/>
  <c r="AK30" i="38"/>
  <c r="AF29" i="38"/>
  <c r="AA29" i="38"/>
  <c r="AB29" i="38" s="1"/>
  <c r="V29" i="38"/>
  <c r="Q29" i="38"/>
  <c r="R29" i="38" s="1"/>
  <c r="Q30" i="38"/>
  <c r="M29" i="38"/>
  <c r="N29" i="38" s="1"/>
  <c r="L30" i="38"/>
  <c r="AO30" i="38"/>
  <c r="AT30" i="38"/>
  <c r="M30" i="38"/>
  <c r="P30" i="38"/>
  <c r="U30" i="38"/>
  <c r="Z30" i="38"/>
  <c r="AA30" i="38"/>
  <c r="AE30" i="38"/>
  <c r="AJ30" i="38"/>
  <c r="K30" i="38"/>
  <c r="H4" i="31" s="1"/>
  <c r="E32" i="39"/>
  <c r="B4" i="32" s="1"/>
  <c r="F32" i="39"/>
  <c r="C4" i="32" s="1"/>
  <c r="G32" i="39"/>
  <c r="D4" i="32" s="1"/>
  <c r="H32" i="39"/>
  <c r="E4" i="32" s="1"/>
  <c r="I32" i="39"/>
  <c r="F4" i="32" s="1"/>
  <c r="J32" i="39"/>
  <c r="F30" i="38"/>
  <c r="C4" i="31" s="1"/>
  <c r="G30" i="38"/>
  <c r="D4" i="31" s="1"/>
  <c r="H30" i="38"/>
  <c r="E4" i="31" s="1"/>
  <c r="I30" i="38"/>
  <c r="F4" i="31" s="1"/>
  <c r="J30" i="38"/>
  <c r="G4" i="31" s="1"/>
  <c r="E30" i="38"/>
  <c r="B4" i="31" s="1"/>
  <c r="AQ7" i="31" a="1"/>
  <c r="AQ7" i="31" s="1"/>
  <c r="AQ7" i="32" a="1"/>
  <c r="AQ7" i="32" s="1"/>
  <c r="C7" i="31"/>
  <c r="U16" i="26"/>
  <c r="T16" i="26"/>
  <c r="S16" i="26"/>
  <c r="R16" i="26"/>
  <c r="U15" i="26"/>
  <c r="T15" i="26"/>
  <c r="S15" i="26"/>
  <c r="R15" i="26"/>
  <c r="U14" i="26"/>
  <c r="T14" i="26"/>
  <c r="S14" i="26"/>
  <c r="R14" i="26"/>
  <c r="S27" i="26" s="1" a="1"/>
  <c r="S27" i="26" s="1"/>
  <c r="U12" i="26"/>
  <c r="T12" i="26"/>
  <c r="S12" i="26"/>
  <c r="R12" i="26"/>
  <c r="U11" i="26"/>
  <c r="T11" i="26"/>
  <c r="S11" i="26"/>
  <c r="R11" i="26"/>
  <c r="U10" i="26"/>
  <c r="T10" i="26"/>
  <c r="S10" i="26"/>
  <c r="R10" i="26"/>
  <c r="S21" i="26" s="1" a="1"/>
  <c r="I37" i="26"/>
  <c r="I38" i="26"/>
  <c r="I39" i="26"/>
  <c r="I36" i="26"/>
  <c r="B39" i="26"/>
  <c r="I41" i="39" l="1"/>
  <c r="J41" i="39"/>
  <c r="K41" i="39"/>
  <c r="F41" i="39"/>
  <c r="H41" i="39"/>
  <c r="E41" i="39"/>
  <c r="G41" i="39"/>
  <c r="H39" i="39"/>
  <c r="F39" i="39"/>
  <c r="G39" i="39"/>
  <c r="AT41" i="39"/>
  <c r="AK41" i="39"/>
  <c r="AO41" i="39"/>
  <c r="AJ41" i="39"/>
  <c r="AE41" i="39"/>
  <c r="Z41" i="39"/>
  <c r="U41" i="39"/>
  <c r="P41" i="39"/>
  <c r="AP30" i="38"/>
  <c r="AQ29" i="38"/>
  <c r="AM29" i="38"/>
  <c r="AL30" i="38"/>
  <c r="AF30" i="38"/>
  <c r="AG29" i="38"/>
  <c r="AB30" i="38"/>
  <c r="AC29" i="38"/>
  <c r="V30" i="38"/>
  <c r="W29" i="38"/>
  <c r="R30" i="38"/>
  <c r="S29" i="38"/>
  <c r="N30" i="38"/>
  <c r="O29" i="38"/>
  <c r="O30" i="38" s="1"/>
  <c r="AR34" i="39"/>
  <c r="AQ35" i="39"/>
  <c r="AH35" i="39"/>
  <c r="AI34" i="39"/>
  <c r="AI35" i="39" s="1"/>
  <c r="AC34" i="39"/>
  <c r="AB35" i="39"/>
  <c r="W35" i="39"/>
  <c r="X34" i="39"/>
  <c r="R35" i="39"/>
  <c r="S34" i="39"/>
  <c r="M35" i="39"/>
  <c r="N34" i="39"/>
  <c r="G4" i="32"/>
  <c r="K32" i="39"/>
  <c r="W24" i="26"/>
  <c r="W23" i="26"/>
  <c r="W22" i="26"/>
  <c r="W21" i="26"/>
  <c r="S21" i="26"/>
  <c r="AO4" i="38"/>
  <c r="AJ13" i="38"/>
  <c r="AM3" i="38"/>
  <c r="AM7" i="39"/>
  <c r="AN7" i="39"/>
  <c r="AO7" i="39"/>
  <c r="AP7" i="39"/>
  <c r="AQ7" i="39"/>
  <c r="AR7" i="39"/>
  <c r="AS7" i="39"/>
  <c r="AT7" i="39"/>
  <c r="AL7" i="39"/>
  <c r="AM5" i="39"/>
  <c r="AN5" i="39"/>
  <c r="AO5" i="39"/>
  <c r="AP5" i="39"/>
  <c r="AQ5" i="39"/>
  <c r="AR5" i="39"/>
  <c r="AS5" i="39"/>
  <c r="AT5" i="39"/>
  <c r="AL5" i="39"/>
  <c r="AM4" i="39"/>
  <c r="AN4" i="39"/>
  <c r="AO4" i="39"/>
  <c r="AP4" i="39"/>
  <c r="AQ4" i="39"/>
  <c r="AR4" i="39"/>
  <c r="AS4" i="39"/>
  <c r="AT4" i="39"/>
  <c r="AL4" i="39"/>
  <c r="AM3" i="39"/>
  <c r="AN3" i="39"/>
  <c r="AO3" i="39"/>
  <c r="AP3" i="39"/>
  <c r="AQ3" i="39"/>
  <c r="AR3" i="39"/>
  <c r="AS3" i="39"/>
  <c r="AT3" i="39"/>
  <c r="AL3" i="39"/>
  <c r="AM4" i="38"/>
  <c r="AN4" i="38"/>
  <c r="AP4" i="38"/>
  <c r="AQ4" i="38"/>
  <c r="AR4" i="38"/>
  <c r="AS4" i="38"/>
  <c r="AT4" i="38"/>
  <c r="AL4" i="38"/>
  <c r="AF41" i="39" l="1"/>
  <c r="AP41" i="39"/>
  <c r="AL41" i="39"/>
  <c r="V41" i="39"/>
  <c r="AA41" i="39"/>
  <c r="Q41" i="39"/>
  <c r="L41" i="39"/>
  <c r="AR29" i="38"/>
  <c r="AQ30" i="38"/>
  <c r="AM30" i="38"/>
  <c r="AN29" i="38"/>
  <c r="AN30" i="38" s="1"/>
  <c r="AG30" i="38"/>
  <c r="AH29" i="38"/>
  <c r="X29" i="38"/>
  <c r="W30" i="38"/>
  <c r="S30" i="38"/>
  <c r="T29" i="38"/>
  <c r="T30" i="38" s="1"/>
  <c r="AC30" i="38"/>
  <c r="AD29" i="38"/>
  <c r="AD30" i="38" s="1"/>
  <c r="AS34" i="39"/>
  <c r="AS35" i="39" s="1"/>
  <c r="AR35" i="39"/>
  <c r="AC35" i="39"/>
  <c r="AD34" i="39"/>
  <c r="AD35" i="39" s="1"/>
  <c r="X35" i="39"/>
  <c r="Y34" i="39"/>
  <c r="Y35" i="39" s="1"/>
  <c r="T34" i="39"/>
  <c r="S35" i="39"/>
  <c r="N35" i="39"/>
  <c r="O34" i="39"/>
  <c r="O35" i="39" s="1"/>
  <c r="L32" i="39"/>
  <c r="H4" i="32"/>
  <c r="BQ6" i="38"/>
  <c r="BR6" i="38"/>
  <c r="BS6" i="38"/>
  <c r="BT6" i="38"/>
  <c r="BU6" i="38"/>
  <c r="BV6" i="38"/>
  <c r="BW6" i="38"/>
  <c r="BX6" i="38"/>
  <c r="BP6" i="38"/>
  <c r="BG6" i="38"/>
  <c r="BH6" i="38"/>
  <c r="BI6" i="38"/>
  <c r="BJ6" i="38"/>
  <c r="BK6" i="38"/>
  <c r="BL6" i="38"/>
  <c r="BM6" i="38"/>
  <c r="BN6" i="38"/>
  <c r="BF6" i="38"/>
  <c r="AW6" i="38"/>
  <c r="AX6" i="38"/>
  <c r="AY6" i="38"/>
  <c r="AZ6" i="38"/>
  <c r="BA6" i="38"/>
  <c r="BB6" i="38"/>
  <c r="BC6" i="38"/>
  <c r="BD6" i="38"/>
  <c r="AV6" i="38"/>
  <c r="AL5" i="38"/>
  <c r="AL6" i="38"/>
  <c r="AN6" i="38"/>
  <c r="AO6" i="38"/>
  <c r="AP6" i="38"/>
  <c r="AQ6" i="38"/>
  <c r="AR6" i="38"/>
  <c r="AS6" i="38"/>
  <c r="AT6" i="38"/>
  <c r="AM6" i="38"/>
  <c r="BQ5" i="38"/>
  <c r="BR5" i="38"/>
  <c r="BS5" i="38"/>
  <c r="BT5" i="38"/>
  <c r="BU5" i="38"/>
  <c r="BV5" i="38"/>
  <c r="BW5" i="38"/>
  <c r="BX5" i="38"/>
  <c r="BP5" i="38"/>
  <c r="BG5" i="38"/>
  <c r="BH5" i="38"/>
  <c r="BI5" i="38"/>
  <c r="BJ5" i="38"/>
  <c r="BK5" i="38"/>
  <c r="BL5" i="38"/>
  <c r="BM5" i="38"/>
  <c r="BN5" i="38"/>
  <c r="BF5" i="38"/>
  <c r="BD5" i="38"/>
  <c r="AW5" i="38"/>
  <c r="AX5" i="38"/>
  <c r="AY5" i="38"/>
  <c r="AZ5" i="38"/>
  <c r="BA5" i="38"/>
  <c r="BB5" i="38"/>
  <c r="BC5" i="38"/>
  <c r="AV5" i="38"/>
  <c r="AN5" i="38"/>
  <c r="AO5" i="38"/>
  <c r="AP5" i="38"/>
  <c r="AQ5" i="38"/>
  <c r="AR5" i="38"/>
  <c r="AS5" i="38"/>
  <c r="AT5" i="38"/>
  <c r="AM5" i="38"/>
  <c r="BQ4" i="38"/>
  <c r="BR4" i="38"/>
  <c r="BS4" i="38"/>
  <c r="BT4" i="38"/>
  <c r="BU4" i="38"/>
  <c r="BV4" i="38"/>
  <c r="BW4" i="38"/>
  <c r="BX4" i="38"/>
  <c r="BP4" i="38"/>
  <c r="BG4" i="38"/>
  <c r="BH4" i="38"/>
  <c r="BI4" i="38"/>
  <c r="BJ4" i="38"/>
  <c r="BK4" i="38"/>
  <c r="BL4" i="38"/>
  <c r="BM4" i="38"/>
  <c r="BN4" i="38"/>
  <c r="BF4" i="38"/>
  <c r="AX4" i="38"/>
  <c r="AY4" i="38"/>
  <c r="AZ4" i="38"/>
  <c r="BA4" i="38"/>
  <c r="BB4" i="38"/>
  <c r="BC4" i="38"/>
  <c r="BD4" i="38"/>
  <c r="AV4" i="38"/>
  <c r="AV3" i="38"/>
  <c r="AW4" i="38"/>
  <c r="AX3" i="38"/>
  <c r="AY3" i="38"/>
  <c r="AZ3" i="38"/>
  <c r="BA3" i="38"/>
  <c r="BB3" i="38"/>
  <c r="BC3" i="38"/>
  <c r="BD3" i="38"/>
  <c r="AW3" i="38"/>
  <c r="AL3" i="38"/>
  <c r="AL2" i="38" s="1"/>
  <c r="BG3" i="38"/>
  <c r="BH3" i="38"/>
  <c r="BI3" i="38"/>
  <c r="BJ3" i="38"/>
  <c r="BK3" i="38"/>
  <c r="BL3" i="38"/>
  <c r="BM3" i="38"/>
  <c r="BN3" i="38"/>
  <c r="BF3" i="38"/>
  <c r="BQ3" i="38"/>
  <c r="BR3" i="38"/>
  <c r="BS3" i="38"/>
  <c r="BT3" i="38"/>
  <c r="BU3" i="38"/>
  <c r="BV3" i="38"/>
  <c r="BW3" i="38"/>
  <c r="BX3" i="38"/>
  <c r="BP3" i="38"/>
  <c r="AN3" i="38"/>
  <c r="AO3" i="38"/>
  <c r="AP3" i="38"/>
  <c r="AQ3" i="38"/>
  <c r="AR3" i="38"/>
  <c r="AS3" i="38"/>
  <c r="AT3" i="38"/>
  <c r="AG41" i="39" l="1"/>
  <c r="AQ41" i="39"/>
  <c r="AM41" i="39"/>
  <c r="AN41" i="39"/>
  <c r="W41" i="39"/>
  <c r="AB41" i="39"/>
  <c r="R41" i="39"/>
  <c r="M41" i="39"/>
  <c r="AR30" i="38"/>
  <c r="AS29" i="38"/>
  <c r="AS30" i="38" s="1"/>
  <c r="AH30" i="38"/>
  <c r="AI29" i="38"/>
  <c r="AI30" i="38" s="1"/>
  <c r="X30" i="38"/>
  <c r="Y29" i="38"/>
  <c r="Y30" i="38" s="1"/>
  <c r="M32" i="39"/>
  <c r="BQ7" i="39"/>
  <c r="BR7" i="39"/>
  <c r="BS7" i="39"/>
  <c r="BT7" i="39"/>
  <c r="BU7" i="39"/>
  <c r="BV7" i="39"/>
  <c r="BW7" i="39"/>
  <c r="BX7" i="39"/>
  <c r="BP7" i="39"/>
  <c r="BG7" i="39"/>
  <c r="BH7" i="39"/>
  <c r="BI7" i="39"/>
  <c r="BJ7" i="39"/>
  <c r="BK7" i="39"/>
  <c r="BL7" i="39"/>
  <c r="BM7" i="39"/>
  <c r="BN7" i="39"/>
  <c r="BF7" i="39"/>
  <c r="AW7" i="39"/>
  <c r="AX7" i="39"/>
  <c r="AY7" i="39"/>
  <c r="AZ7" i="39"/>
  <c r="BA7" i="39"/>
  <c r="BB7" i="39"/>
  <c r="BC7" i="39"/>
  <c r="BD7" i="39"/>
  <c r="AV7" i="39"/>
  <c r="AV5" i="39"/>
  <c r="BQ5" i="39"/>
  <c r="BR5" i="39"/>
  <c r="BS5" i="39"/>
  <c r="BT5" i="39"/>
  <c r="BU5" i="39"/>
  <c r="BV5" i="39"/>
  <c r="BW5" i="39"/>
  <c r="BX5" i="39"/>
  <c r="BP5" i="39"/>
  <c r="BG5" i="39"/>
  <c r="BH5" i="39"/>
  <c r="BI5" i="39"/>
  <c r="BJ5" i="39"/>
  <c r="BK5" i="39"/>
  <c r="BL5" i="39"/>
  <c r="BM5" i="39"/>
  <c r="BN5" i="39"/>
  <c r="BF5" i="39"/>
  <c r="AW5" i="39"/>
  <c r="AX5" i="39"/>
  <c r="AY5" i="39"/>
  <c r="AZ5" i="39"/>
  <c r="BA5" i="39"/>
  <c r="BB5" i="39"/>
  <c r="BC5" i="39"/>
  <c r="BD5" i="39"/>
  <c r="BQ4" i="39"/>
  <c r="BR4" i="39"/>
  <c r="BS4" i="39"/>
  <c r="BT4" i="39"/>
  <c r="BU4" i="39"/>
  <c r="BV4" i="39"/>
  <c r="BW4" i="39"/>
  <c r="BX4" i="39"/>
  <c r="BP4" i="39"/>
  <c r="BG4" i="39"/>
  <c r="BH4" i="39"/>
  <c r="BI4" i="39"/>
  <c r="BJ4" i="39"/>
  <c r="BK4" i="39"/>
  <c r="BL4" i="39"/>
  <c r="BM4" i="39"/>
  <c r="BN4" i="39"/>
  <c r="BF4" i="39"/>
  <c r="AW4" i="39"/>
  <c r="AX4" i="39"/>
  <c r="AY4" i="39"/>
  <c r="AZ4" i="39"/>
  <c r="BA4" i="39"/>
  <c r="BB4" i="39"/>
  <c r="BC4" i="39"/>
  <c r="BD4" i="39"/>
  <c r="AV4" i="39"/>
  <c r="BQ3" i="39"/>
  <c r="BR3" i="39"/>
  <c r="BS3" i="39"/>
  <c r="BT3" i="39"/>
  <c r="BU3" i="39"/>
  <c r="BV3" i="39"/>
  <c r="BW3" i="39"/>
  <c r="BX3" i="39"/>
  <c r="BP3" i="39"/>
  <c r="BG3" i="39"/>
  <c r="BH3" i="39"/>
  <c r="BI3" i="39"/>
  <c r="BJ3" i="39"/>
  <c r="BK3" i="39"/>
  <c r="BL3" i="39"/>
  <c r="BM3" i="39"/>
  <c r="BN3" i="39"/>
  <c r="BF3" i="39"/>
  <c r="BD3" i="39"/>
  <c r="BC3" i="39"/>
  <c r="BB3" i="39"/>
  <c r="BA3" i="39"/>
  <c r="AZ3" i="39"/>
  <c r="AY3" i="39"/>
  <c r="AX3" i="39"/>
  <c r="AW3" i="39"/>
  <c r="AV3" i="39"/>
  <c r="AI41" i="39" l="1"/>
  <c r="AH41" i="39"/>
  <c r="AS41" i="39"/>
  <c r="AR41" i="39"/>
  <c r="Y41" i="39"/>
  <c r="X41" i="39"/>
  <c r="AD41" i="39"/>
  <c r="AC41" i="39"/>
  <c r="T41" i="39"/>
  <c r="S41" i="39"/>
  <c r="O41" i="39"/>
  <c r="N41" i="39"/>
  <c r="N32" i="39"/>
  <c r="E22" i="39"/>
  <c r="F22" i="39"/>
  <c r="G22" i="39"/>
  <c r="H22" i="39"/>
  <c r="I22" i="39"/>
  <c r="J22" i="39"/>
  <c r="K22" i="39"/>
  <c r="L22" i="39"/>
  <c r="M22" i="39"/>
  <c r="N22" i="39"/>
  <c r="O22" i="39"/>
  <c r="P22" i="39"/>
  <c r="Q22" i="39"/>
  <c r="R22" i="39"/>
  <c r="S22" i="39"/>
  <c r="T22" i="39"/>
  <c r="U22" i="39"/>
  <c r="V22" i="39"/>
  <c r="W22" i="39"/>
  <c r="X22" i="39"/>
  <c r="Y22" i="39"/>
  <c r="Z22" i="39"/>
  <c r="AA22" i="39"/>
  <c r="AB22" i="39"/>
  <c r="AC22" i="39"/>
  <c r="AD22" i="39"/>
  <c r="AE22" i="39"/>
  <c r="AF22" i="39"/>
  <c r="AG22" i="39"/>
  <c r="AH22" i="39"/>
  <c r="AI22" i="39"/>
  <c r="AJ22" i="39"/>
  <c r="AK22" i="39"/>
  <c r="B3" i="32" s="1"/>
  <c r="BH22" i="39"/>
  <c r="Y3" i="32" s="1"/>
  <c r="E23" i="39"/>
  <c r="F23" i="39"/>
  <c r="G23" i="39"/>
  <c r="H23" i="39"/>
  <c r="I23" i="39"/>
  <c r="J23" i="39"/>
  <c r="K23" i="39"/>
  <c r="L23" i="39"/>
  <c r="M23" i="39"/>
  <c r="N23" i="39"/>
  <c r="O23" i="39"/>
  <c r="P23" i="39"/>
  <c r="Q23" i="39"/>
  <c r="R23" i="39"/>
  <c r="S23" i="39"/>
  <c r="T23" i="39"/>
  <c r="U23" i="39"/>
  <c r="V23" i="39"/>
  <c r="W23" i="39"/>
  <c r="X23" i="39"/>
  <c r="Y23" i="39"/>
  <c r="Z23" i="39"/>
  <c r="AA23" i="39"/>
  <c r="AB23" i="39"/>
  <c r="AC23" i="39"/>
  <c r="AD23" i="39"/>
  <c r="AE23" i="39"/>
  <c r="AF23" i="39"/>
  <c r="AG23" i="39"/>
  <c r="AH23" i="39"/>
  <c r="AI23" i="39"/>
  <c r="AJ23" i="39"/>
  <c r="AK23" i="39"/>
  <c r="AL23" i="39"/>
  <c r="AM23" i="39"/>
  <c r="AN23" i="39"/>
  <c r="AO23" i="39"/>
  <c r="AP23" i="39"/>
  <c r="AQ23" i="39"/>
  <c r="AR23" i="39"/>
  <c r="AS23" i="39"/>
  <c r="AT23" i="39"/>
  <c r="AU23" i="39"/>
  <c r="AV23" i="39"/>
  <c r="AW23" i="39"/>
  <c r="AX23" i="39"/>
  <c r="AY23" i="39"/>
  <c r="AZ23" i="39"/>
  <c r="BA23" i="39"/>
  <c r="BB23" i="39"/>
  <c r="BC23" i="39"/>
  <c r="BD23" i="39"/>
  <c r="BE23" i="39"/>
  <c r="BF23" i="39"/>
  <c r="BG23" i="39"/>
  <c r="BH23" i="39"/>
  <c r="BI23" i="39"/>
  <c r="BJ23" i="39"/>
  <c r="BK23" i="39"/>
  <c r="BL23" i="39"/>
  <c r="BM23" i="39"/>
  <c r="BN23" i="39"/>
  <c r="BO23" i="39"/>
  <c r="BP23" i="39"/>
  <c r="BQ23" i="39"/>
  <c r="BR23" i="39"/>
  <c r="BS23" i="39"/>
  <c r="BT23" i="39"/>
  <c r="BU23" i="39"/>
  <c r="BV23" i="39"/>
  <c r="BW23" i="39"/>
  <c r="BX23" i="39"/>
  <c r="BY23" i="39"/>
  <c r="E24" i="39"/>
  <c r="F24" i="39"/>
  <c r="G24" i="39"/>
  <c r="H24" i="39"/>
  <c r="I24" i="39"/>
  <c r="J24" i="39"/>
  <c r="K24" i="39"/>
  <c r="L24" i="39"/>
  <c r="M24" i="39"/>
  <c r="N24" i="39"/>
  <c r="O24" i="39"/>
  <c r="P24" i="39"/>
  <c r="Q24" i="39"/>
  <c r="R24" i="39"/>
  <c r="S24" i="39"/>
  <c r="T24" i="39"/>
  <c r="U24" i="39"/>
  <c r="V24" i="39"/>
  <c r="W24" i="39"/>
  <c r="X24" i="39"/>
  <c r="Y24" i="39"/>
  <c r="Z24" i="39"/>
  <c r="AA24" i="39"/>
  <c r="AB24" i="39"/>
  <c r="AC24" i="39"/>
  <c r="AD24" i="39"/>
  <c r="AE24" i="39"/>
  <c r="AF24" i="39"/>
  <c r="AG24" i="39"/>
  <c r="AH24" i="39"/>
  <c r="AI24" i="39"/>
  <c r="AJ24" i="39"/>
  <c r="AK24" i="39"/>
  <c r="AL24" i="39"/>
  <c r="AM24" i="39"/>
  <c r="AN24" i="39"/>
  <c r="AO24" i="39"/>
  <c r="AP24" i="39"/>
  <c r="AQ24" i="39"/>
  <c r="AR24" i="39"/>
  <c r="AS24" i="39"/>
  <c r="AT24" i="39"/>
  <c r="AU24" i="39"/>
  <c r="AV24" i="39"/>
  <c r="AW24" i="39"/>
  <c r="AX24" i="39"/>
  <c r="AY24" i="39"/>
  <c r="AZ24" i="39"/>
  <c r="BA24" i="39"/>
  <c r="BB24" i="39"/>
  <c r="BC24" i="39"/>
  <c r="BD24" i="39"/>
  <c r="BE24" i="39"/>
  <c r="BF24" i="39"/>
  <c r="BG24" i="39"/>
  <c r="BH24" i="39"/>
  <c r="BI24" i="39"/>
  <c r="BJ24" i="39"/>
  <c r="BK24" i="39"/>
  <c r="BL24" i="39"/>
  <c r="BM24" i="39"/>
  <c r="BN24" i="39"/>
  <c r="BO24" i="39"/>
  <c r="BP24" i="39"/>
  <c r="BQ24" i="39"/>
  <c r="BR24" i="39"/>
  <c r="BS24" i="39"/>
  <c r="BT24" i="39"/>
  <c r="BU24" i="39"/>
  <c r="BV24" i="39"/>
  <c r="BW24" i="39"/>
  <c r="BX24" i="39"/>
  <c r="BY24" i="39"/>
  <c r="E25" i="39"/>
  <c r="F25" i="39"/>
  <c r="G25" i="39"/>
  <c r="H25" i="39"/>
  <c r="I25" i="39"/>
  <c r="J25" i="39"/>
  <c r="K25" i="39"/>
  <c r="L25" i="39"/>
  <c r="M25" i="39"/>
  <c r="N25" i="39"/>
  <c r="O25" i="39"/>
  <c r="P25" i="39"/>
  <c r="Q25" i="39"/>
  <c r="R25" i="39"/>
  <c r="S25" i="39"/>
  <c r="T25" i="39"/>
  <c r="U25" i="39"/>
  <c r="V25" i="39"/>
  <c r="W25" i="39"/>
  <c r="X25" i="39"/>
  <c r="Y25" i="39"/>
  <c r="Z25" i="39"/>
  <c r="AA25" i="39"/>
  <c r="AB25" i="39"/>
  <c r="AC25" i="39"/>
  <c r="AD25" i="39"/>
  <c r="AE25" i="39"/>
  <c r="AF25" i="39"/>
  <c r="AG25" i="39"/>
  <c r="AH25" i="39"/>
  <c r="AI25" i="39"/>
  <c r="AJ25" i="39"/>
  <c r="AK25" i="39"/>
  <c r="AL25" i="39"/>
  <c r="AM25" i="39"/>
  <c r="AN25" i="39"/>
  <c r="AO25" i="39"/>
  <c r="AP25" i="39"/>
  <c r="AQ25" i="39"/>
  <c r="AR25" i="39"/>
  <c r="AS25" i="39"/>
  <c r="AT25" i="39"/>
  <c r="AU25" i="39"/>
  <c r="AV25" i="39"/>
  <c r="AW25" i="39"/>
  <c r="AX25" i="39"/>
  <c r="AY25" i="39"/>
  <c r="AZ25" i="39"/>
  <c r="BA25" i="39"/>
  <c r="BB25" i="39"/>
  <c r="BC25" i="39"/>
  <c r="BD25" i="39"/>
  <c r="BE25" i="39"/>
  <c r="BF25" i="39"/>
  <c r="BG25" i="39"/>
  <c r="BH25" i="39"/>
  <c r="BI25" i="39"/>
  <c r="BJ25" i="39"/>
  <c r="BK25" i="39"/>
  <c r="BL25" i="39"/>
  <c r="BM25" i="39"/>
  <c r="BN25" i="39"/>
  <c r="BO25" i="39"/>
  <c r="BP25" i="39"/>
  <c r="BQ25" i="39"/>
  <c r="BR25" i="39"/>
  <c r="BS25" i="39"/>
  <c r="BT25" i="39"/>
  <c r="BU25" i="39"/>
  <c r="BV25" i="39"/>
  <c r="BW25" i="39"/>
  <c r="BX25" i="39"/>
  <c r="BY25" i="39"/>
  <c r="D25" i="39"/>
  <c r="D24" i="39"/>
  <c r="D23" i="39"/>
  <c r="D21" i="39"/>
  <c r="U23" i="38"/>
  <c r="V23" i="38"/>
  <c r="W23" i="38"/>
  <c r="X23" i="38"/>
  <c r="Y23" i="38"/>
  <c r="Z23" i="38"/>
  <c r="AA23" i="38"/>
  <c r="AB23" i="38"/>
  <c r="AC23" i="38"/>
  <c r="AD23" i="38"/>
  <c r="AE23" i="38"/>
  <c r="AF23" i="38"/>
  <c r="AG23" i="38"/>
  <c r="AH23" i="38"/>
  <c r="AI23" i="38"/>
  <c r="AJ23" i="38"/>
  <c r="AK23" i="38"/>
  <c r="AL23" i="38"/>
  <c r="AM23" i="38"/>
  <c r="AN23" i="38"/>
  <c r="AO23" i="38"/>
  <c r="AP23" i="38"/>
  <c r="AQ23" i="38"/>
  <c r="AR23" i="38"/>
  <c r="AS23" i="38"/>
  <c r="AT23" i="38"/>
  <c r="AU23" i="38"/>
  <c r="AV23" i="38"/>
  <c r="AW23" i="38"/>
  <c r="AX23" i="38"/>
  <c r="AY23" i="38"/>
  <c r="AZ23" i="38"/>
  <c r="BA23" i="38"/>
  <c r="BB23" i="38"/>
  <c r="BC23" i="38"/>
  <c r="BD23" i="38"/>
  <c r="BE23" i="38"/>
  <c r="BF23" i="38"/>
  <c r="BG23" i="38"/>
  <c r="BH23" i="38"/>
  <c r="BI23" i="38"/>
  <c r="BJ23" i="38"/>
  <c r="BK23" i="38"/>
  <c r="BL23" i="38"/>
  <c r="BM23" i="38"/>
  <c r="BN23" i="38"/>
  <c r="BO23" i="38"/>
  <c r="BP23" i="38"/>
  <c r="BQ23" i="38"/>
  <c r="BR23" i="38"/>
  <c r="BS23" i="38"/>
  <c r="BT23" i="38"/>
  <c r="BU23" i="38"/>
  <c r="BV23" i="38"/>
  <c r="BW23" i="38"/>
  <c r="BX23" i="38"/>
  <c r="BY23" i="38"/>
  <c r="U24" i="38"/>
  <c r="V24" i="38"/>
  <c r="W24" i="38"/>
  <c r="X24" i="38"/>
  <c r="Y24" i="38"/>
  <c r="Z24" i="38"/>
  <c r="AA24" i="38"/>
  <c r="AB24" i="38"/>
  <c r="AC24" i="38"/>
  <c r="AD24" i="38"/>
  <c r="AE24" i="38"/>
  <c r="AF24" i="38"/>
  <c r="AG24" i="38"/>
  <c r="AH24" i="38"/>
  <c r="AI24" i="38"/>
  <c r="AJ24" i="38"/>
  <c r="AK24" i="38"/>
  <c r="AL24" i="38"/>
  <c r="AM24" i="38"/>
  <c r="AN24" i="38"/>
  <c r="AO24" i="38"/>
  <c r="AP24" i="38"/>
  <c r="AQ24" i="38"/>
  <c r="AR24" i="38"/>
  <c r="AS24" i="38"/>
  <c r="AT24" i="38"/>
  <c r="AU24" i="38"/>
  <c r="AV24" i="38"/>
  <c r="AW24" i="38"/>
  <c r="AX24" i="38"/>
  <c r="AY24" i="38"/>
  <c r="AZ24" i="38"/>
  <c r="BA24" i="38"/>
  <c r="BB24" i="38"/>
  <c r="BC24" i="38"/>
  <c r="BD24" i="38"/>
  <c r="BE24" i="38"/>
  <c r="BF24" i="38"/>
  <c r="BG24" i="38"/>
  <c r="BH24" i="38"/>
  <c r="BI24" i="38"/>
  <c r="BJ24" i="38"/>
  <c r="BK24" i="38"/>
  <c r="BL24" i="38"/>
  <c r="BM24" i="38"/>
  <c r="BN24" i="38"/>
  <c r="BO24" i="38"/>
  <c r="BP24" i="38"/>
  <c r="BQ24" i="38"/>
  <c r="BR24" i="38"/>
  <c r="BS24" i="38"/>
  <c r="BT24" i="38"/>
  <c r="BU24" i="38"/>
  <c r="BV24" i="38"/>
  <c r="BW24" i="38"/>
  <c r="BX24" i="38"/>
  <c r="BY24" i="38"/>
  <c r="U25" i="38"/>
  <c r="V25" i="38"/>
  <c r="W25" i="38"/>
  <c r="X25" i="38"/>
  <c r="Y25" i="38"/>
  <c r="Z25" i="38"/>
  <c r="AA25" i="38"/>
  <c r="AB25" i="38"/>
  <c r="AC25" i="38"/>
  <c r="AD25" i="38"/>
  <c r="AE25" i="38"/>
  <c r="AF25" i="38"/>
  <c r="AG25" i="38"/>
  <c r="AH25" i="38"/>
  <c r="AI25" i="38"/>
  <c r="AJ25" i="38"/>
  <c r="AK25" i="38"/>
  <c r="AL25" i="38"/>
  <c r="AM25" i="38"/>
  <c r="AN25" i="38"/>
  <c r="AO25" i="38"/>
  <c r="AP25" i="38"/>
  <c r="AQ25" i="38"/>
  <c r="AR25" i="38"/>
  <c r="AS25" i="38"/>
  <c r="AT25" i="38"/>
  <c r="AU25" i="38"/>
  <c r="AV25" i="38"/>
  <c r="AW25" i="38"/>
  <c r="AX25" i="38"/>
  <c r="AY25" i="38"/>
  <c r="AZ25" i="38"/>
  <c r="BA25" i="38"/>
  <c r="BB25" i="38"/>
  <c r="BC25" i="38"/>
  <c r="BD25" i="38"/>
  <c r="BE25" i="38"/>
  <c r="BF25" i="38"/>
  <c r="BG25" i="38"/>
  <c r="BH25" i="38"/>
  <c r="BI25" i="38"/>
  <c r="BJ25" i="38"/>
  <c r="BK25" i="38"/>
  <c r="BL25" i="38"/>
  <c r="BM25" i="38"/>
  <c r="BN25" i="38"/>
  <c r="BO25" i="38"/>
  <c r="BP25" i="38"/>
  <c r="BQ25" i="38"/>
  <c r="BR25" i="38"/>
  <c r="BS25" i="38"/>
  <c r="BT25" i="38"/>
  <c r="BU25" i="38"/>
  <c r="BV25" i="38"/>
  <c r="BW25" i="38"/>
  <c r="BX25" i="38"/>
  <c r="BY25" i="38"/>
  <c r="E23" i="38"/>
  <c r="F23" i="38"/>
  <c r="G23" i="38"/>
  <c r="H23" i="38"/>
  <c r="I23" i="38"/>
  <c r="J23" i="38"/>
  <c r="K23" i="38"/>
  <c r="L23" i="38"/>
  <c r="M23" i="38"/>
  <c r="N23" i="38"/>
  <c r="O23" i="38"/>
  <c r="P23" i="38"/>
  <c r="Q23" i="38"/>
  <c r="R23" i="38"/>
  <c r="S23" i="38"/>
  <c r="T23" i="38"/>
  <c r="E24" i="38"/>
  <c r="F24" i="38"/>
  <c r="G24" i="38"/>
  <c r="H24" i="38"/>
  <c r="I24" i="38"/>
  <c r="J24" i="38"/>
  <c r="K24" i="38"/>
  <c r="L24" i="38"/>
  <c r="M24" i="38"/>
  <c r="N24" i="38"/>
  <c r="O24" i="38"/>
  <c r="P24" i="38"/>
  <c r="Q24" i="38"/>
  <c r="R24" i="38"/>
  <c r="S24" i="38"/>
  <c r="T24" i="38"/>
  <c r="E25" i="38"/>
  <c r="F25" i="38"/>
  <c r="G25" i="38"/>
  <c r="H25" i="38"/>
  <c r="I25" i="38"/>
  <c r="J25" i="38"/>
  <c r="K25" i="38"/>
  <c r="L25" i="38"/>
  <c r="M25" i="38"/>
  <c r="N25" i="38"/>
  <c r="O25" i="38"/>
  <c r="P25" i="38"/>
  <c r="Q25" i="38"/>
  <c r="R25" i="38"/>
  <c r="S25" i="38"/>
  <c r="T25" i="38"/>
  <c r="D25" i="38"/>
  <c r="D24" i="38"/>
  <c r="D23" i="38"/>
  <c r="E15" i="39"/>
  <c r="F15" i="39"/>
  <c r="G15" i="39"/>
  <c r="H15" i="39"/>
  <c r="I15" i="39"/>
  <c r="J15" i="39"/>
  <c r="K15" i="39"/>
  <c r="L15" i="39"/>
  <c r="M15" i="39"/>
  <c r="N15" i="39"/>
  <c r="O15" i="39"/>
  <c r="P15" i="39"/>
  <c r="Q15" i="39"/>
  <c r="R15" i="39"/>
  <c r="S15" i="39"/>
  <c r="T15" i="39"/>
  <c r="U15" i="39"/>
  <c r="V15" i="39"/>
  <c r="W15" i="39"/>
  <c r="X15" i="39"/>
  <c r="Y15" i="39"/>
  <c r="Z15" i="39"/>
  <c r="AA15" i="39"/>
  <c r="AB15" i="39"/>
  <c r="AC15" i="39"/>
  <c r="AD15" i="39"/>
  <c r="AE15" i="39"/>
  <c r="AF15" i="39"/>
  <c r="AG15" i="39"/>
  <c r="AH15" i="39"/>
  <c r="AI15" i="39"/>
  <c r="AJ15" i="39"/>
  <c r="AK15" i="39"/>
  <c r="AL15" i="39"/>
  <c r="AL22" i="39" s="1"/>
  <c r="AM15" i="39"/>
  <c r="AM22" i="39" s="1"/>
  <c r="AN15" i="39"/>
  <c r="AN22" i="39" s="1"/>
  <c r="E3" i="32" s="1"/>
  <c r="AO15" i="39"/>
  <c r="AO22" i="39" s="1"/>
  <c r="F3" i="32" s="1"/>
  <c r="AP15" i="39"/>
  <c r="AP22" i="39" s="1"/>
  <c r="G3" i="32" s="1"/>
  <c r="AQ15" i="39"/>
  <c r="AQ22" i="39" s="1"/>
  <c r="H3" i="32" s="1"/>
  <c r="AR15" i="39"/>
  <c r="AR22" i="39" s="1"/>
  <c r="I3" i="32" s="1"/>
  <c r="AS15" i="39"/>
  <c r="AS22" i="39" s="1"/>
  <c r="J3" i="32" s="1"/>
  <c r="AT15" i="39"/>
  <c r="AT22" i="39" s="1"/>
  <c r="K3" i="32" s="1"/>
  <c r="AU15" i="39"/>
  <c r="AU22" i="39" s="1"/>
  <c r="L3" i="32" s="1"/>
  <c r="AV15" i="39"/>
  <c r="AV22" i="39" s="1"/>
  <c r="M3" i="32" s="1"/>
  <c r="AW15" i="39"/>
  <c r="AW22" i="39" s="1"/>
  <c r="N3" i="32" s="1"/>
  <c r="AX15" i="39"/>
  <c r="AX22" i="39" s="1"/>
  <c r="O3" i="32" s="1"/>
  <c r="AY15" i="39"/>
  <c r="AY22" i="39" s="1"/>
  <c r="P3" i="32" s="1"/>
  <c r="AZ15" i="39"/>
  <c r="AZ22" i="39" s="1"/>
  <c r="Q3" i="32" s="1"/>
  <c r="BA15" i="39"/>
  <c r="BA22" i="39" s="1"/>
  <c r="R3" i="32" s="1"/>
  <c r="BB15" i="39"/>
  <c r="BB22" i="39" s="1"/>
  <c r="S3" i="32" s="1"/>
  <c r="BC15" i="39"/>
  <c r="BC22" i="39" s="1"/>
  <c r="T3" i="32" s="1"/>
  <c r="BD15" i="39"/>
  <c r="BD22" i="39" s="1"/>
  <c r="U3" i="32" s="1"/>
  <c r="BE15" i="39"/>
  <c r="BE22" i="39" s="1"/>
  <c r="V3" i="32" s="1"/>
  <c r="BF15" i="39"/>
  <c r="BF22" i="39" s="1"/>
  <c r="W3" i="32" s="1"/>
  <c r="BG15" i="39"/>
  <c r="BG22" i="39" s="1"/>
  <c r="X3" i="32" s="1"/>
  <c r="BH15" i="39"/>
  <c r="BI15" i="39"/>
  <c r="BI22" i="39" s="1"/>
  <c r="Z3" i="32" s="1"/>
  <c r="BJ15" i="39"/>
  <c r="BJ22" i="39" s="1"/>
  <c r="AA3" i="32" s="1"/>
  <c r="BK15" i="39"/>
  <c r="BK22" i="39" s="1"/>
  <c r="AB3" i="32" s="1"/>
  <c r="BL15" i="39"/>
  <c r="BL22" i="39" s="1"/>
  <c r="AC3" i="32" s="1"/>
  <c r="BM15" i="39"/>
  <c r="BM22" i="39" s="1"/>
  <c r="AD3" i="32" s="1"/>
  <c r="BN15" i="39"/>
  <c r="BN22" i="39" s="1"/>
  <c r="AE3" i="32" s="1"/>
  <c r="BO15" i="39"/>
  <c r="BO22" i="39" s="1"/>
  <c r="AF3" i="32" s="1"/>
  <c r="BP15" i="39"/>
  <c r="BP22" i="39" s="1"/>
  <c r="AG3" i="32" s="1"/>
  <c r="BQ15" i="39"/>
  <c r="BQ22" i="39" s="1"/>
  <c r="AH3" i="32" s="1"/>
  <c r="BR15" i="39"/>
  <c r="BR22" i="39" s="1"/>
  <c r="AI3" i="32" s="1"/>
  <c r="BS15" i="39"/>
  <c r="BS22" i="39" s="1"/>
  <c r="AJ3" i="32" s="1"/>
  <c r="BT15" i="39"/>
  <c r="BU15" i="39"/>
  <c r="BV15" i="39"/>
  <c r="BW15" i="39"/>
  <c r="BX15" i="39"/>
  <c r="BX22" i="39" s="1"/>
  <c r="AO3" i="32" s="1"/>
  <c r="BY15" i="39"/>
  <c r="BY22" i="39" s="1"/>
  <c r="AP3" i="32" s="1"/>
  <c r="D15" i="39"/>
  <c r="D22" i="39" s="1"/>
  <c r="E14" i="39"/>
  <c r="F14" i="39"/>
  <c r="G14" i="39"/>
  <c r="H14" i="39"/>
  <c r="I14" i="39"/>
  <c r="J14" i="39"/>
  <c r="K14" i="39"/>
  <c r="K21" i="39" s="1"/>
  <c r="L14" i="39"/>
  <c r="L21" i="39" s="1"/>
  <c r="M14" i="39"/>
  <c r="M21" i="39" s="1"/>
  <c r="N14" i="39"/>
  <c r="N21" i="39" s="1"/>
  <c r="O14" i="39"/>
  <c r="O21" i="39" s="1"/>
  <c r="P14" i="39"/>
  <c r="P21" i="39" s="1"/>
  <c r="Q14" i="39"/>
  <c r="Q21" i="39" s="1"/>
  <c r="R14" i="39"/>
  <c r="S14" i="39"/>
  <c r="S21" i="39" s="1"/>
  <c r="T14" i="39"/>
  <c r="T21" i="39" s="1"/>
  <c r="U14" i="39"/>
  <c r="U21" i="39" s="1"/>
  <c r="V14" i="39"/>
  <c r="V21" i="39" s="1"/>
  <c r="W14" i="39"/>
  <c r="W21" i="39" s="1"/>
  <c r="X14" i="39"/>
  <c r="X21" i="39" s="1"/>
  <c r="Y14" i="39"/>
  <c r="Y21" i="39" s="1"/>
  <c r="Z14" i="39"/>
  <c r="Z21" i="39" s="1"/>
  <c r="AA14" i="39"/>
  <c r="AA21" i="39" s="1"/>
  <c r="AB14" i="39"/>
  <c r="AB21" i="39" s="1"/>
  <c r="AC14" i="39"/>
  <c r="AC21" i="39" s="1"/>
  <c r="AD14" i="39"/>
  <c r="AD21" i="39" s="1"/>
  <c r="AE14" i="39"/>
  <c r="AE21" i="39" s="1"/>
  <c r="AF14" i="39"/>
  <c r="AF21" i="39" s="1"/>
  <c r="AG14" i="39"/>
  <c r="AG21" i="39" s="1"/>
  <c r="AH14" i="39"/>
  <c r="AH21" i="39" s="1"/>
  <c r="AI14" i="39"/>
  <c r="AI21" i="39" s="1"/>
  <c r="AJ14" i="39"/>
  <c r="AJ21" i="39" s="1"/>
  <c r="AK14" i="39"/>
  <c r="AL14" i="39"/>
  <c r="AL21" i="39" s="1"/>
  <c r="AM14" i="39"/>
  <c r="AM21" i="39" s="1"/>
  <c r="D2" i="32" s="1"/>
  <c r="AN14" i="39"/>
  <c r="AN21" i="39" s="1"/>
  <c r="E2" i="32" s="1"/>
  <c r="AO14" i="39"/>
  <c r="AO21" i="39" s="1"/>
  <c r="F2" i="32" s="1"/>
  <c r="AP14" i="39"/>
  <c r="AP21" i="39" s="1"/>
  <c r="G2" i="32" s="1"/>
  <c r="AQ14" i="39"/>
  <c r="AQ21" i="39" s="1"/>
  <c r="H2" i="32" s="1"/>
  <c r="AR14" i="39"/>
  <c r="AR21" i="39" s="1"/>
  <c r="I2" i="32" s="1"/>
  <c r="AS14" i="39"/>
  <c r="AS21" i="39" s="1"/>
  <c r="J2" i="32" s="1"/>
  <c r="AT14" i="39"/>
  <c r="AT21" i="39" s="1"/>
  <c r="K2" i="32" s="1"/>
  <c r="AU14" i="39"/>
  <c r="AU21" i="39" s="1"/>
  <c r="L2" i="32" s="1"/>
  <c r="AV14" i="39"/>
  <c r="AV21" i="39" s="1"/>
  <c r="M2" i="32" s="1"/>
  <c r="AW14" i="39"/>
  <c r="AW21" i="39" s="1"/>
  <c r="N2" i="32" s="1"/>
  <c r="AX14" i="39"/>
  <c r="AX21" i="39" s="1"/>
  <c r="O2" i="32" s="1"/>
  <c r="AY14" i="39"/>
  <c r="AY21" i="39" s="1"/>
  <c r="P2" i="32" s="1"/>
  <c r="AZ14" i="39"/>
  <c r="AZ21" i="39" s="1"/>
  <c r="Q2" i="32" s="1"/>
  <c r="BA14" i="39"/>
  <c r="BA21" i="39" s="1"/>
  <c r="R2" i="32" s="1"/>
  <c r="BB14" i="39"/>
  <c r="BB21" i="39" s="1"/>
  <c r="S2" i="32" s="1"/>
  <c r="BC14" i="39"/>
  <c r="BC21" i="39" s="1"/>
  <c r="T2" i="32" s="1"/>
  <c r="BD14" i="39"/>
  <c r="BD21" i="39" s="1"/>
  <c r="U2" i="32" s="1"/>
  <c r="BE14" i="39"/>
  <c r="BE21" i="39" s="1"/>
  <c r="V2" i="32" s="1"/>
  <c r="BF14" i="39"/>
  <c r="BF21" i="39" s="1"/>
  <c r="W2" i="32" s="1"/>
  <c r="BG14" i="39"/>
  <c r="BG21" i="39" s="1"/>
  <c r="X2" i="32" s="1"/>
  <c r="BH14" i="39"/>
  <c r="BH21" i="39" s="1"/>
  <c r="Y2" i="32" s="1"/>
  <c r="BI14" i="39"/>
  <c r="BI21" i="39" s="1"/>
  <c r="Z2" i="32" s="1"/>
  <c r="BJ14" i="39"/>
  <c r="BJ21" i="39" s="1"/>
  <c r="AA2" i="32" s="1"/>
  <c r="BK14" i="39"/>
  <c r="BK21" i="39" s="1"/>
  <c r="AB2" i="32" s="1"/>
  <c r="BL14" i="39"/>
  <c r="BL21" i="39" s="1"/>
  <c r="AC2" i="32" s="1"/>
  <c r="BM14" i="39"/>
  <c r="BM21" i="39" s="1"/>
  <c r="AD2" i="32" s="1"/>
  <c r="BN14" i="39"/>
  <c r="BN21" i="39" s="1"/>
  <c r="AE2" i="32" s="1"/>
  <c r="BO14" i="39"/>
  <c r="BO21" i="39" s="1"/>
  <c r="AF2" i="32" s="1"/>
  <c r="BP14" i="39"/>
  <c r="BP21" i="39" s="1"/>
  <c r="AG2" i="32" s="1"/>
  <c r="BQ14" i="39"/>
  <c r="BQ21" i="39" s="1"/>
  <c r="AH2" i="32" s="1"/>
  <c r="BR14" i="39"/>
  <c r="BR21" i="39" s="1"/>
  <c r="AI2" i="32" s="1"/>
  <c r="BS14" i="39"/>
  <c r="BS21" i="39" s="1"/>
  <c r="AJ2" i="32" s="1"/>
  <c r="BT14" i="39"/>
  <c r="BU14" i="39"/>
  <c r="BV14" i="39"/>
  <c r="BW14" i="39"/>
  <c r="BX14" i="39"/>
  <c r="BY14" i="39"/>
  <c r="BY21" i="39" s="1"/>
  <c r="AP2" i="32" s="1"/>
  <c r="D14" i="39"/>
  <c r="E14" i="38"/>
  <c r="F14" i="38"/>
  <c r="G14" i="38"/>
  <c r="H14" i="38"/>
  <c r="I14" i="38"/>
  <c r="J14" i="38"/>
  <c r="K14" i="38"/>
  <c r="L14" i="38"/>
  <c r="M14" i="38"/>
  <c r="N14" i="38"/>
  <c r="O14" i="38"/>
  <c r="P14" i="38"/>
  <c r="Q14" i="38"/>
  <c r="R14" i="38"/>
  <c r="S14" i="38"/>
  <c r="T14" i="38"/>
  <c r="U14" i="38"/>
  <c r="V14" i="38"/>
  <c r="W14" i="38"/>
  <c r="X14" i="38"/>
  <c r="Y14" i="38"/>
  <c r="Z14" i="38"/>
  <c r="AA14" i="38"/>
  <c r="AB14" i="38"/>
  <c r="AC14" i="38"/>
  <c r="AD14" i="38"/>
  <c r="AE14" i="38"/>
  <c r="AF14" i="38"/>
  <c r="AG14" i="38"/>
  <c r="AH14" i="38"/>
  <c r="AI14" i="38"/>
  <c r="AJ14" i="38"/>
  <c r="AK14" i="38"/>
  <c r="E22" i="38" s="1"/>
  <c r="AM14" i="38"/>
  <c r="AN14" i="38"/>
  <c r="AO14" i="38"/>
  <c r="AP14" i="38"/>
  <c r="AU14" i="38"/>
  <c r="AZ14" i="38"/>
  <c r="BE14" i="38"/>
  <c r="BJ14" i="38"/>
  <c r="BO14" i="38"/>
  <c r="BT14" i="38"/>
  <c r="BY14" i="38"/>
  <c r="D14" i="38"/>
  <c r="E13" i="38"/>
  <c r="F13" i="38"/>
  <c r="G13" i="38"/>
  <c r="H13" i="38"/>
  <c r="I13" i="38"/>
  <c r="J13" i="38"/>
  <c r="K13" i="38"/>
  <c r="L13" i="38"/>
  <c r="M13" i="38"/>
  <c r="N13" i="38"/>
  <c r="O13" i="38"/>
  <c r="P13" i="38"/>
  <c r="Q13" i="38"/>
  <c r="R13" i="38"/>
  <c r="S13" i="38"/>
  <c r="T13" i="38"/>
  <c r="U13" i="38"/>
  <c r="V13" i="38"/>
  <c r="W13" i="38"/>
  <c r="X13" i="38"/>
  <c r="Y13" i="38"/>
  <c r="Z13" i="38"/>
  <c r="AA13" i="38"/>
  <c r="AB13" i="38"/>
  <c r="AC13" i="38"/>
  <c r="AD13" i="38"/>
  <c r="AE13" i="38"/>
  <c r="AF13" i="38"/>
  <c r="AG13" i="38"/>
  <c r="AH13" i="38"/>
  <c r="AI13" i="38"/>
  <c r="AK13" i="38"/>
  <c r="K21" i="38" s="1"/>
  <c r="AM13" i="38"/>
  <c r="AN13" i="38"/>
  <c r="AO13" i="38"/>
  <c r="AP13" i="38"/>
  <c r="AU13" i="38"/>
  <c r="AZ13" i="38"/>
  <c r="BE13" i="38"/>
  <c r="BJ13" i="38"/>
  <c r="BO13" i="38"/>
  <c r="BT13" i="38"/>
  <c r="BY13" i="38"/>
  <c r="D13" i="38"/>
  <c r="F49" i="26"/>
  <c r="F48" i="26"/>
  <c r="C49" i="26"/>
  <c r="C48" i="26"/>
  <c r="C52" i="26" s="1"/>
  <c r="C53" i="26" s="1"/>
  <c r="BT21" i="39" l="1"/>
  <c r="AK2" i="32" s="1"/>
  <c r="BU21" i="39"/>
  <c r="AL2" i="32" s="1"/>
  <c r="BV21" i="39"/>
  <c r="AM2" i="32" s="1"/>
  <c r="BW21" i="39"/>
  <c r="AN2" i="32" s="1"/>
  <c r="BX21" i="39"/>
  <c r="AO2" i="32" s="1"/>
  <c r="AK21" i="39"/>
  <c r="B2" i="32" s="1"/>
  <c r="R21" i="39"/>
  <c r="O32" i="39"/>
  <c r="BT22" i="39"/>
  <c r="AK3" i="32" s="1"/>
  <c r="BU22" i="39"/>
  <c r="AL3" i="32" s="1"/>
  <c r="BV22" i="39"/>
  <c r="AM3" i="32" s="1"/>
  <c r="BW22" i="39"/>
  <c r="AN3" i="32" s="1"/>
  <c r="H21" i="39"/>
  <c r="J21" i="39"/>
  <c r="I21" i="39"/>
  <c r="F21" i="39"/>
  <c r="E21" i="39"/>
  <c r="G21" i="39"/>
  <c r="F52" i="26"/>
  <c r="F53" i="26" s="1"/>
  <c r="BO21" i="38"/>
  <c r="BE22" i="38"/>
  <c r="BE21" i="38"/>
  <c r="AH21" i="38"/>
  <c r="Z21" i="38"/>
  <c r="R21" i="38"/>
  <c r="J21" i="38"/>
  <c r="BJ22" i="38"/>
  <c r="AJ22" i="38"/>
  <c r="AB22" i="38"/>
  <c r="AP21" i="38"/>
  <c r="T22" i="38"/>
  <c r="L22" i="38"/>
  <c r="AU22" i="38"/>
  <c r="AO21" i="38"/>
  <c r="AG21" i="38"/>
  <c r="Y21" i="38"/>
  <c r="Q21" i="38"/>
  <c r="I21" i="38"/>
  <c r="AZ22" i="38"/>
  <c r="AI22" i="38"/>
  <c r="AA22" i="38"/>
  <c r="S22" i="38"/>
  <c r="K22" i="38"/>
  <c r="AN21" i="38"/>
  <c r="AF21" i="38"/>
  <c r="X21" i="38"/>
  <c r="P21" i="38"/>
  <c r="H21" i="38"/>
  <c r="AP22" i="38"/>
  <c r="AH22" i="38"/>
  <c r="Z22" i="38"/>
  <c r="R22" i="38"/>
  <c r="J22" i="38"/>
  <c r="BY22" i="38"/>
  <c r="AM21" i="38"/>
  <c r="AE21" i="38"/>
  <c r="W21" i="38"/>
  <c r="O21" i="38"/>
  <c r="G21" i="38"/>
  <c r="AO22" i="38"/>
  <c r="AG22" i="38"/>
  <c r="Y22" i="38"/>
  <c r="Q22" i="38"/>
  <c r="I22" i="38"/>
  <c r="AU21" i="38"/>
  <c r="D21" i="38"/>
  <c r="AD21" i="38"/>
  <c r="V21" i="38"/>
  <c r="N21" i="38"/>
  <c r="F21" i="38"/>
  <c r="AN22" i="38"/>
  <c r="AF22" i="38"/>
  <c r="X22" i="38"/>
  <c r="P22" i="38"/>
  <c r="H22" i="38"/>
  <c r="BO22" i="38"/>
  <c r="BT21" i="38"/>
  <c r="AK21" i="38"/>
  <c r="AC21" i="38"/>
  <c r="U21" i="38"/>
  <c r="M21" i="38"/>
  <c r="E21" i="38"/>
  <c r="AM22" i="38"/>
  <c r="AE22" i="38"/>
  <c r="W22" i="38"/>
  <c r="O22" i="38"/>
  <c r="G22" i="38"/>
  <c r="BY21" i="38"/>
  <c r="BJ21" i="38"/>
  <c r="AJ21" i="38"/>
  <c r="AB21" i="38"/>
  <c r="T21" i="38"/>
  <c r="L21" i="38"/>
  <c r="D22" i="38"/>
  <c r="AD22" i="38"/>
  <c r="V22" i="38"/>
  <c r="N22" i="38"/>
  <c r="F22" i="38"/>
  <c r="AZ21" i="38"/>
  <c r="AI21" i="38"/>
  <c r="AA21" i="38"/>
  <c r="S21" i="38"/>
  <c r="BT22" i="38"/>
  <c r="AK22" i="38"/>
  <c r="AC22" i="38"/>
  <c r="U22" i="38"/>
  <c r="M22" i="38"/>
  <c r="AL2" i="39"/>
  <c r="AK2" i="39"/>
  <c r="AJ2" i="39"/>
  <c r="AQ2" i="32" l="1" a="1"/>
  <c r="AQ2" i="32" s="1"/>
  <c r="AQ3" i="32" a="1"/>
  <c r="AQ3" i="32" s="1"/>
  <c r="P32" i="39"/>
  <c r="BX14" i="38"/>
  <c r="BX22" i="38" s="1"/>
  <c r="BX13" i="38"/>
  <c r="BX21" i="38" s="1"/>
  <c r="BW14" i="38"/>
  <c r="BW22" i="38" s="1"/>
  <c r="BW13" i="38"/>
  <c r="BW21" i="38" s="1"/>
  <c r="BU13" i="38"/>
  <c r="BU21" i="38" s="1"/>
  <c r="BU14" i="38"/>
  <c r="BU22" i="38" s="1"/>
  <c r="BV14" i="38"/>
  <c r="BV22" i="38" s="1"/>
  <c r="BV13" i="38"/>
  <c r="BV21" i="38" s="1"/>
  <c r="BM14" i="38"/>
  <c r="BM22" i="38" s="1"/>
  <c r="BM13" i="38"/>
  <c r="BM21" i="38" s="1"/>
  <c r="BP14" i="38"/>
  <c r="BP22" i="38" s="1"/>
  <c r="BP13" i="38"/>
  <c r="BP21" i="38" s="1"/>
  <c r="BS13" i="38"/>
  <c r="BS21" i="38" s="1"/>
  <c r="BS14" i="38"/>
  <c r="BS22" i="38" s="1"/>
  <c r="BN14" i="38"/>
  <c r="BN22" i="38" s="1"/>
  <c r="BN13" i="38"/>
  <c r="BN21" i="38" s="1"/>
  <c r="BR14" i="38"/>
  <c r="BR22" i="38" s="1"/>
  <c r="BR13" i="38"/>
  <c r="BR21" i="38" s="1"/>
  <c r="BK13" i="38"/>
  <c r="BK21" i="38" s="1"/>
  <c r="BK14" i="38"/>
  <c r="BK22" i="38" s="1"/>
  <c r="BQ14" i="38"/>
  <c r="BQ22" i="38" s="1"/>
  <c r="BQ13" i="38"/>
  <c r="BQ21" i="38" s="1"/>
  <c r="BL13" i="38"/>
  <c r="BL21" i="38" s="1"/>
  <c r="BL14" i="38"/>
  <c r="BL22" i="38" s="1"/>
  <c r="BC14" i="38"/>
  <c r="BC22" i="38" s="1"/>
  <c r="BC13" i="38"/>
  <c r="BC21" i="38" s="1"/>
  <c r="BF14" i="38"/>
  <c r="BF22" i="38" s="1"/>
  <c r="BF13" i="38"/>
  <c r="BF21" i="38" s="1"/>
  <c r="BH13" i="38"/>
  <c r="BH21" i="38" s="1"/>
  <c r="BH14" i="38"/>
  <c r="BH22" i="38" s="1"/>
  <c r="BG14" i="38"/>
  <c r="BG22" i="38" s="1"/>
  <c r="BG13" i="38"/>
  <c r="BG21" i="38" s="1"/>
  <c r="BD14" i="38"/>
  <c r="BD22" i="38" s="1"/>
  <c r="BD13" i="38"/>
  <c r="BD21" i="38" s="1"/>
  <c r="BA13" i="38"/>
  <c r="BA21" i="38" s="1"/>
  <c r="BA14" i="38"/>
  <c r="BA22" i="38" s="1"/>
  <c r="BI13" i="38"/>
  <c r="BI21" i="38" s="1"/>
  <c r="BI14" i="38"/>
  <c r="BI22" i="38" s="1"/>
  <c r="BB13" i="38"/>
  <c r="BB21" i="38" s="1"/>
  <c r="BB14" i="38"/>
  <c r="BB22" i="38" s="1"/>
  <c r="AX14" i="38"/>
  <c r="AX22" i="38" s="1"/>
  <c r="AX13" i="38"/>
  <c r="AX21" i="38" s="1"/>
  <c r="AS14" i="38"/>
  <c r="AS22" i="38" s="1"/>
  <c r="AS13" i="38"/>
  <c r="AS21" i="38" s="1"/>
  <c r="AT13" i="38"/>
  <c r="AT21" i="38" s="1"/>
  <c r="AT14" i="38"/>
  <c r="AT22" i="38" s="1"/>
  <c r="AW14" i="38"/>
  <c r="AW22" i="38" s="1"/>
  <c r="AW13" i="38"/>
  <c r="AW21" i="38" s="1"/>
  <c r="AY13" i="38"/>
  <c r="AY21" i="38" s="1"/>
  <c r="AY14" i="38"/>
  <c r="AY22" i="38" s="1"/>
  <c r="AV14" i="38"/>
  <c r="AV22" i="38" s="1"/>
  <c r="AV13" i="38"/>
  <c r="AV21" i="38" s="1"/>
  <c r="AQ13" i="38"/>
  <c r="AQ21" i="38" s="1"/>
  <c r="AQ14" i="38"/>
  <c r="AQ22" i="38" s="1"/>
  <c r="AR14" i="38"/>
  <c r="AR22" i="38" s="1"/>
  <c r="AR13" i="38"/>
  <c r="AR21" i="38" s="1"/>
  <c r="AK2" i="38"/>
  <c r="AJ2" i="38"/>
  <c r="B37" i="26"/>
  <c r="B38" i="26"/>
  <c r="B36" i="26"/>
  <c r="Q32" i="39" l="1"/>
  <c r="AF7" i="32"/>
  <c r="AE7" i="32"/>
  <c r="AD7" i="32"/>
  <c r="AC7" i="32"/>
  <c r="AB7" i="32"/>
  <c r="AA7" i="32"/>
  <c r="Z7" i="32"/>
  <c r="Y7" i="32"/>
  <c r="X7" i="32"/>
  <c r="W7" i="32"/>
  <c r="V7" i="32"/>
  <c r="U7" i="32"/>
  <c r="T7" i="32"/>
  <c r="S7" i="32"/>
  <c r="R7" i="32"/>
  <c r="Q7" i="32"/>
  <c r="P7" i="32"/>
  <c r="O7" i="32"/>
  <c r="N7" i="32"/>
  <c r="M7" i="32"/>
  <c r="L7" i="32"/>
  <c r="K7" i="32"/>
  <c r="J7" i="32"/>
  <c r="I7" i="32"/>
  <c r="H7" i="32"/>
  <c r="G7" i="32"/>
  <c r="F7" i="32"/>
  <c r="E7" i="32"/>
  <c r="D7" i="32"/>
  <c r="C7" i="32"/>
  <c r="R32" i="39" l="1"/>
  <c r="AH7" i="32" a="1"/>
  <c r="AH7" i="32" s="1"/>
  <c r="AP7" i="32" a="1"/>
  <c r="AP7" i="32" s="1"/>
  <c r="AI7" i="32" a="1"/>
  <c r="AI7" i="32" s="1"/>
  <c r="AG7" i="32" a="1"/>
  <c r="AG7" i="32" s="1"/>
  <c r="AJ7" i="32" a="1"/>
  <c r="AJ7" i="32" s="1"/>
  <c r="AO7" i="32" a="1"/>
  <c r="AO7" i="32" s="1"/>
  <c r="AK7" i="32" a="1"/>
  <c r="AK7" i="32" s="1"/>
  <c r="AL7" i="32" a="1"/>
  <c r="AL7" i="32" s="1"/>
  <c r="AM7" i="32" a="1"/>
  <c r="AM7" i="32" s="1"/>
  <c r="AN7" i="32" a="1"/>
  <c r="AN7" i="32" s="1"/>
  <c r="S32" i="39" l="1"/>
  <c r="AL14" i="38"/>
  <c r="AL22" i="38" s="1"/>
  <c r="AL13" i="38"/>
  <c r="AL21" i="38" s="1"/>
  <c r="T32" i="39" l="1"/>
  <c r="U32" i="39" l="1"/>
  <c r="V32" i="39" l="1"/>
  <c r="W32" i="39" l="1"/>
  <c r="T4" i="32" l="1"/>
  <c r="X32" i="39"/>
  <c r="U4" i="32" l="1"/>
  <c r="Y32" i="39"/>
  <c r="V4" i="32" l="1"/>
  <c r="Z32" i="39"/>
  <c r="AA32" i="39" l="1"/>
  <c r="W4" i="32"/>
  <c r="X4" i="32" l="1"/>
  <c r="AB32" i="39"/>
  <c r="Y4" i="32" l="1"/>
  <c r="AC32" i="39"/>
  <c r="AD32" i="39" l="1"/>
  <c r="Z4" i="32"/>
  <c r="AA4" i="32" l="1"/>
  <c r="AE32" i="39"/>
  <c r="AF32" i="39" l="1"/>
  <c r="AB4" i="32"/>
  <c r="AC4" i="32" l="1"/>
  <c r="AG32" i="39"/>
  <c r="AH32" i="39" l="1"/>
  <c r="AD4" i="32"/>
  <c r="AI32" i="39" l="1"/>
  <c r="AE4" i="32"/>
  <c r="AJ32" i="39" l="1"/>
  <c r="AF4" i="32"/>
  <c r="AG4" i="32" l="1"/>
  <c r="AK32" i="39"/>
  <c r="AL32" i="39" l="1"/>
  <c r="AH4" i="32"/>
  <c r="AM32" i="39" l="1"/>
  <c r="AI4" i="32"/>
  <c r="AN32" i="39" l="1"/>
  <c r="AJ4" i="32"/>
  <c r="AO32" i="39" l="1"/>
  <c r="AK4" i="32"/>
  <c r="AL4" i="32" l="1"/>
  <c r="AP32" i="39"/>
  <c r="AQ32" i="39" l="1"/>
  <c r="AM4" i="32"/>
  <c r="AR32" i="39" l="1"/>
  <c r="AN4" i="32"/>
  <c r="AS32" i="39" l="1"/>
  <c r="AO4" i="32"/>
  <c r="AP4" i="32" l="1"/>
  <c r="AT32" i="39"/>
  <c r="AQ4" i="3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<sst xmlns="http://schemas.openxmlformats.org/spreadsheetml/2006/main" count="281" uniqueCount="122">
  <si>
    <t>Sources:</t>
  </si>
  <si>
    <t/>
  </si>
  <si>
    <t>Notes</t>
  </si>
  <si>
    <t>aircraft</t>
  </si>
  <si>
    <t>HDVs</t>
  </si>
  <si>
    <t>LDVs</t>
  </si>
  <si>
    <t>rail</t>
  </si>
  <si>
    <t>ships</t>
  </si>
  <si>
    <t>motorbikes</t>
  </si>
  <si>
    <t>included in the outputs but is retained here for visual clarity.</t>
  </si>
  <si>
    <t>Cargo Dist Transported Relative to Start Year (dimensionless)</t>
  </si>
  <si>
    <t>rail</t>
    <phoneticPr fontId="40" type="noConversion"/>
  </si>
  <si>
    <t>ship</t>
    <phoneticPr fontId="40" type="noConversion"/>
  </si>
  <si>
    <t>BCDTRtSY BAU Cargo Dist Transported Relative to Start Year</t>
  </si>
  <si>
    <t>rail road ship</t>
  </si>
  <si>
    <t>This variable contains ratios of cargo distance transported in each year of the model run relative to the start year.  The start year is the year before the</t>
  </si>
  <si>
    <t>first simulated year.  So if the first year for which the model outputs data is 2018, the start year is 2017.  The start year column does not have to be</t>
  </si>
  <si>
    <t xml:space="preserve">China Statistical Yearbook </t>
    <phoneticPr fontId="40" type="noConversion"/>
  </si>
  <si>
    <t>passenger-turnover,cargo-turnover</t>
    <phoneticPr fontId="40" type="noConversion"/>
  </si>
  <si>
    <t>National Data</t>
    <phoneticPr fontId="40" type="noConversion"/>
  </si>
  <si>
    <t>Railways</t>
    <phoneticPr fontId="44" type="noConversion"/>
  </si>
  <si>
    <t>Highways</t>
    <phoneticPr fontId="44" type="noConversion"/>
  </si>
  <si>
    <t>Waterways</t>
    <phoneticPr fontId="44" type="noConversion"/>
  </si>
  <si>
    <t>Civil</t>
    <phoneticPr fontId="44" type="noConversion"/>
  </si>
  <si>
    <t>Aviation</t>
    <phoneticPr fontId="44" type="noConversion"/>
  </si>
  <si>
    <t>Year</t>
    <phoneticPr fontId="44" type="noConversion"/>
  </si>
  <si>
    <t>Total</t>
    <phoneticPr fontId="44" type="noConversion"/>
  </si>
  <si>
    <t>1978</t>
    <phoneticPr fontId="44" type="noConversion"/>
  </si>
  <si>
    <t>1980</t>
    <phoneticPr fontId="44" type="noConversion"/>
  </si>
  <si>
    <t>1985</t>
    <phoneticPr fontId="44" type="noConversion"/>
  </si>
  <si>
    <t>1990</t>
    <phoneticPr fontId="44" type="noConversion"/>
  </si>
  <si>
    <t>1991</t>
    <phoneticPr fontId="44" type="noConversion"/>
  </si>
  <si>
    <t>1992</t>
    <phoneticPr fontId="44" type="noConversion"/>
  </si>
  <si>
    <t>1993</t>
    <phoneticPr fontId="44" type="noConversion"/>
  </si>
  <si>
    <t>1994</t>
    <phoneticPr fontId="44" type="noConversion"/>
  </si>
  <si>
    <t>1995</t>
    <phoneticPr fontId="44" type="noConversion"/>
  </si>
  <si>
    <t>1996</t>
    <phoneticPr fontId="44" type="noConversion"/>
  </si>
  <si>
    <t>1997</t>
    <phoneticPr fontId="44" type="noConversion"/>
  </si>
  <si>
    <t>1998</t>
    <phoneticPr fontId="44" type="noConversion"/>
  </si>
  <si>
    <t>1999</t>
    <phoneticPr fontId="44" type="noConversion"/>
  </si>
  <si>
    <t>2000</t>
    <phoneticPr fontId="44" type="noConversion"/>
  </si>
  <si>
    <t>2001</t>
    <phoneticPr fontId="44" type="noConversion"/>
  </si>
  <si>
    <t>2002</t>
    <phoneticPr fontId="44" type="noConversion"/>
  </si>
  <si>
    <t>2003</t>
    <phoneticPr fontId="44" type="noConversion"/>
  </si>
  <si>
    <t>2004</t>
    <phoneticPr fontId="44" type="noConversion"/>
  </si>
  <si>
    <t>2005</t>
    <phoneticPr fontId="44" type="noConversion"/>
  </si>
  <si>
    <t>2006</t>
    <phoneticPr fontId="44" type="noConversion"/>
  </si>
  <si>
    <t>2007</t>
    <phoneticPr fontId="44" type="noConversion"/>
  </si>
  <si>
    <t>Year</t>
  </si>
  <si>
    <t>Ocean</t>
    <phoneticPr fontId="44" type="noConversion"/>
  </si>
  <si>
    <t xml:space="preserve">We use two methods: time series estimation and yearly increase rate extrapolation, both based on </t>
  </si>
  <si>
    <t>The fina method that we chose is highlighted in red for different transportation modes.</t>
    <phoneticPr fontId="40" type="noConversion"/>
  </si>
  <si>
    <t>HDV</t>
    <phoneticPr fontId="40" type="noConversion"/>
  </si>
  <si>
    <t>historical data of recent 10 years or 5 years. Then we compare the results of both methods, and choose the most reasonable one.</t>
    <phoneticPr fontId="40" type="noConversion"/>
  </si>
  <si>
    <t>LDVs and HDVs</t>
  </si>
  <si>
    <t>Argonne National Laboratory</t>
  </si>
  <si>
    <t>China Vehicle Fleet Model</t>
  </si>
  <si>
    <t>Model Outputs using GDP and Population data for EPS</t>
  </si>
  <si>
    <t>For LDVs and HDVs we use data from the China Vehicle Fleet Model with GDP and Population data from the EPS.</t>
  </si>
  <si>
    <t>For other modes, we follow the methodology outlined below:</t>
  </si>
  <si>
    <t>http://data.stats.gov.cn/easyquery.htm?cn=C01&amp;zb=A0G05&amp;sj=2018</t>
    <phoneticPr fontId="40" type="noConversion"/>
  </si>
  <si>
    <r>
      <t xml:space="preserve"> </t>
    </r>
    <r>
      <rPr>
        <b/>
        <sz val="15"/>
        <rFont val="宋体"/>
        <family val="3"/>
        <charset val="134"/>
      </rPr>
      <t>旅客周转量（</t>
    </r>
    <r>
      <rPr>
        <b/>
        <sz val="15"/>
        <rFont val="Times New Roman"/>
        <family val="1"/>
      </rPr>
      <t>1978-2021</t>
    </r>
    <r>
      <rPr>
        <b/>
        <sz val="15"/>
        <rFont val="宋体"/>
        <family val="3"/>
        <charset val="134"/>
      </rPr>
      <t>年）</t>
    </r>
    <phoneticPr fontId="40" type="noConversion"/>
  </si>
  <si>
    <r>
      <rPr>
        <b/>
        <sz val="15"/>
        <rFont val="宋体"/>
        <family val="3"/>
        <charset val="134"/>
      </rPr>
      <t>货物周转量（</t>
    </r>
    <r>
      <rPr>
        <b/>
        <sz val="15"/>
        <rFont val="Times New Roman"/>
        <family val="1"/>
      </rPr>
      <t>1978-2021</t>
    </r>
    <r>
      <rPr>
        <b/>
        <sz val="15"/>
        <rFont val="宋体"/>
        <family val="3"/>
        <charset val="134"/>
      </rPr>
      <t>年）</t>
    </r>
    <phoneticPr fontId="40" type="noConversion"/>
  </si>
  <si>
    <t>passenger and freight prediction in BAU</t>
    <phoneticPr fontId="40" type="noConversion"/>
  </si>
  <si>
    <t xml:space="preserve"> </t>
    <phoneticPr fontId="40" type="noConversion"/>
  </si>
  <si>
    <t>LDV</t>
  </si>
  <si>
    <t>LDV</t>
    <phoneticPr fontId="40" type="noConversion"/>
  </si>
  <si>
    <t>HDV</t>
  </si>
  <si>
    <t>passenger</t>
    <phoneticPr fontId="40" type="noConversion"/>
  </si>
  <si>
    <t>freight</t>
    <phoneticPr fontId="40" type="noConversion"/>
  </si>
  <si>
    <t>average loading from AVLo</t>
    <phoneticPr fontId="40" type="noConversion"/>
  </si>
  <si>
    <t>from SVYbT</t>
    <phoneticPr fontId="40" type="noConversion"/>
  </si>
  <si>
    <t>multiply</t>
    <phoneticPr fontId="40" type="noConversion"/>
  </si>
  <si>
    <t>passenger ratio</t>
  </si>
  <si>
    <t>passenger ratio</t>
    <phoneticPr fontId="40" type="noConversion"/>
  </si>
  <si>
    <t>freight ratio</t>
  </si>
  <si>
    <t>freight ratio</t>
    <phoneticPr fontId="40" type="noConversion"/>
  </si>
  <si>
    <t>air</t>
    <phoneticPr fontId="40" type="noConversion"/>
  </si>
  <si>
    <t>relative to 2020</t>
    <phoneticPr fontId="40" type="noConversion"/>
  </si>
  <si>
    <t>《中国交通碳排放及其分解模型研究》smart-trans2022年的报告</t>
    <phoneticPr fontId="40" type="noConversion"/>
  </si>
  <si>
    <t>Civial Aviation</t>
    <phoneticPr fontId="44" type="noConversion"/>
  </si>
  <si>
    <t>Passenger</t>
    <phoneticPr fontId="44" type="noConversion"/>
  </si>
  <si>
    <t>Covid Impact</t>
    <phoneticPr fontId="44" type="noConversion"/>
  </si>
  <si>
    <t>Freight</t>
    <phoneticPr fontId="44" type="noConversion"/>
  </si>
  <si>
    <t>周转量</t>
    <phoneticPr fontId="40" type="noConversion"/>
  </si>
  <si>
    <t>BCD</t>
    <phoneticPr fontId="40" type="noConversion"/>
  </si>
  <si>
    <t>客运航空</t>
    <phoneticPr fontId="40" type="noConversion"/>
  </si>
  <si>
    <t>货运航空</t>
    <phoneticPr fontId="40" type="noConversion"/>
  </si>
  <si>
    <t>人均GDP预测数据</t>
    <phoneticPr fontId="40" type="noConversion"/>
  </si>
  <si>
    <t>客运铁路</t>
    <phoneticPr fontId="40" type="noConversion"/>
  </si>
  <si>
    <t>货运铁路</t>
    <phoneticPr fontId="40" type="noConversion"/>
  </si>
  <si>
    <t>铁路旅客周转量(亿人公里)</t>
  </si>
  <si>
    <t>公路旅客周转量(亿人公里)</t>
  </si>
  <si>
    <t>水运旅客周转量(亿人公里)</t>
  </si>
  <si>
    <t>民用航空旅客周转量(亿人公里)</t>
  </si>
  <si>
    <t>公交车(亿人次)</t>
  </si>
  <si>
    <t>轨道交通(亿人次)</t>
  </si>
  <si>
    <t>巡游出租车(亿人次)</t>
  </si>
  <si>
    <t>网约车(亿人次)</t>
  </si>
  <si>
    <t>私家车出行(亿人次)</t>
  </si>
  <si>
    <t>铁路货物周转量(亿吨公里)</t>
  </si>
  <si>
    <t>公路货物周转量(亿吨公里)</t>
  </si>
  <si>
    <t>内河货运周转量 (亿吨公里)</t>
  </si>
  <si>
    <t>沿海货运周转量(亿吨公里)</t>
  </si>
  <si>
    <r>
      <rPr>
        <sz val="10"/>
        <rFont val="微软雅黑"/>
        <family val="2"/>
        <charset val="134"/>
      </rPr>
      <t>民用航空货物周转量</t>
    </r>
    <r>
      <rPr>
        <sz val="10"/>
        <rFont val="Arial"/>
        <family val="2"/>
      </rPr>
      <t>(</t>
    </r>
    <r>
      <rPr>
        <sz val="10"/>
        <rFont val="微软雅黑"/>
        <family val="2"/>
        <charset val="134"/>
      </rPr>
      <t>亿吨公里</t>
    </r>
    <r>
      <rPr>
        <sz val="10"/>
        <rFont val="Arial"/>
        <family val="2"/>
      </rPr>
      <t>)</t>
    </r>
    <phoneticPr fontId="61" type="noConversion"/>
  </si>
  <si>
    <r>
      <t>8266</t>
    </r>
    <r>
      <rPr>
        <sz val="10.5"/>
        <color rgb="FF000000"/>
        <rFont val="Times New Roman"/>
        <family val="1"/>
      </rPr>
      <t> </t>
    </r>
  </si>
  <si>
    <r>
      <t>4641</t>
    </r>
    <r>
      <rPr>
        <sz val="10.5"/>
        <color rgb="FF000000"/>
        <rFont val="Times New Roman"/>
        <family val="1"/>
      </rPr>
      <t> </t>
    </r>
  </si>
  <si>
    <r>
      <t>33.00</t>
    </r>
    <r>
      <rPr>
        <sz val="10.5"/>
        <color rgb="FF000000"/>
        <rFont val="Times New Roman"/>
        <family val="1"/>
      </rPr>
      <t> </t>
    </r>
  </si>
  <si>
    <r>
      <t>5892</t>
    </r>
    <r>
      <rPr>
        <sz val="10.5"/>
        <color rgb="FF000000"/>
        <rFont val="Times New Roman"/>
        <family val="1"/>
      </rPr>
      <t> </t>
    </r>
  </si>
  <si>
    <t>客运水运</t>
    <phoneticPr fontId="40" type="noConversion"/>
  </si>
  <si>
    <t>货运水运</t>
    <phoneticPr fontId="40" type="noConversion"/>
  </si>
  <si>
    <r>
      <rPr>
        <sz val="10"/>
        <rFont val="宋体"/>
        <family val="2"/>
      </rPr>
      <t>远洋</t>
    </r>
    <phoneticPr fontId="40" type="noConversion"/>
  </si>
  <si>
    <t>客运周转量</t>
  </si>
  <si>
    <t>乘用车</t>
  </si>
  <si>
    <t>出租车</t>
  </si>
  <si>
    <t>公交车</t>
  </si>
  <si>
    <t>道路客车</t>
  </si>
  <si>
    <t>道路客运</t>
    <phoneticPr fontId="40" type="noConversion"/>
  </si>
  <si>
    <t>微型货车</t>
    <phoneticPr fontId="40" type="noConversion"/>
  </si>
  <si>
    <t>轻型货车</t>
    <phoneticPr fontId="40" type="noConversion"/>
  </si>
  <si>
    <t>中型货车</t>
    <phoneticPr fontId="40" type="noConversion"/>
  </si>
  <si>
    <t>重型货车</t>
    <phoneticPr fontId="4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</si>
</sst>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76" formatCode="_(&quot;$&quot;* #,##0.00_);_(&quot;$&quot;* \(#,##0.00\);_(&quot;$&quot;* &quot;-&quot;??_);_(@_)"/>
    <numFmt numFmtId="177" formatCode="_(* #,##0.00_);_(* \(#,##0.00\);_(* &quot;-&quot;??_);_(@_)"/>
    <numFmt numFmtId="178" formatCode="###0.00_)"/>
    <numFmt numFmtId="179" formatCode="#,##0_)"/>
    <numFmt numFmtId="180" formatCode="0.0"/>
    <numFmt numFmtId="181" formatCode="0_);[Red]\(0\)"/>
    <numFmt numFmtId="182" formatCode="0.000_ "/>
    <numFmt numFmtId="183" formatCode="0_ "/>
  </numFmts>
  <fonts count="64">
    <font>
      <sz val="11"/>
      <color theme="1"/>
      <name val="宋体"/>
      <family val="2"/>
      <scheme val="minor"/>
    </font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b/>
      <sz val="12"/>
      <color indexed="30"/>
      <name val="Calibri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2"/>
      <name val="Helv"/>
    </font>
    <font>
      <sz val="10"/>
      <name val="Arial"/>
      <family val="2"/>
    </font>
    <font>
      <b/>
      <sz val="12"/>
      <name val="Helv"/>
    </font>
    <font>
      <sz val="10"/>
      <name val="Helv"/>
    </font>
    <font>
      <sz val="10"/>
      <name val="Helv"/>
      <family val="2"/>
    </font>
    <font>
      <sz val="9"/>
      <name val="Helv"/>
    </font>
    <font>
      <vertAlign val="superscript"/>
      <sz val="12"/>
      <name val="Helv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0"/>
      <name val="Helv"/>
    </font>
    <font>
      <b/>
      <sz val="10"/>
      <name val="Helv"/>
      <family val="2"/>
    </font>
    <font>
      <b/>
      <sz val="9"/>
      <name val="Helv"/>
    </font>
    <font>
      <sz val="8.5"/>
      <name val="Helv"/>
    </font>
    <font>
      <u/>
      <sz val="10"/>
      <color indexed="12"/>
      <name val="Arial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8"/>
      <name val="P-AVGARD"/>
    </font>
    <font>
      <b/>
      <sz val="11"/>
      <color indexed="63"/>
      <name val="Calibri"/>
      <family val="2"/>
    </font>
    <font>
      <sz val="8"/>
      <name val="Helv"/>
    </font>
    <font>
      <vertAlign val="superscript"/>
      <sz val="12"/>
      <name val="Helv"/>
      <family val="2"/>
    </font>
    <font>
      <sz val="8"/>
      <name val="Helv"/>
      <family val="2"/>
    </font>
    <font>
      <b/>
      <sz val="18"/>
      <color indexed="56"/>
      <name val="Cambria"/>
      <family val="2"/>
    </font>
    <font>
      <b/>
      <sz val="14"/>
      <name val="Helv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9"/>
      <name val="宋体"/>
      <family val="3"/>
      <charset val="134"/>
      <scheme val="minor"/>
    </font>
    <font>
      <sz val="10"/>
      <name val="Times New Roman"/>
      <family val="1"/>
    </font>
    <font>
      <u/>
      <sz val="11"/>
      <color theme="10"/>
      <name val="宋体"/>
      <family val="2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</font>
    <font>
      <sz val="12"/>
      <name val="Times New Roman"/>
      <family val="1"/>
    </font>
    <font>
      <sz val="11"/>
      <color rgb="FF000000"/>
      <name val="Calibri"/>
      <family val="2"/>
    </font>
    <font>
      <b/>
      <sz val="10"/>
      <name val="Times New Roman"/>
      <family val="1"/>
    </font>
    <font>
      <sz val="10"/>
      <color theme="1"/>
      <name val="Times New Roman"/>
      <family val="1"/>
    </font>
    <font>
      <sz val="10"/>
      <color rgb="FF000000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b/>
      <sz val="15"/>
      <name val="Times New Roman"/>
      <family val="1"/>
    </font>
    <font>
      <b/>
      <sz val="15"/>
      <name val="宋体"/>
      <family val="3"/>
      <charset val="134"/>
    </font>
    <font>
      <b/>
      <sz val="15"/>
      <name val="Times New Roman"/>
      <family val="3"/>
      <charset val="134"/>
    </font>
    <font>
      <b/>
      <sz val="11"/>
      <color theme="1"/>
      <name val="宋体"/>
      <family val="3"/>
      <charset val="134"/>
      <scheme val="minor"/>
    </font>
    <font>
      <b/>
      <sz val="10"/>
      <color theme="1"/>
      <name val="Times New Roman"/>
      <family val="1"/>
    </font>
    <font>
      <sz val="10"/>
      <color theme="1"/>
      <name val="宋体"/>
      <family val="2"/>
      <scheme val="minor"/>
    </font>
    <font>
      <sz val="10"/>
      <color theme="1"/>
      <name val="宋体"/>
      <family val="3"/>
      <charset val="134"/>
      <scheme val="minor"/>
    </font>
    <font>
      <sz val="11"/>
      <color rgb="FF000000"/>
      <name val="Times New Roman"/>
      <family val="1"/>
    </font>
    <font>
      <sz val="10"/>
      <name val="微软雅黑"/>
      <family val="2"/>
      <charset val="134"/>
    </font>
    <font>
      <sz val="9"/>
      <name val="宋体"/>
      <family val="2"/>
      <charset val="134"/>
      <scheme val="minor"/>
    </font>
    <font>
      <sz val="10.5"/>
      <color rgb="FF000000"/>
      <name val="Times New Roman"/>
      <family val="1"/>
    </font>
    <font>
      <sz val="10"/>
      <name val="宋体"/>
      <family val="2"/>
    </font>
  </fonts>
  <fills count="36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9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  <bgColor indexed="55"/>
      </patternFill>
    </fill>
    <fill>
      <patternFill patternType="solid">
        <fgColor rgb="FFFFFFFF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</fills>
  <borders count="36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medium">
        <color rgb="FF0096D7"/>
      </top>
      <bottom/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rgb="FFBFBFBF"/>
      </bottom>
      <diagonal/>
    </border>
    <border>
      <left/>
      <right/>
      <top/>
      <bottom style="thick">
        <color rgb="FF0096D7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hair">
        <color indexed="8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medium">
        <color rgb="FFE3E3E3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8"/>
      </right>
      <top style="medium">
        <color indexed="64"/>
      </top>
      <bottom/>
      <diagonal/>
    </border>
    <border>
      <left style="thin">
        <color indexed="8"/>
      </left>
      <right style="thin">
        <color indexed="8"/>
      </right>
      <top style="medium">
        <color indexed="64"/>
      </top>
      <bottom/>
      <diagonal/>
    </border>
    <border>
      <left style="thin">
        <color indexed="8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56">
    <xf numFmtId="0" fontId="0" fillId="0" borderId="0"/>
    <xf numFmtId="0" fontId="3" fillId="0" borderId="0"/>
    <xf numFmtId="0" fontId="3" fillId="0" borderId="2" applyNumberFormat="0" applyProtection="0">
      <alignment wrapText="1"/>
    </xf>
    <xf numFmtId="0" fontId="4" fillId="0" borderId="3" applyNumberFormat="0" applyProtection="0">
      <alignment wrapText="1"/>
    </xf>
    <xf numFmtId="0" fontId="3" fillId="0" borderId="4" applyNumberFormat="0" applyFont="0" applyProtection="0">
      <alignment wrapText="1"/>
    </xf>
    <xf numFmtId="0" fontId="4" fillId="0" borderId="5" applyNumberFormat="0" applyProtection="0">
      <alignment wrapText="1"/>
    </xf>
    <xf numFmtId="0" fontId="3" fillId="0" borderId="0" applyNumberFormat="0" applyFill="0" applyBorder="0" applyAlignment="0" applyProtection="0"/>
    <xf numFmtId="0" fontId="5" fillId="0" borderId="0" applyNumberFormat="0" applyProtection="0">
      <alignment horizontal="left"/>
    </xf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7" borderId="0" applyNumberFormat="0" applyBorder="0" applyAlignment="0" applyProtection="0"/>
    <xf numFmtId="0" fontId="6" fillId="10" borderId="0" applyNumberFormat="0" applyBorder="0" applyAlignment="0" applyProtection="0"/>
    <xf numFmtId="0" fontId="6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0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NumberFormat="0" applyBorder="0" applyAlignment="0" applyProtection="0"/>
    <xf numFmtId="0" fontId="7" fillId="21" borderId="0" applyNumberFormat="0" applyBorder="0" applyAlignment="0" applyProtection="0"/>
    <xf numFmtId="0" fontId="8" fillId="5" borderId="0" applyNumberFormat="0" applyBorder="0" applyAlignment="0" applyProtection="0"/>
    <xf numFmtId="0" fontId="3" fillId="0" borderId="4" applyNumberFormat="0" applyFont="0" applyProtection="0">
      <alignment wrapText="1"/>
    </xf>
    <xf numFmtId="0" fontId="9" fillId="22" borderId="6" applyNumberFormat="0" applyAlignment="0" applyProtection="0"/>
    <xf numFmtId="0" fontId="10" fillId="23" borderId="7" applyNumberFormat="0" applyAlignment="0" applyProtection="0"/>
    <xf numFmtId="0" fontId="11" fillId="0" borderId="0">
      <alignment horizontal="center" vertical="center" wrapText="1"/>
    </xf>
    <xf numFmtId="177" fontId="12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12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0" fontId="13" fillId="0" borderId="0">
      <alignment horizontal="left" vertical="center" wrapText="1"/>
    </xf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2" fillId="0" borderId="0" applyFont="0" applyFill="0" applyBorder="0" applyAlignment="0" applyProtection="0"/>
    <xf numFmtId="178" fontId="14" fillId="0" borderId="8" applyNumberFormat="0" applyFill="0">
      <alignment horizontal="right"/>
    </xf>
    <xf numFmtId="178" fontId="15" fillId="0" borderId="8" applyNumberFormat="0" applyFill="0">
      <alignment horizontal="right"/>
    </xf>
    <xf numFmtId="179" fontId="16" fillId="0" borderId="8">
      <alignment horizontal="right" vertical="center"/>
    </xf>
    <xf numFmtId="49" fontId="17" fillId="0" borderId="8">
      <alignment horizontal="left" vertical="center"/>
    </xf>
    <xf numFmtId="178" fontId="14" fillId="0" borderId="8" applyNumberFormat="0" applyFill="0">
      <alignment horizontal="right"/>
    </xf>
    <xf numFmtId="0" fontId="18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2" applyNumberFormat="0" applyProtection="0">
      <alignment wrapText="1"/>
    </xf>
    <xf numFmtId="0" fontId="19" fillId="6" borderId="0" applyNumberFormat="0" applyBorder="0" applyAlignment="0" applyProtection="0"/>
    <xf numFmtId="0" fontId="4" fillId="0" borderId="5" applyNumberFormat="0" applyProtection="0">
      <alignment wrapText="1"/>
    </xf>
    <xf numFmtId="0" fontId="20" fillId="0" borderId="9" applyNumberFormat="0" applyFill="0" applyAlignment="0" applyProtection="0"/>
    <xf numFmtId="0" fontId="21" fillId="0" borderId="10" applyNumberFormat="0" applyFill="0" applyAlignment="0" applyProtection="0"/>
    <xf numFmtId="0" fontId="22" fillId="0" borderId="11" applyNumberFormat="0" applyFill="0" applyAlignment="0" applyProtection="0"/>
    <xf numFmtId="0" fontId="22" fillId="0" borderId="0" applyNumberFormat="0" applyFill="0" applyBorder="0" applyAlignment="0" applyProtection="0"/>
    <xf numFmtId="0" fontId="23" fillId="0" borderId="8">
      <alignment horizontal="left"/>
    </xf>
    <xf numFmtId="0" fontId="24" fillId="0" borderId="8">
      <alignment horizontal="left"/>
    </xf>
    <xf numFmtId="0" fontId="25" fillId="0" borderId="12">
      <alignment horizontal="right" vertical="center"/>
    </xf>
    <xf numFmtId="0" fontId="26" fillId="0" borderId="8">
      <alignment horizontal="left" vertical="center"/>
    </xf>
    <xf numFmtId="0" fontId="14" fillId="0" borderId="8">
      <alignment horizontal="left" vertical="center"/>
    </xf>
    <xf numFmtId="0" fontId="23" fillId="0" borderId="8">
      <alignment horizontal="left"/>
    </xf>
    <xf numFmtId="0" fontId="23" fillId="24" borderId="0">
      <alignment horizontal="centerContinuous" wrapText="1"/>
    </xf>
    <xf numFmtId="49" fontId="23" fillId="24" borderId="13">
      <alignment horizontal="left" vertical="center"/>
    </xf>
    <xf numFmtId="0" fontId="23" fillId="24" borderId="0">
      <alignment horizontal="centerContinuous" vertical="center" wrapText="1"/>
    </xf>
    <xf numFmtId="0" fontId="27" fillId="0" borderId="0" applyNumberFormat="0" applyFill="0" applyBorder="0" applyAlignment="0" applyProtection="0">
      <alignment vertical="top"/>
      <protection locked="0"/>
    </xf>
    <xf numFmtId="0" fontId="28" fillId="9" borderId="6" applyNumberFormat="0" applyAlignment="0" applyProtection="0"/>
    <xf numFmtId="0" fontId="29" fillId="0" borderId="14" applyNumberFormat="0" applyFill="0" applyAlignment="0" applyProtection="0"/>
    <xf numFmtId="0" fontId="30" fillId="25" borderId="0" applyNumberFormat="0" applyBorder="0" applyAlignment="0" applyProtection="0"/>
    <xf numFmtId="0" fontId="1" fillId="0" borderId="0"/>
    <xf numFmtId="0" fontId="1" fillId="0" borderId="0"/>
    <xf numFmtId="0" fontId="12" fillId="0" borderId="0"/>
    <xf numFmtId="0" fontId="31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" fillId="2" borderId="1" applyNumberFormat="0" applyFont="0" applyAlignment="0" applyProtection="0"/>
    <xf numFmtId="0" fontId="12" fillId="26" borderId="15" applyNumberFormat="0" applyFont="0" applyAlignment="0" applyProtection="0"/>
    <xf numFmtId="0" fontId="32" fillId="22" borderId="16" applyNumberFormat="0" applyAlignment="0" applyProtection="0"/>
    <xf numFmtId="0" fontId="4" fillId="0" borderId="3" applyNumberFormat="0" applyProtection="0">
      <alignment wrapText="1"/>
    </xf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" fillId="0" borderId="0" applyFont="0" applyFill="0" applyBorder="0" applyAlignment="0" applyProtection="0"/>
    <xf numFmtId="3" fontId="16" fillId="0" borderId="0">
      <alignment horizontal="left" vertical="center"/>
    </xf>
    <xf numFmtId="0" fontId="11" fillId="0" borderId="0">
      <alignment horizontal="left" vertical="center"/>
    </xf>
    <xf numFmtId="0" fontId="33" fillId="0" borderId="0">
      <alignment horizontal="right"/>
    </xf>
    <xf numFmtId="49" fontId="33" fillId="0" borderId="0">
      <alignment horizontal="center"/>
    </xf>
    <xf numFmtId="0" fontId="17" fillId="0" borderId="0">
      <alignment horizontal="right"/>
    </xf>
    <xf numFmtId="0" fontId="34" fillId="0" borderId="0">
      <alignment horizontal="right"/>
    </xf>
    <xf numFmtId="0" fontId="33" fillId="0" borderId="0">
      <alignment horizontal="left"/>
    </xf>
    <xf numFmtId="0" fontId="35" fillId="0" borderId="0">
      <alignment horizontal="left"/>
    </xf>
    <xf numFmtId="49" fontId="16" fillId="0" borderId="0">
      <alignment horizontal="left" vertical="center"/>
    </xf>
    <xf numFmtId="49" fontId="17" fillId="0" borderId="8">
      <alignment horizontal="left"/>
    </xf>
    <xf numFmtId="178" fontId="16" fillId="0" borderId="0" applyNumberFormat="0">
      <alignment horizontal="right"/>
    </xf>
    <xf numFmtId="0" fontId="25" fillId="27" borderId="0">
      <alignment horizontal="centerContinuous" vertical="center" wrapText="1"/>
    </xf>
    <xf numFmtId="0" fontId="25" fillId="0" borderId="17">
      <alignment horizontal="left" vertical="center"/>
    </xf>
    <xf numFmtId="0" fontId="5" fillId="0" borderId="0" applyNumberFormat="0" applyProtection="0">
      <alignment horizontal="left"/>
    </xf>
    <xf numFmtId="0" fontId="36" fillId="0" borderId="0" applyNumberFormat="0" applyFill="0" applyBorder="0" applyAlignment="0" applyProtection="0"/>
    <xf numFmtId="0" fontId="23" fillId="0" borderId="0">
      <alignment horizontal="left"/>
    </xf>
    <xf numFmtId="0" fontId="13" fillId="0" borderId="0">
      <alignment horizontal="left"/>
    </xf>
    <xf numFmtId="0" fontId="14" fillId="0" borderId="0">
      <alignment horizontal="left"/>
    </xf>
    <xf numFmtId="0" fontId="37" fillId="0" borderId="0">
      <alignment horizontal="left" vertical="top"/>
    </xf>
    <xf numFmtId="0" fontId="13" fillId="0" borderId="0">
      <alignment horizontal="left"/>
    </xf>
    <xf numFmtId="0" fontId="14" fillId="0" borderId="0">
      <alignment horizontal="left"/>
    </xf>
    <xf numFmtId="0" fontId="38" fillId="0" borderId="18" applyNumberFormat="0" applyFill="0" applyAlignment="0" applyProtection="0"/>
    <xf numFmtId="0" fontId="39" fillId="0" borderId="0" applyNumberFormat="0" applyFill="0" applyBorder="0" applyAlignment="0" applyProtection="0"/>
    <xf numFmtId="49" fontId="16" fillId="0" borderId="8">
      <alignment horizontal="left"/>
    </xf>
    <xf numFmtId="0" fontId="25" fillId="0" borderId="12">
      <alignment horizontal="left"/>
    </xf>
    <xf numFmtId="0" fontId="23" fillId="0" borderId="0">
      <alignment horizontal="left" vertical="center"/>
    </xf>
    <xf numFmtId="49" fontId="33" fillId="0" borderId="8">
      <alignment horizontal="left"/>
    </xf>
    <xf numFmtId="0" fontId="42" fillId="0" borderId="0" applyNumberFormat="0" applyFill="0" applyBorder="0" applyAlignment="0" applyProtection="0"/>
    <xf numFmtId="0" fontId="45" fillId="0" borderId="0"/>
    <xf numFmtId="0" fontId="12" fillId="0" borderId="0"/>
  </cellStyleXfs>
  <cellXfs count="82">
    <xf numFmtId="0" fontId="0" fillId="0" borderId="0" xfId="0"/>
    <xf numFmtId="0" fontId="2" fillId="0" borderId="0" xfId="0" applyFont="1"/>
    <xf numFmtId="0" fontId="2" fillId="3" borderId="0" xfId="0" applyFont="1" applyFill="1"/>
    <xf numFmtId="0" fontId="2" fillId="0" borderId="0" xfId="0" applyFont="1" applyAlignment="1">
      <alignment wrapText="1"/>
    </xf>
    <xf numFmtId="1" fontId="41" fillId="0" borderId="0" xfId="0" applyNumberFormat="1" applyFont="1" applyAlignment="1">
      <alignment horizontal="center"/>
    </xf>
    <xf numFmtId="0" fontId="42" fillId="0" borderId="0" xfId="153"/>
    <xf numFmtId="0" fontId="43" fillId="0" borderId="0" xfId="0" applyFont="1"/>
    <xf numFmtId="0" fontId="12" fillId="29" borderId="24" xfId="0" applyFont="1" applyFill="1" applyBorder="1" applyAlignment="1">
      <alignment horizontal="right" vertical="center"/>
    </xf>
    <xf numFmtId="2" fontId="12" fillId="29" borderId="24" xfId="0" applyNumberFormat="1" applyFont="1" applyFill="1" applyBorder="1" applyAlignment="1">
      <alignment horizontal="right" vertical="center"/>
    </xf>
    <xf numFmtId="180" fontId="12" fillId="29" borderId="0" xfId="0" applyNumberFormat="1" applyFont="1" applyFill="1" applyAlignment="1">
      <alignment horizontal="right" vertical="center"/>
    </xf>
    <xf numFmtId="49" fontId="41" fillId="30" borderId="24" xfId="0" applyNumberFormat="1" applyFont="1" applyFill="1" applyBorder="1" applyAlignment="1" applyProtection="1">
      <alignment horizontal="center" vertical="center"/>
      <protection locked="0"/>
    </xf>
    <xf numFmtId="0" fontId="12" fillId="29" borderId="27" xfId="0" applyFont="1" applyFill="1" applyBorder="1" applyAlignment="1">
      <alignment horizontal="right" vertical="center"/>
    </xf>
    <xf numFmtId="180" fontId="12" fillId="29" borderId="28" xfId="0" applyNumberFormat="1" applyFont="1" applyFill="1" applyBorder="1" applyAlignment="1">
      <alignment horizontal="right" vertical="center"/>
    </xf>
    <xf numFmtId="1" fontId="12" fillId="29" borderId="28" xfId="0" applyNumberFormat="1" applyFont="1" applyFill="1" applyBorder="1" applyAlignment="1">
      <alignment horizontal="right" vertical="center"/>
    </xf>
    <xf numFmtId="1" fontId="12" fillId="29" borderId="0" xfId="154" applyNumberFormat="1" applyFont="1" applyFill="1" applyAlignment="1">
      <alignment horizontal="right" vertical="center"/>
    </xf>
    <xf numFmtId="2" fontId="12" fillId="29" borderId="0" xfId="0" applyNumberFormat="1" applyFont="1" applyFill="1" applyAlignment="1">
      <alignment horizontal="right" vertical="center"/>
    </xf>
    <xf numFmtId="0" fontId="12" fillId="29" borderId="0" xfId="0" applyFont="1" applyFill="1" applyAlignment="1">
      <alignment horizontal="right" vertical="center"/>
    </xf>
    <xf numFmtId="2" fontId="12" fillId="29" borderId="0" xfId="154" applyNumberFormat="1" applyFont="1" applyFill="1" applyAlignment="1">
      <alignment horizontal="right" vertical="center"/>
    </xf>
    <xf numFmtId="1" fontId="12" fillId="29" borderId="0" xfId="0" applyNumberFormat="1" applyFont="1" applyFill="1" applyAlignment="1">
      <alignment horizontal="right" vertical="center"/>
    </xf>
    <xf numFmtId="0" fontId="46" fillId="0" borderId="0" xfId="0" applyFont="1"/>
    <xf numFmtId="0" fontId="0" fillId="0" borderId="0" xfId="0" applyAlignment="1">
      <alignment horizontal="left"/>
    </xf>
    <xf numFmtId="180" fontId="0" fillId="0" borderId="0" xfId="0" applyNumberFormat="1"/>
    <xf numFmtId="49" fontId="41" fillId="31" borderId="0" xfId="0" applyNumberFormat="1" applyFont="1" applyFill="1" applyAlignment="1" applyProtection="1">
      <alignment horizontal="center" vertical="center"/>
      <protection locked="0"/>
    </xf>
    <xf numFmtId="1" fontId="41" fillId="31" borderId="0" xfId="0" applyNumberFormat="1" applyFont="1" applyFill="1" applyAlignment="1">
      <alignment horizontal="center"/>
    </xf>
    <xf numFmtId="0" fontId="47" fillId="0" borderId="21" xfId="0" applyFont="1" applyBorder="1" applyAlignment="1">
      <alignment horizontal="center" vertical="center" wrapText="1"/>
    </xf>
    <xf numFmtId="0" fontId="47" fillId="0" borderId="23" xfId="0" applyFont="1" applyBorder="1" applyAlignment="1">
      <alignment horizontal="center" vertical="center" wrapText="1"/>
    </xf>
    <xf numFmtId="0" fontId="47" fillId="0" borderId="31" xfId="0" applyFont="1" applyBorder="1" applyAlignment="1">
      <alignment horizontal="center" vertical="center" wrapText="1"/>
    </xf>
    <xf numFmtId="0" fontId="47" fillId="0" borderId="32" xfId="0" applyFont="1" applyBorder="1" applyAlignment="1">
      <alignment horizontal="center" vertical="center" wrapText="1"/>
    </xf>
    <xf numFmtId="2" fontId="48" fillId="0" borderId="0" xfId="0" applyNumberFormat="1" applyFont="1"/>
    <xf numFmtId="0" fontId="50" fillId="0" borderId="0" xfId="0" applyFont="1"/>
    <xf numFmtId="0" fontId="51" fillId="0" borderId="0" xfId="0" applyFont="1"/>
    <xf numFmtId="0" fontId="55" fillId="3" borderId="0" xfId="0" applyFont="1" applyFill="1"/>
    <xf numFmtId="2" fontId="48" fillId="32" borderId="0" xfId="0" applyNumberFormat="1" applyFont="1" applyFill="1"/>
    <xf numFmtId="0" fontId="50" fillId="32" borderId="0" xfId="0" applyFont="1" applyFill="1"/>
    <xf numFmtId="0" fontId="51" fillId="32" borderId="19" xfId="0" applyFont="1" applyFill="1" applyBorder="1" applyAlignment="1">
      <alignment horizontal="right" vertical="center"/>
    </xf>
    <xf numFmtId="0" fontId="51" fillId="32" borderId="0" xfId="0" applyFont="1" applyFill="1"/>
    <xf numFmtId="0" fontId="51" fillId="0" borderId="19" xfId="0" applyFont="1" applyBorder="1" applyAlignment="1">
      <alignment horizontal="right" vertical="center"/>
    </xf>
    <xf numFmtId="1" fontId="41" fillId="33" borderId="0" xfId="0" applyNumberFormat="1" applyFont="1" applyFill="1" applyAlignment="1">
      <alignment horizontal="center"/>
    </xf>
    <xf numFmtId="0" fontId="0" fillId="33" borderId="0" xfId="0" applyFill="1"/>
    <xf numFmtId="0" fontId="0" fillId="0" borderId="0" xfId="0" applyAlignment="1">
      <alignment vertical="center"/>
    </xf>
    <xf numFmtId="0" fontId="0" fillId="0" borderId="34" xfId="0" applyBorder="1"/>
    <xf numFmtId="0" fontId="47" fillId="0" borderId="34" xfId="0" applyFont="1" applyBorder="1" applyAlignment="1">
      <alignment horizontal="center" vertical="center" wrapText="1"/>
    </xf>
    <xf numFmtId="181" fontId="41" fillId="31" borderId="34" xfId="0" applyNumberFormat="1" applyFont="1" applyFill="1" applyBorder="1" applyAlignment="1" applyProtection="1">
      <alignment horizontal="center" vertical="center"/>
      <protection locked="0"/>
    </xf>
    <xf numFmtId="181" fontId="47" fillId="0" borderId="34" xfId="0" applyNumberFormat="1" applyFont="1" applyBorder="1" applyAlignment="1">
      <alignment horizontal="center" vertical="center" wrapText="1"/>
    </xf>
    <xf numFmtId="181" fontId="41" fillId="29" borderId="34" xfId="0" applyNumberFormat="1" applyFont="1" applyFill="1" applyBorder="1" applyAlignment="1">
      <alignment horizontal="center" vertical="center"/>
    </xf>
    <xf numFmtId="181" fontId="41" fillId="31" borderId="34" xfId="0" applyNumberFormat="1" applyFont="1" applyFill="1" applyBorder="1" applyAlignment="1">
      <alignment horizontal="center" vertical="center"/>
    </xf>
    <xf numFmtId="181" fontId="48" fillId="0" borderId="34" xfId="0" applyNumberFormat="1" applyFont="1" applyBorder="1" applyAlignment="1">
      <alignment horizontal="center" vertical="center"/>
    </xf>
    <xf numFmtId="181" fontId="49" fillId="0" borderId="34" xfId="0" applyNumberFormat="1" applyFont="1" applyBorder="1" applyAlignment="1">
      <alignment horizontal="center" vertical="center"/>
    </xf>
    <xf numFmtId="181" fontId="49" fillId="28" borderId="34" xfId="0" applyNumberFormat="1" applyFont="1" applyFill="1" applyBorder="1" applyAlignment="1">
      <alignment horizontal="center" vertical="center"/>
    </xf>
    <xf numFmtId="181" fontId="41" fillId="0" borderId="34" xfId="0" applyNumberFormat="1" applyFont="1" applyBorder="1" applyAlignment="1">
      <alignment horizontal="center" vertical="center"/>
    </xf>
    <xf numFmtId="181" fontId="47" fillId="29" borderId="34" xfId="0" applyNumberFormat="1" applyFont="1" applyFill="1" applyBorder="1" applyAlignment="1">
      <alignment horizontal="center" vertical="center"/>
    </xf>
    <xf numFmtId="181" fontId="56" fillId="0" borderId="34" xfId="0" applyNumberFormat="1" applyFont="1" applyBorder="1" applyAlignment="1">
      <alignment horizontal="center" vertical="center"/>
    </xf>
    <xf numFmtId="181" fontId="41" fillId="0" borderId="34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83" fontId="58" fillId="0" borderId="0" xfId="0" applyNumberFormat="1" applyFont="1"/>
    <xf numFmtId="182" fontId="58" fillId="0" borderId="0" xfId="0" applyNumberFormat="1" applyFont="1"/>
    <xf numFmtId="0" fontId="57" fillId="0" borderId="0" xfId="0" applyFont="1"/>
    <xf numFmtId="0" fontId="0" fillId="34" borderId="0" xfId="0" applyFill="1"/>
    <xf numFmtId="0" fontId="59" fillId="28" borderId="34" xfId="0" applyFont="1" applyFill="1" applyBorder="1" applyAlignment="1">
      <alignment horizontal="left" vertical="center"/>
    </xf>
    <xf numFmtId="0" fontId="12" fillId="0" borderId="34" xfId="155" applyBorder="1" applyAlignment="1">
      <alignment vertical="center" wrapText="1"/>
    </xf>
    <xf numFmtId="0" fontId="59" fillId="28" borderId="34" xfId="0" applyFont="1" applyFill="1" applyBorder="1" applyAlignment="1">
      <alignment horizontal="center" vertical="center"/>
    </xf>
    <xf numFmtId="0" fontId="59" fillId="28" borderId="34" xfId="0" applyFont="1" applyFill="1" applyBorder="1" applyAlignment="1">
      <alignment horizontal="center" vertical="center" wrapText="1"/>
    </xf>
    <xf numFmtId="0" fontId="59" fillId="0" borderId="34" xfId="0" applyFont="1" applyBorder="1" applyAlignment="1">
      <alignment horizontal="right" vertical="center" wrapText="1"/>
    </xf>
    <xf numFmtId="0" fontId="59" fillId="0" borderId="34" xfId="0" applyFont="1" applyBorder="1" applyAlignment="1">
      <alignment horizontal="right" vertical="center"/>
    </xf>
    <xf numFmtId="0" fontId="12" fillId="0" borderId="35" xfId="155" applyBorder="1" applyAlignment="1">
      <alignment vertical="center" wrapText="1"/>
    </xf>
    <xf numFmtId="182" fontId="58" fillId="0" borderId="0" xfId="0" applyNumberFormat="1" applyFont="1" applyAlignment="1">
      <alignment horizontal="center" vertical="center"/>
    </xf>
    <xf numFmtId="182" fontId="58" fillId="0" borderId="0" xfId="0" applyNumberFormat="1" applyFont="1" applyAlignment="1">
      <alignment horizontal="center"/>
    </xf>
    <xf numFmtId="0" fontId="47" fillId="0" borderId="34" xfId="0" applyFont="1" applyBorder="1" applyAlignment="1">
      <alignment horizontal="center" vertical="center" wrapText="1"/>
    </xf>
    <xf numFmtId="0" fontId="52" fillId="0" borderId="34" xfId="0" applyFont="1" applyBorder="1" applyAlignment="1">
      <alignment horizontal="center" vertical="center" wrapText="1"/>
    </xf>
    <xf numFmtId="0" fontId="54" fillId="0" borderId="34" xfId="0" applyFont="1" applyBorder="1" applyAlignment="1">
      <alignment horizontal="center" vertical="center" wrapText="1"/>
    </xf>
    <xf numFmtId="0" fontId="57" fillId="0" borderId="0" xfId="0" applyFont="1" applyAlignment="1">
      <alignment horizontal="center"/>
    </xf>
    <xf numFmtId="0" fontId="47" fillId="0" borderId="20" xfId="0" applyFont="1" applyBorder="1" applyAlignment="1">
      <alignment horizontal="center" vertical="center" wrapText="1"/>
    </xf>
    <xf numFmtId="0" fontId="47" fillId="0" borderId="22" xfId="0" applyFont="1" applyBorder="1" applyAlignment="1">
      <alignment horizontal="center" vertical="center" wrapText="1"/>
    </xf>
    <xf numFmtId="0" fontId="47" fillId="0" borderId="25" xfId="0" applyFont="1" applyBorder="1" applyAlignment="1">
      <alignment horizontal="center" vertical="center" wrapText="1"/>
    </xf>
    <xf numFmtId="0" fontId="47" fillId="0" borderId="26" xfId="0" applyFont="1" applyBorder="1" applyAlignment="1">
      <alignment horizontal="center" vertical="center" wrapText="1"/>
    </xf>
    <xf numFmtId="0" fontId="47" fillId="0" borderId="33" xfId="0" applyFont="1" applyBorder="1" applyAlignment="1">
      <alignment horizontal="center" vertical="center" wrapText="1"/>
    </xf>
    <xf numFmtId="0" fontId="47" fillId="0" borderId="29" xfId="0" applyFont="1" applyBorder="1" applyAlignment="1">
      <alignment horizontal="center" vertical="center" wrapText="1"/>
    </xf>
    <xf numFmtId="0" fontId="47" fillId="0" borderId="30" xfId="0" applyFont="1" applyBorder="1" applyAlignment="1">
      <alignment horizontal="center" vertical="center" wrapText="1"/>
    </xf>
    <xf numFmtId="0" fontId="47" fillId="0" borderId="31" xfId="0" applyFont="1" applyBorder="1" applyAlignment="1">
      <alignment horizontal="center" vertical="center" wrapText="1"/>
    </xf>
    <xf numFmtId="0" fontId="47" fillId="0" borderId="21" xfId="0" applyFont="1" applyBorder="1" applyAlignment="1">
      <alignment horizontal="center" vertical="center" wrapText="1"/>
    </xf>
    <xf numFmtId="0" fontId="47" fillId="0" borderId="23" xfId="0" applyFont="1" applyBorder="1" applyAlignment="1">
      <alignment horizontal="center" vertical="center" wrapText="1"/>
    </xf>
    <xf numFmtId="0" fontId="0" fillId="35" borderId="0" xfId="0" applyFill="1"/>
  </cellXfs>
  <cellStyles count="156">
    <cellStyle name="20% - Accent1 2" xfId="8" xr:uid="{00000000-0005-0000-0000-000000000000}"/>
    <cellStyle name="20% - Accent2 2" xfId="9" xr:uid="{00000000-0005-0000-0000-000001000000}"/>
    <cellStyle name="20% - Accent3 2" xfId="10" xr:uid="{00000000-0005-0000-0000-000002000000}"/>
    <cellStyle name="20% - Accent4 2" xfId="11" xr:uid="{00000000-0005-0000-0000-000003000000}"/>
    <cellStyle name="20% - Accent5 2" xfId="12" xr:uid="{00000000-0005-0000-0000-000004000000}"/>
    <cellStyle name="20% - Accent6 2" xfId="13" xr:uid="{00000000-0005-0000-0000-000005000000}"/>
    <cellStyle name="40% - Accent1 2" xfId="14" xr:uid="{00000000-0005-0000-0000-000006000000}"/>
    <cellStyle name="40% - Accent2 2" xfId="15" xr:uid="{00000000-0005-0000-0000-000007000000}"/>
    <cellStyle name="40% - Accent3 2" xfId="16" xr:uid="{00000000-0005-0000-0000-000008000000}"/>
    <cellStyle name="40% - Accent4 2" xfId="17" xr:uid="{00000000-0005-0000-0000-000009000000}"/>
    <cellStyle name="40% - Accent5 2" xfId="18" xr:uid="{00000000-0005-0000-0000-00000A000000}"/>
    <cellStyle name="40% - Accent6 2" xfId="19" xr:uid="{00000000-0005-0000-0000-00000B000000}"/>
    <cellStyle name="60% - Accent1 2" xfId="20" xr:uid="{00000000-0005-0000-0000-00000C000000}"/>
    <cellStyle name="60% - Accent2 2" xfId="21" xr:uid="{00000000-0005-0000-0000-00000D000000}"/>
    <cellStyle name="60% - Accent3 2" xfId="22" xr:uid="{00000000-0005-0000-0000-00000E000000}"/>
    <cellStyle name="60% - Accent4 2" xfId="23" xr:uid="{00000000-0005-0000-0000-00000F000000}"/>
    <cellStyle name="60% - Accent5 2" xfId="24" xr:uid="{00000000-0005-0000-0000-000010000000}"/>
    <cellStyle name="60% - Accent6 2" xfId="25" xr:uid="{00000000-0005-0000-0000-000011000000}"/>
    <cellStyle name="Accent1 2" xfId="26" xr:uid="{00000000-0005-0000-0000-000012000000}"/>
    <cellStyle name="Accent2 2" xfId="27" xr:uid="{00000000-0005-0000-0000-000013000000}"/>
    <cellStyle name="Accent3 2" xfId="28" xr:uid="{00000000-0005-0000-0000-000014000000}"/>
    <cellStyle name="Accent4 2" xfId="29" xr:uid="{00000000-0005-0000-0000-000015000000}"/>
    <cellStyle name="Accent5 2" xfId="30" xr:uid="{00000000-0005-0000-0000-000016000000}"/>
    <cellStyle name="Accent6 2" xfId="31" xr:uid="{00000000-0005-0000-0000-000017000000}"/>
    <cellStyle name="Bad 2" xfId="32" xr:uid="{00000000-0005-0000-0000-000018000000}"/>
    <cellStyle name="Body: normal cell" xfId="4" xr:uid="{00000000-0005-0000-0000-000019000000}"/>
    <cellStyle name="Body: normal cell 2" xfId="33" xr:uid="{00000000-0005-0000-0000-00001A000000}"/>
    <cellStyle name="Calculation 2" xfId="34" xr:uid="{00000000-0005-0000-0000-00001B000000}"/>
    <cellStyle name="Check Cell 2" xfId="35" xr:uid="{00000000-0005-0000-0000-00001C000000}"/>
    <cellStyle name="Column heading" xfId="36" xr:uid="{00000000-0005-0000-0000-00001D000000}"/>
    <cellStyle name="Comma 2" xfId="37" xr:uid="{00000000-0005-0000-0000-00001E000000}"/>
    <cellStyle name="Comma 2 2" xfId="38" xr:uid="{00000000-0005-0000-0000-00001F000000}"/>
    <cellStyle name="Comma 3" xfId="39" xr:uid="{00000000-0005-0000-0000-000020000000}"/>
    <cellStyle name="Comma 4" xfId="40" xr:uid="{00000000-0005-0000-0000-000021000000}"/>
    <cellStyle name="Comma 5" xfId="41" xr:uid="{00000000-0005-0000-0000-000022000000}"/>
    <cellStyle name="Comma 6" xfId="42" xr:uid="{00000000-0005-0000-0000-000023000000}"/>
    <cellStyle name="Comma 7" xfId="43" xr:uid="{00000000-0005-0000-0000-000024000000}"/>
    <cellStyle name="Comma 8" xfId="44" xr:uid="{00000000-0005-0000-0000-000025000000}"/>
    <cellStyle name="Corner heading" xfId="45" xr:uid="{00000000-0005-0000-0000-000026000000}"/>
    <cellStyle name="Currency 2" xfId="46" xr:uid="{00000000-0005-0000-0000-000027000000}"/>
    <cellStyle name="Currency 3" xfId="47" xr:uid="{00000000-0005-0000-0000-000028000000}"/>
    <cellStyle name="Currency 3 2" xfId="48" xr:uid="{00000000-0005-0000-0000-000029000000}"/>
    <cellStyle name="Data" xfId="49" xr:uid="{00000000-0005-0000-0000-00002A000000}"/>
    <cellStyle name="Data 2" xfId="50" xr:uid="{00000000-0005-0000-0000-00002B000000}"/>
    <cellStyle name="Data no deci" xfId="51" xr:uid="{00000000-0005-0000-0000-00002C000000}"/>
    <cellStyle name="Data Superscript" xfId="52" xr:uid="{00000000-0005-0000-0000-00002D000000}"/>
    <cellStyle name="Data_1-1A-Regular" xfId="53" xr:uid="{00000000-0005-0000-0000-00002E000000}"/>
    <cellStyle name="Explanatory Text 2" xfId="54" xr:uid="{00000000-0005-0000-0000-00002F000000}"/>
    <cellStyle name="Font: Calibri, 9pt regular" xfId="6" xr:uid="{00000000-0005-0000-0000-000030000000}"/>
    <cellStyle name="Font: Calibri, 9pt regular 2" xfId="55" xr:uid="{00000000-0005-0000-0000-000031000000}"/>
    <cellStyle name="Footnotes: top row" xfId="2" xr:uid="{00000000-0005-0000-0000-000032000000}"/>
    <cellStyle name="Footnotes: top row 2" xfId="56" xr:uid="{00000000-0005-0000-0000-000033000000}"/>
    <cellStyle name="Good 2" xfId="57" xr:uid="{00000000-0005-0000-0000-000034000000}"/>
    <cellStyle name="Header: bottom row" xfId="5" xr:uid="{00000000-0005-0000-0000-000035000000}"/>
    <cellStyle name="Header: bottom row 2" xfId="58" xr:uid="{00000000-0005-0000-0000-000036000000}"/>
    <cellStyle name="Heading 1 2" xfId="59" xr:uid="{00000000-0005-0000-0000-000037000000}"/>
    <cellStyle name="Heading 2 2" xfId="60" xr:uid="{00000000-0005-0000-0000-000038000000}"/>
    <cellStyle name="Heading 3 2" xfId="61" xr:uid="{00000000-0005-0000-0000-000039000000}"/>
    <cellStyle name="Heading 4 2" xfId="62" xr:uid="{00000000-0005-0000-0000-00003A000000}"/>
    <cellStyle name="Hed Side" xfId="63" xr:uid="{00000000-0005-0000-0000-00003B000000}"/>
    <cellStyle name="Hed Side 2" xfId="64" xr:uid="{00000000-0005-0000-0000-00003C000000}"/>
    <cellStyle name="Hed Side bold" xfId="65" xr:uid="{00000000-0005-0000-0000-00003D000000}"/>
    <cellStyle name="Hed Side Indent" xfId="66" xr:uid="{00000000-0005-0000-0000-00003E000000}"/>
    <cellStyle name="Hed Side Regular" xfId="67" xr:uid="{00000000-0005-0000-0000-00003F000000}"/>
    <cellStyle name="Hed Side_1-1A-Regular" xfId="68" xr:uid="{00000000-0005-0000-0000-000040000000}"/>
    <cellStyle name="Hed Top" xfId="69" xr:uid="{00000000-0005-0000-0000-000041000000}"/>
    <cellStyle name="Hed Top - SECTION" xfId="70" xr:uid="{00000000-0005-0000-0000-000042000000}"/>
    <cellStyle name="Hed Top_3-new4" xfId="71" xr:uid="{00000000-0005-0000-0000-000043000000}"/>
    <cellStyle name="Hyperlink 2" xfId="72" xr:uid="{00000000-0005-0000-0000-000045000000}"/>
    <cellStyle name="Input 2" xfId="73" xr:uid="{00000000-0005-0000-0000-000046000000}"/>
    <cellStyle name="Linked Cell 2" xfId="74" xr:uid="{00000000-0005-0000-0000-000047000000}"/>
    <cellStyle name="Neutral 2" xfId="75" xr:uid="{00000000-0005-0000-0000-000048000000}"/>
    <cellStyle name="Normal 10" xfId="76" xr:uid="{00000000-0005-0000-0000-00004A000000}"/>
    <cellStyle name="Normal 11" xfId="77" xr:uid="{00000000-0005-0000-0000-00004B000000}"/>
    <cellStyle name="Normal 2" xfId="1" xr:uid="{00000000-0005-0000-0000-00004C000000}"/>
    <cellStyle name="Normal 2 2" xfId="78" xr:uid="{00000000-0005-0000-0000-00004D000000}"/>
    <cellStyle name="Normal 2 3" xfId="79" xr:uid="{00000000-0005-0000-0000-00004E000000}"/>
    <cellStyle name="Normal 3" xfId="80" xr:uid="{00000000-0005-0000-0000-00004F000000}"/>
    <cellStyle name="Normal 3 2" xfId="81" xr:uid="{00000000-0005-0000-0000-000050000000}"/>
    <cellStyle name="Normal 3 2 2" xfId="82" xr:uid="{00000000-0005-0000-0000-000051000000}"/>
    <cellStyle name="Normal 3 2 2 2" xfId="83" xr:uid="{00000000-0005-0000-0000-000052000000}"/>
    <cellStyle name="Normal 3 2 3" xfId="84" xr:uid="{00000000-0005-0000-0000-000053000000}"/>
    <cellStyle name="Normal 3 3" xfId="85" xr:uid="{00000000-0005-0000-0000-000054000000}"/>
    <cellStyle name="Normal 3 3 2" xfId="86" xr:uid="{00000000-0005-0000-0000-000055000000}"/>
    <cellStyle name="Normal 3 3 2 2" xfId="87" xr:uid="{00000000-0005-0000-0000-000056000000}"/>
    <cellStyle name="Normal 3 3 3" xfId="88" xr:uid="{00000000-0005-0000-0000-000057000000}"/>
    <cellStyle name="Normal 3 4" xfId="89" xr:uid="{00000000-0005-0000-0000-000058000000}"/>
    <cellStyle name="Normal 3 4 2" xfId="90" xr:uid="{00000000-0005-0000-0000-000059000000}"/>
    <cellStyle name="Normal 3 5" xfId="91" xr:uid="{00000000-0005-0000-0000-00005A000000}"/>
    <cellStyle name="Normal 3 6" xfId="92" xr:uid="{00000000-0005-0000-0000-00005B000000}"/>
    <cellStyle name="Normal 3 7" xfId="93" xr:uid="{00000000-0005-0000-0000-00005C000000}"/>
    <cellStyle name="Normal 4" xfId="94" xr:uid="{00000000-0005-0000-0000-00005D000000}"/>
    <cellStyle name="Normal 4 2" xfId="95" xr:uid="{00000000-0005-0000-0000-00005E000000}"/>
    <cellStyle name="Normal 4 2 2" xfId="96" xr:uid="{00000000-0005-0000-0000-00005F000000}"/>
    <cellStyle name="Normal 4 2 2 2" xfId="97" xr:uid="{00000000-0005-0000-0000-000060000000}"/>
    <cellStyle name="Normal 4 2 3" xfId="98" xr:uid="{00000000-0005-0000-0000-000061000000}"/>
    <cellStyle name="Normal 4 3" xfId="99" xr:uid="{00000000-0005-0000-0000-000062000000}"/>
    <cellStyle name="Normal 4 3 2" xfId="100" xr:uid="{00000000-0005-0000-0000-000063000000}"/>
    <cellStyle name="Normal 4 3 2 2" xfId="101" xr:uid="{00000000-0005-0000-0000-000064000000}"/>
    <cellStyle name="Normal 4 3 3" xfId="102" xr:uid="{00000000-0005-0000-0000-000065000000}"/>
    <cellStyle name="Normal 4 4" xfId="103" xr:uid="{00000000-0005-0000-0000-000066000000}"/>
    <cellStyle name="Normal 4 4 2" xfId="104" xr:uid="{00000000-0005-0000-0000-000067000000}"/>
    <cellStyle name="Normal 4 5" xfId="105" xr:uid="{00000000-0005-0000-0000-000068000000}"/>
    <cellStyle name="Normal 4 6" xfId="106" xr:uid="{00000000-0005-0000-0000-000069000000}"/>
    <cellStyle name="Normal 4 7" xfId="107" xr:uid="{00000000-0005-0000-0000-00006A000000}"/>
    <cellStyle name="Normal 5" xfId="108" xr:uid="{00000000-0005-0000-0000-00006B000000}"/>
    <cellStyle name="Normal 5 2" xfId="109" xr:uid="{00000000-0005-0000-0000-00006C000000}"/>
    <cellStyle name="Normal 5 3" xfId="110" xr:uid="{00000000-0005-0000-0000-00006D000000}"/>
    <cellStyle name="Normal 6" xfId="111" xr:uid="{00000000-0005-0000-0000-00006E000000}"/>
    <cellStyle name="Normal 6 2" xfId="112" xr:uid="{00000000-0005-0000-0000-00006F000000}"/>
    <cellStyle name="Normal 7" xfId="113" xr:uid="{00000000-0005-0000-0000-000070000000}"/>
    <cellStyle name="Normal 7 2" xfId="114" xr:uid="{00000000-0005-0000-0000-000071000000}"/>
    <cellStyle name="Normal 8" xfId="115" xr:uid="{00000000-0005-0000-0000-000072000000}"/>
    <cellStyle name="Normal 9" xfId="116" xr:uid="{00000000-0005-0000-0000-000073000000}"/>
    <cellStyle name="Normal_88" xfId="154" xr:uid="{00000000-0005-0000-0000-000074000000}"/>
    <cellStyle name="Note 2" xfId="117" xr:uid="{00000000-0005-0000-0000-000075000000}"/>
    <cellStyle name="Note 2 2" xfId="118" xr:uid="{00000000-0005-0000-0000-000076000000}"/>
    <cellStyle name="Output 2" xfId="119" xr:uid="{00000000-0005-0000-0000-000077000000}"/>
    <cellStyle name="Parent row" xfId="3" xr:uid="{00000000-0005-0000-0000-000078000000}"/>
    <cellStyle name="Parent row 2" xfId="120" xr:uid="{00000000-0005-0000-0000-000079000000}"/>
    <cellStyle name="Percent 2" xfId="121" xr:uid="{00000000-0005-0000-0000-00007A000000}"/>
    <cellStyle name="Percent 2 2" xfId="122" xr:uid="{00000000-0005-0000-0000-00007B000000}"/>
    <cellStyle name="Percent 3" xfId="123" xr:uid="{00000000-0005-0000-0000-00007C000000}"/>
    <cellStyle name="Percent 3 2" xfId="124" xr:uid="{00000000-0005-0000-0000-00007D000000}"/>
    <cellStyle name="Percent 4" xfId="125" xr:uid="{00000000-0005-0000-0000-00007E000000}"/>
    <cellStyle name="Reference" xfId="126" xr:uid="{00000000-0005-0000-0000-00007F000000}"/>
    <cellStyle name="Row heading" xfId="127" xr:uid="{00000000-0005-0000-0000-000080000000}"/>
    <cellStyle name="Source Hed" xfId="128" xr:uid="{00000000-0005-0000-0000-000081000000}"/>
    <cellStyle name="Source Letter" xfId="129" xr:uid="{00000000-0005-0000-0000-000082000000}"/>
    <cellStyle name="Source Superscript" xfId="130" xr:uid="{00000000-0005-0000-0000-000083000000}"/>
    <cellStyle name="Source Superscript 2" xfId="131" xr:uid="{00000000-0005-0000-0000-000084000000}"/>
    <cellStyle name="Source Text" xfId="132" xr:uid="{00000000-0005-0000-0000-000085000000}"/>
    <cellStyle name="Source Text 2" xfId="133" xr:uid="{00000000-0005-0000-0000-000086000000}"/>
    <cellStyle name="State" xfId="134" xr:uid="{00000000-0005-0000-0000-000087000000}"/>
    <cellStyle name="Superscript" xfId="135" xr:uid="{00000000-0005-0000-0000-000088000000}"/>
    <cellStyle name="Table Data" xfId="136" xr:uid="{00000000-0005-0000-0000-000089000000}"/>
    <cellStyle name="Table Head Top" xfId="137" xr:uid="{00000000-0005-0000-0000-00008A000000}"/>
    <cellStyle name="Table Hed Side" xfId="138" xr:uid="{00000000-0005-0000-0000-00008B000000}"/>
    <cellStyle name="Table title" xfId="7" xr:uid="{00000000-0005-0000-0000-00008C000000}"/>
    <cellStyle name="Table title 2" xfId="139" xr:uid="{00000000-0005-0000-0000-00008D000000}"/>
    <cellStyle name="Title 2" xfId="140" xr:uid="{00000000-0005-0000-0000-00008E000000}"/>
    <cellStyle name="Title Text" xfId="141" xr:uid="{00000000-0005-0000-0000-00008F000000}"/>
    <cellStyle name="Title Text 1" xfId="142" xr:uid="{00000000-0005-0000-0000-000090000000}"/>
    <cellStyle name="Title Text 2" xfId="143" xr:uid="{00000000-0005-0000-0000-000091000000}"/>
    <cellStyle name="Title-1" xfId="144" xr:uid="{00000000-0005-0000-0000-000092000000}"/>
    <cellStyle name="Title-2" xfId="145" xr:uid="{00000000-0005-0000-0000-000093000000}"/>
    <cellStyle name="Title-3" xfId="146" xr:uid="{00000000-0005-0000-0000-000094000000}"/>
    <cellStyle name="Total 2" xfId="147" xr:uid="{00000000-0005-0000-0000-000095000000}"/>
    <cellStyle name="Warning Text 2" xfId="148" xr:uid="{00000000-0005-0000-0000-000096000000}"/>
    <cellStyle name="Wrap" xfId="149" xr:uid="{00000000-0005-0000-0000-000097000000}"/>
    <cellStyle name="Wrap Bold" xfId="150" xr:uid="{00000000-0005-0000-0000-000098000000}"/>
    <cellStyle name="Wrap Title" xfId="151" xr:uid="{00000000-0005-0000-0000-000099000000}"/>
    <cellStyle name="Wrap_NTS99-~11" xfId="152" xr:uid="{00000000-0005-0000-0000-00009A000000}"/>
    <cellStyle name="常规" xfId="0" builtinId="0"/>
    <cellStyle name="常规 2" xfId="155" xr:uid="{69A2AD4D-109A-42E1-B86D-E51CC952D9FD}"/>
    <cellStyle name="超链接" xfId="153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112145</xdr:colOff>
      <xdr:row>5</xdr:row>
      <xdr:rowOff>163905</xdr:rowOff>
    </xdr:from>
    <xdr:to>
      <xdr:col>15</xdr:col>
      <xdr:colOff>381864</xdr:colOff>
      <xdr:row>22</xdr:row>
      <xdr:rowOff>134760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206B05C7-FF80-49F2-B905-72E8FD3C5C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85737" y="1069679"/>
          <a:ext cx="5859636" cy="277443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onewri.sharepoint.com/WINDOWS/TEMP/USFreight97-93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WINDOWS/TEMP/USFreight97-93.xls" TargetMode="External"/><Relationship Id="rId1" Type="http://schemas.openxmlformats.org/officeDocument/2006/relationships/externalLinkPath" Target="/WINDOWS/TEMP/USFreight97-9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il shipments 93-97"/>
      <sheetName val="Waterborne Flows 93-97"/>
      <sheetName val="Air and vessel 93-97"/>
      <sheetName val="Figure 2 compare"/>
      <sheetName val="Factors Comparisons"/>
      <sheetName val="1997  Table 1a Modified"/>
      <sheetName val="Figure 1"/>
      <sheetName val="1993-97 Table 1  US Highlights"/>
      <sheetName val="93-97 US Freight Table 1"/>
      <sheetName val="93-97 US Freight Table 1 (b)"/>
      <sheetName val="93-97 Percents Tab 2&amp;3"/>
      <sheetName val="Integrated View 93-97"/>
      <sheetName val="Figure 3 modal shares"/>
      <sheetName val="1993-97 Percents"/>
      <sheetName val="BTS &amp; ORNL estimates"/>
      <sheetName val="Oil Pipeline (2)"/>
      <sheetName val="1997 Table 2"/>
      <sheetName val="Table 4 Distance"/>
      <sheetName val="Distance percent change"/>
      <sheetName val="Distance 93-97"/>
      <sheetName val="Distance Fig value per ton"/>
      <sheetName val="Distance Bar"/>
      <sheetName val="Table 5 Size 93-97"/>
      <sheetName val="Size percent change"/>
      <sheetName val="Size Fig value per ton"/>
      <sheetName val="Size Bar "/>
      <sheetName val="BTS Mode"/>
      <sheetName val="Ton-miles data"/>
      <sheetName val="Ton-miles figure"/>
      <sheetName val="table 3 commodities"/>
      <sheetName val="Commodities ranked by value"/>
      <sheetName val="Commod ranked by tons"/>
      <sheetName val="Commod ranked by ton-miles"/>
      <sheetName val="Commod ranked by miles per ton "/>
      <sheetName val="Commod ranked by val per t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/>
      <sheetData sheetId="23"/>
      <sheetData sheetId="24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Rail shipments 93-97"/>
      <sheetName val="Waterborne Flows 93-97"/>
      <sheetName val="Air and vessel 93-97"/>
      <sheetName val="Figure 2 compare"/>
      <sheetName val="Factors Comparisons"/>
      <sheetName val="1997  Table 1a Modified"/>
      <sheetName val="Figure 1"/>
      <sheetName val="1993-97 Table 1  US Highlights"/>
      <sheetName val="93-97 US Freight Table 1"/>
      <sheetName val="93-97 US Freight Table 1 (b)"/>
      <sheetName val="93-97 Percents Tab 2&amp;3"/>
      <sheetName val="Integrated View 93-97"/>
      <sheetName val="Figure 3 modal shares"/>
      <sheetName val="1993-97 Percents"/>
      <sheetName val="BTS &amp; ORNL estimates"/>
      <sheetName val="Oil Pipeline (2)"/>
      <sheetName val="1997 Table 2"/>
      <sheetName val="Table 4 Distance"/>
      <sheetName val="Distance percent change"/>
      <sheetName val="Distance 93-97"/>
      <sheetName val="Distance Fig value per ton"/>
      <sheetName val="Distance Bar"/>
      <sheetName val="Table 5 Size 93-97"/>
      <sheetName val="Size percent change"/>
      <sheetName val="Size Fig value per ton"/>
      <sheetName val="Size Bar "/>
      <sheetName val="BTS Mode"/>
      <sheetName val="Ton-miles data"/>
      <sheetName val="Ton-miles figure"/>
      <sheetName val="table 3 commodities"/>
      <sheetName val="Commodities ranked by value"/>
      <sheetName val="Commod ranked by tons"/>
      <sheetName val="Commod ranked by ton-miles"/>
      <sheetName val="Commod ranked by miles per ton "/>
      <sheetName val="Commod ranked by val per t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/>
      <sheetData sheetId="23"/>
      <sheetData sheetId="24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data.stats.gov.cn/easyquery.htm?cn=C01&amp;zb=A0G05&amp;sj=2018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2"/>
  <sheetViews>
    <sheetView workbookViewId="0">
      <selection activeCell="B15" sqref="B15"/>
    </sheetView>
  </sheetViews>
  <sheetFormatPr defaultColWidth="8.625" defaultRowHeight="12.9"/>
  <cols>
    <col min="1" max="1" width="13.5" customWidth="1"/>
    <col min="2" max="2" width="107.5" customWidth="1"/>
  </cols>
  <sheetData>
    <row r="1" spans="1:2">
      <c r="A1" s="1" t="s">
        <v>13</v>
      </c>
    </row>
    <row r="3" spans="1:2">
      <c r="A3" s="1" t="s">
        <v>0</v>
      </c>
      <c r="B3" s="2" t="s">
        <v>54</v>
      </c>
    </row>
    <row r="4" spans="1:2">
      <c r="A4" s="1"/>
      <c r="B4" t="s">
        <v>55</v>
      </c>
    </row>
    <row r="5" spans="1:2">
      <c r="B5" s="20">
        <v>2019</v>
      </c>
    </row>
    <row r="6" spans="1:2">
      <c r="B6" t="s">
        <v>56</v>
      </c>
    </row>
    <row r="7" spans="1:2">
      <c r="B7" t="s">
        <v>57</v>
      </c>
    </row>
    <row r="10" spans="1:2">
      <c r="B10" s="2" t="s">
        <v>14</v>
      </c>
    </row>
    <row r="11" spans="1:2">
      <c r="B11" s="6" t="s">
        <v>19</v>
      </c>
    </row>
    <row r="12" spans="1:2">
      <c r="B12" t="s">
        <v>17</v>
      </c>
    </row>
    <row r="13" spans="1:2">
      <c r="B13" s="5" t="s">
        <v>60</v>
      </c>
    </row>
    <row r="14" spans="1:2">
      <c r="B14" t="s">
        <v>18</v>
      </c>
    </row>
    <row r="15" spans="1:2">
      <c r="B15" s="31" t="s">
        <v>63</v>
      </c>
    </row>
    <row r="16" spans="1:2">
      <c r="B16" t="s">
        <v>79</v>
      </c>
    </row>
    <row r="18" spans="1:2">
      <c r="A18" s="1" t="s">
        <v>2</v>
      </c>
    </row>
    <row r="19" spans="1:2">
      <c r="A19" t="s">
        <v>58</v>
      </c>
    </row>
    <row r="21" spans="1:2">
      <c r="A21" t="s">
        <v>59</v>
      </c>
    </row>
    <row r="22" spans="1:2" ht="15.65" customHeight="1"/>
    <row r="23" spans="1:2">
      <c r="A23" t="s">
        <v>15</v>
      </c>
    </row>
    <row r="24" spans="1:2">
      <c r="A24" t="s">
        <v>16</v>
      </c>
    </row>
    <row r="25" spans="1:2">
      <c r="A25" t="s">
        <v>9</v>
      </c>
    </row>
    <row r="27" spans="1:2">
      <c r="A27" t="s">
        <v>50</v>
      </c>
    </row>
    <row r="28" spans="1:2">
      <c r="A28" t="s">
        <v>53</v>
      </c>
    </row>
    <row r="29" spans="1:2">
      <c r="A29" t="s">
        <v>51</v>
      </c>
    </row>
    <row r="30" spans="1:2" ht="14.3">
      <c r="B30" s="19"/>
    </row>
    <row r="31" spans="1:2" ht="14.3">
      <c r="B31" s="19"/>
    </row>
    <row r="32" spans="1:2" ht="14.3">
      <c r="B32" s="19"/>
    </row>
  </sheetData>
  <phoneticPr fontId="40" type="noConversion"/>
  <hyperlinks>
    <hyperlink ref="B13" r:id="rId1" xr:uid="{AF37C86F-8BE4-432E-8F2E-7D7FA693C20F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53"/>
  <sheetViews>
    <sheetView workbookViewId="0">
      <pane xSplit="1" ySplit="3" topLeftCell="J18" activePane="bottomRight" state="frozen"/>
      <selection pane="topRight" activeCell="B1" sqref="B1"/>
      <selection pane="bottomLeft" activeCell="A4" sqref="A4"/>
      <selection pane="bottomRight" activeCell="T21" sqref="T21"/>
    </sheetView>
  </sheetViews>
  <sheetFormatPr defaultRowHeight="13.6" customHeight="1"/>
  <cols>
    <col min="1" max="1" width="9" bestFit="1" customWidth="1"/>
    <col min="2" max="2" width="15" bestFit="1" customWidth="1"/>
    <col min="3" max="3" width="11.25" bestFit="1" customWidth="1"/>
    <col min="4" max="4" width="28.125" bestFit="1" customWidth="1"/>
    <col min="5" max="5" width="20.25" bestFit="1" customWidth="1"/>
    <col min="6" max="6" width="11.25" bestFit="1" customWidth="1"/>
    <col min="7" max="7" width="8.125" customWidth="1"/>
    <col min="8" max="8" width="13.625" bestFit="1" customWidth="1"/>
    <col min="9" max="9" width="23.75" bestFit="1" customWidth="1"/>
    <col min="10" max="10" width="20.25" bestFit="1" customWidth="1"/>
    <col min="11" max="11" width="9.75" bestFit="1" customWidth="1"/>
    <col min="12" max="12" width="12.5" customWidth="1"/>
    <col min="13" max="13" width="10.625" customWidth="1"/>
    <col min="16" max="21" width="8.5" customWidth="1"/>
  </cols>
  <sheetData>
    <row r="1" spans="1:21" ht="13.6" customHeight="1">
      <c r="A1" s="68" t="s">
        <v>61</v>
      </c>
      <c r="B1" s="68"/>
      <c r="C1" s="68"/>
      <c r="D1" s="68"/>
      <c r="E1" s="68"/>
      <c r="F1" s="68"/>
      <c r="H1" s="69" t="s">
        <v>62</v>
      </c>
      <c r="I1" s="68"/>
      <c r="J1" s="68"/>
      <c r="K1" s="68"/>
      <c r="L1" s="68"/>
      <c r="M1" s="68"/>
      <c r="N1" s="40"/>
    </row>
    <row r="2" spans="1:21" s="39" customFormat="1" ht="13.6" customHeight="1">
      <c r="A2" s="67" t="s">
        <v>25</v>
      </c>
      <c r="B2" s="67" t="s">
        <v>26</v>
      </c>
      <c r="C2" s="67" t="s">
        <v>20</v>
      </c>
      <c r="D2" s="67" t="s">
        <v>21</v>
      </c>
      <c r="E2" s="67" t="s">
        <v>22</v>
      </c>
      <c r="F2" s="67" t="s">
        <v>80</v>
      </c>
      <c r="G2" s="53"/>
      <c r="H2" s="67" t="s">
        <v>48</v>
      </c>
      <c r="I2" s="67" t="s">
        <v>26</v>
      </c>
      <c r="J2" s="67" t="s">
        <v>20</v>
      </c>
      <c r="K2" s="67" t="s">
        <v>21</v>
      </c>
      <c r="L2" s="67" t="s">
        <v>22</v>
      </c>
      <c r="M2" s="41"/>
      <c r="N2" s="67" t="s">
        <v>80</v>
      </c>
    </row>
    <row r="3" spans="1:21" s="39" customFormat="1" ht="13.6" customHeight="1">
      <c r="A3" s="67"/>
      <c r="B3" s="67"/>
      <c r="C3" s="67"/>
      <c r="D3" s="67"/>
      <c r="E3" s="67"/>
      <c r="F3" s="67"/>
      <c r="G3" s="53"/>
      <c r="H3" s="67"/>
      <c r="I3" s="67"/>
      <c r="J3" s="67"/>
      <c r="K3" s="67"/>
      <c r="L3" s="67"/>
      <c r="M3" s="41" t="s">
        <v>49</v>
      </c>
      <c r="N3" s="67"/>
    </row>
    <row r="4" spans="1:21" ht="13.6" customHeight="1">
      <c r="A4" s="42" t="s">
        <v>27</v>
      </c>
      <c r="B4" s="50">
        <v>1743.1</v>
      </c>
      <c r="C4" s="44">
        <v>1093.22</v>
      </c>
      <c r="D4" s="44">
        <v>521.29999999999995</v>
      </c>
      <c r="E4" s="44">
        <v>100.63</v>
      </c>
      <c r="F4" s="44">
        <v>27.91</v>
      </c>
      <c r="H4" s="42" t="s">
        <v>27</v>
      </c>
      <c r="I4" s="50">
        <v>9928</v>
      </c>
      <c r="J4" s="44">
        <v>5345.19</v>
      </c>
      <c r="K4" s="44">
        <v>350.3</v>
      </c>
      <c r="L4" s="44">
        <v>3801.8</v>
      </c>
      <c r="M4" s="44">
        <v>2487</v>
      </c>
      <c r="N4" s="44">
        <v>0.97</v>
      </c>
    </row>
    <row r="5" spans="1:21" ht="13.6" customHeight="1">
      <c r="A5" s="42" t="s">
        <v>28</v>
      </c>
      <c r="B5" s="50">
        <v>2281.3000000000002</v>
      </c>
      <c r="C5" s="44">
        <v>1383.16</v>
      </c>
      <c r="D5" s="44">
        <v>729.5</v>
      </c>
      <c r="E5" s="44">
        <v>129.12</v>
      </c>
      <c r="F5" s="44">
        <v>39.56</v>
      </c>
      <c r="H5" s="42" t="s">
        <v>28</v>
      </c>
      <c r="I5" s="50">
        <v>11629</v>
      </c>
      <c r="J5" s="44">
        <v>5717.5</v>
      </c>
      <c r="K5" s="44">
        <v>342.9</v>
      </c>
      <c r="L5" s="44">
        <v>5076.5</v>
      </c>
      <c r="M5" s="44">
        <v>3532</v>
      </c>
      <c r="N5" s="44">
        <v>1.41</v>
      </c>
    </row>
    <row r="6" spans="1:21" ht="13.6" customHeight="1">
      <c r="A6" s="42" t="s">
        <v>29</v>
      </c>
      <c r="B6" s="50">
        <v>4435.3863000000001</v>
      </c>
      <c r="C6" s="44">
        <v>2416.14</v>
      </c>
      <c r="D6" s="44">
        <v>1724.88</v>
      </c>
      <c r="E6" s="44">
        <v>178.65</v>
      </c>
      <c r="F6" s="44">
        <v>115.7163</v>
      </c>
      <c r="H6" s="42" t="s">
        <v>29</v>
      </c>
      <c r="I6" s="50">
        <v>18365</v>
      </c>
      <c r="J6" s="44">
        <v>8125.66</v>
      </c>
      <c r="K6" s="44">
        <v>1903</v>
      </c>
      <c r="L6" s="44">
        <v>7729.3</v>
      </c>
      <c r="M6" s="44">
        <v>5329</v>
      </c>
      <c r="N6" s="44">
        <v>4.1500000000000004</v>
      </c>
      <c r="P6" s="70" t="s">
        <v>82</v>
      </c>
      <c r="Q6" s="70"/>
      <c r="R6" s="70"/>
      <c r="S6" s="70"/>
      <c r="T6" s="70"/>
      <c r="U6" s="70"/>
    </row>
    <row r="7" spans="1:21" ht="13.6" customHeight="1">
      <c r="A7" s="42" t="s">
        <v>30</v>
      </c>
      <c r="B7" s="50">
        <v>5628.4</v>
      </c>
      <c r="C7" s="44">
        <v>2612.63</v>
      </c>
      <c r="D7" s="44">
        <v>2620.3200000000002</v>
      </c>
      <c r="E7" s="44">
        <v>164.91</v>
      </c>
      <c r="F7" s="44">
        <v>230.48</v>
      </c>
      <c r="H7" s="42" t="s">
        <v>30</v>
      </c>
      <c r="I7" s="50">
        <v>26208</v>
      </c>
      <c r="J7" s="44">
        <v>10622.38</v>
      </c>
      <c r="K7" s="44">
        <v>3358.1</v>
      </c>
      <c r="L7" s="44">
        <v>11591.9</v>
      </c>
      <c r="M7" s="44">
        <v>8140.86</v>
      </c>
      <c r="N7" s="44">
        <v>8.18</v>
      </c>
      <c r="P7" s="66"/>
      <c r="Q7" s="66"/>
      <c r="R7" s="66" t="s">
        <v>20</v>
      </c>
      <c r="S7" s="66" t="s">
        <v>21</v>
      </c>
      <c r="T7" s="66" t="s">
        <v>22</v>
      </c>
      <c r="U7" s="66" t="s">
        <v>80</v>
      </c>
    </row>
    <row r="8" spans="1:21" ht="13.6" customHeight="1">
      <c r="A8" s="42" t="s">
        <v>31</v>
      </c>
      <c r="B8" s="50">
        <v>6178.3</v>
      </c>
      <c r="C8" s="44">
        <v>2828.1</v>
      </c>
      <c r="D8" s="44">
        <v>2871.74</v>
      </c>
      <c r="E8" s="44">
        <v>177.2</v>
      </c>
      <c r="F8" s="44">
        <v>301.32</v>
      </c>
      <c r="H8" s="42" t="s">
        <v>31</v>
      </c>
      <c r="I8" s="50">
        <v>27987</v>
      </c>
      <c r="J8" s="44">
        <v>10972</v>
      </c>
      <c r="K8" s="44">
        <v>3428</v>
      </c>
      <c r="L8" s="44">
        <v>12955.4</v>
      </c>
      <c r="M8" s="44">
        <v>8990.4</v>
      </c>
      <c r="N8" s="44">
        <v>10.1</v>
      </c>
      <c r="P8" s="66"/>
      <c r="Q8" s="66"/>
      <c r="R8" s="66"/>
      <c r="S8" s="66"/>
      <c r="T8" s="66"/>
      <c r="U8" s="66"/>
    </row>
    <row r="9" spans="1:21" ht="13.6" customHeight="1">
      <c r="A9" s="42" t="s">
        <v>32</v>
      </c>
      <c r="B9" s="50">
        <v>6949.4</v>
      </c>
      <c r="C9" s="44">
        <v>3152.24</v>
      </c>
      <c r="D9" s="44">
        <v>3192.64</v>
      </c>
      <c r="E9" s="44">
        <v>198.35</v>
      </c>
      <c r="F9" s="44">
        <v>406.12</v>
      </c>
      <c r="H9" s="42" t="s">
        <v>32</v>
      </c>
      <c r="I9" s="50">
        <v>29218</v>
      </c>
      <c r="J9" s="44">
        <v>11575.55</v>
      </c>
      <c r="K9" s="44">
        <v>3755.39</v>
      </c>
      <c r="L9" s="44">
        <v>13256.2</v>
      </c>
      <c r="M9" s="44">
        <v>9034</v>
      </c>
      <c r="N9" s="44">
        <v>13.42</v>
      </c>
      <c r="P9" s="65" t="s">
        <v>81</v>
      </c>
      <c r="Q9" s="54">
        <v>2019</v>
      </c>
      <c r="R9" s="55">
        <v>1</v>
      </c>
      <c r="S9" s="55">
        <v>1</v>
      </c>
      <c r="T9" s="55">
        <v>1</v>
      </c>
      <c r="U9" s="55">
        <v>1</v>
      </c>
    </row>
    <row r="10" spans="1:21" ht="13.6" customHeight="1">
      <c r="A10" s="42" t="s">
        <v>33</v>
      </c>
      <c r="B10" s="50">
        <v>7858</v>
      </c>
      <c r="C10" s="44">
        <v>3483.3</v>
      </c>
      <c r="D10" s="44">
        <v>3700.7</v>
      </c>
      <c r="E10" s="44">
        <v>196.4</v>
      </c>
      <c r="F10" s="44">
        <v>477.6</v>
      </c>
      <c r="H10" s="42" t="s">
        <v>33</v>
      </c>
      <c r="I10" s="50">
        <v>30646.81</v>
      </c>
      <c r="J10" s="44">
        <v>12090.9</v>
      </c>
      <c r="K10" s="44">
        <v>4070.5</v>
      </c>
      <c r="L10" s="44">
        <v>13860.8</v>
      </c>
      <c r="M10" s="44">
        <v>9133.9</v>
      </c>
      <c r="N10" s="44">
        <v>16.61</v>
      </c>
      <c r="P10" s="65"/>
      <c r="Q10" s="54">
        <v>2020</v>
      </c>
      <c r="R10" s="55">
        <f t="shared" ref="R10:U12" si="0">C37/C$36</f>
        <v>0.56207349081364832</v>
      </c>
      <c r="S10" s="55">
        <f t="shared" si="0"/>
        <v>0.52398753542355847</v>
      </c>
      <c r="T10" s="55">
        <f t="shared" si="0"/>
        <v>0.41134663341645888</v>
      </c>
      <c r="U10" s="55">
        <f t="shared" si="0"/>
        <v>0.53919060922162132</v>
      </c>
    </row>
    <row r="11" spans="1:21" ht="13.6" customHeight="1">
      <c r="A11" s="42" t="s">
        <v>34</v>
      </c>
      <c r="B11" s="50">
        <v>8591.4</v>
      </c>
      <c r="C11" s="44">
        <v>3636</v>
      </c>
      <c r="D11" s="44">
        <v>4220.3</v>
      </c>
      <c r="E11" s="44">
        <v>183.5</v>
      </c>
      <c r="F11" s="44">
        <v>551.58000000000004</v>
      </c>
      <c r="H11" s="42" t="s">
        <v>34</v>
      </c>
      <c r="I11" s="50">
        <v>33435.480000000003</v>
      </c>
      <c r="J11" s="44">
        <v>12632</v>
      </c>
      <c r="K11" s="44">
        <v>4486.3</v>
      </c>
      <c r="L11" s="44">
        <v>15686.6</v>
      </c>
      <c r="M11" s="44">
        <v>10267.700000000001</v>
      </c>
      <c r="N11" s="44">
        <v>18.579999999999998</v>
      </c>
      <c r="P11" s="65"/>
      <c r="Q11" s="54">
        <v>2021</v>
      </c>
      <c r="R11" s="55">
        <f t="shared" si="0"/>
        <v>0.6505793317286116</v>
      </c>
      <c r="S11" s="55">
        <f t="shared" si="0"/>
        <v>0.4095629494981427</v>
      </c>
      <c r="T11" s="55">
        <f t="shared" si="0"/>
        <v>0.41284289276807978</v>
      </c>
      <c r="U11" s="55">
        <f t="shared" si="0"/>
        <v>0.55784914268139529</v>
      </c>
    </row>
    <row r="12" spans="1:21" ht="13.6" customHeight="1">
      <c r="A12" s="42" t="s">
        <v>35</v>
      </c>
      <c r="B12" s="50">
        <v>9001.9</v>
      </c>
      <c r="C12" s="44">
        <v>3545.7</v>
      </c>
      <c r="D12" s="44">
        <v>4603.1000000000004</v>
      </c>
      <c r="E12" s="44">
        <v>171.8</v>
      </c>
      <c r="F12" s="44">
        <v>681.3</v>
      </c>
      <c r="H12" s="42" t="s">
        <v>35</v>
      </c>
      <c r="I12" s="50">
        <v>35908.9</v>
      </c>
      <c r="J12" s="44">
        <v>13049.48</v>
      </c>
      <c r="K12" s="44">
        <v>4694.8999999999996</v>
      </c>
      <c r="L12" s="44">
        <v>17552.2</v>
      </c>
      <c r="M12" s="44">
        <v>11938</v>
      </c>
      <c r="N12" s="44">
        <v>22.3</v>
      </c>
      <c r="P12" s="65"/>
      <c r="Q12" s="54">
        <v>2022</v>
      </c>
      <c r="R12" s="55">
        <f t="shared" si="0"/>
        <v>0.44725021418954752</v>
      </c>
      <c r="S12" s="55">
        <f t="shared" si="0"/>
        <v>0.271820584615732</v>
      </c>
      <c r="T12" s="55">
        <f t="shared" si="0"/>
        <v>0.28182418952618454</v>
      </c>
      <c r="U12" s="55">
        <f t="shared" si="0"/>
        <v>0.33435852747947475</v>
      </c>
    </row>
    <row r="13" spans="1:21" ht="13.6" customHeight="1">
      <c r="A13" s="42" t="s">
        <v>36</v>
      </c>
      <c r="B13" s="50">
        <v>9164.7999999999993</v>
      </c>
      <c r="C13" s="44">
        <v>3347.6</v>
      </c>
      <c r="D13" s="44">
        <v>4908.79</v>
      </c>
      <c r="E13" s="44">
        <v>160.57</v>
      </c>
      <c r="F13" s="44">
        <v>747.84</v>
      </c>
      <c r="H13" s="42" t="s">
        <v>36</v>
      </c>
      <c r="I13" s="50">
        <v>36589.800000000003</v>
      </c>
      <c r="J13" s="44">
        <v>13106.2</v>
      </c>
      <c r="K13" s="44">
        <v>5011.2</v>
      </c>
      <c r="L13" s="44">
        <v>17862.5</v>
      </c>
      <c r="M13" s="44">
        <v>11254</v>
      </c>
      <c r="N13" s="44">
        <v>24.93</v>
      </c>
      <c r="P13" s="65" t="s">
        <v>83</v>
      </c>
      <c r="Q13" s="54">
        <v>2019</v>
      </c>
      <c r="R13" s="55">
        <v>1</v>
      </c>
      <c r="S13" s="55">
        <v>1</v>
      </c>
      <c r="T13" s="55">
        <v>1</v>
      </c>
      <c r="U13" s="55">
        <v>1</v>
      </c>
    </row>
    <row r="14" spans="1:21" ht="13.6" customHeight="1">
      <c r="A14" s="42" t="s">
        <v>37</v>
      </c>
      <c r="B14" s="50">
        <v>10055.48</v>
      </c>
      <c r="C14" s="44">
        <v>3584.86</v>
      </c>
      <c r="D14" s="44">
        <v>5541.4</v>
      </c>
      <c r="E14" s="44">
        <v>155.69999999999999</v>
      </c>
      <c r="F14" s="44">
        <v>773.52</v>
      </c>
      <c r="H14" s="42" t="s">
        <v>37</v>
      </c>
      <c r="I14" s="50">
        <v>38384.699999999997</v>
      </c>
      <c r="J14" s="44">
        <v>13269.9</v>
      </c>
      <c r="K14" s="44">
        <v>5271.5</v>
      </c>
      <c r="L14" s="44">
        <v>19235</v>
      </c>
      <c r="M14" s="44">
        <v>14874.7</v>
      </c>
      <c r="N14" s="44">
        <v>29.1</v>
      </c>
      <c r="P14" s="65"/>
      <c r="Q14" s="54">
        <v>2020</v>
      </c>
      <c r="R14" s="55">
        <f t="shared" ref="R14:T16" si="1">J37/J$36</f>
        <v>1.0110168494746032</v>
      </c>
      <c r="S14" s="55">
        <f t="shared" si="1"/>
        <v>1.0089787460307373</v>
      </c>
      <c r="T14" s="55">
        <f t="shared" si="1"/>
        <v>1.0180006279154592</v>
      </c>
      <c r="U14" s="55">
        <f>N37/N$36</f>
        <v>0.91261398176291797</v>
      </c>
    </row>
    <row r="15" spans="1:21" ht="13.6" customHeight="1">
      <c r="A15" s="42" t="s">
        <v>38</v>
      </c>
      <c r="B15" s="50">
        <v>10636.7</v>
      </c>
      <c r="C15" s="44">
        <v>3773.42</v>
      </c>
      <c r="D15" s="44">
        <v>5942.81</v>
      </c>
      <c r="E15" s="44">
        <v>120.27</v>
      </c>
      <c r="F15" s="44">
        <v>800.24</v>
      </c>
      <c r="H15" s="42" t="s">
        <v>38</v>
      </c>
      <c r="I15" s="50">
        <v>38088.699999999997</v>
      </c>
      <c r="J15" s="44">
        <v>12560.1</v>
      </c>
      <c r="K15" s="44">
        <v>5483.38</v>
      </c>
      <c r="L15" s="44">
        <v>19405.8</v>
      </c>
      <c r="M15" s="44">
        <v>14920.28</v>
      </c>
      <c r="N15" s="44">
        <v>33.450000000000003</v>
      </c>
      <c r="P15" s="65"/>
      <c r="Q15" s="54">
        <v>2021</v>
      </c>
      <c r="R15" s="55">
        <f t="shared" si="1"/>
        <v>1.1012542264499146</v>
      </c>
      <c r="S15" s="55">
        <f t="shared" si="1"/>
        <v>1.1584814238420533</v>
      </c>
      <c r="T15" s="55">
        <f t="shared" si="1"/>
        <v>1.111717298763099</v>
      </c>
      <c r="U15" s="55">
        <f>N38/N$36</f>
        <v>1.0568389057750762</v>
      </c>
    </row>
    <row r="16" spans="1:21" ht="13.6" customHeight="1">
      <c r="A16" s="42" t="s">
        <v>39</v>
      </c>
      <c r="B16" s="50">
        <v>11299.7</v>
      </c>
      <c r="C16" s="44">
        <v>4135.8999999999996</v>
      </c>
      <c r="D16" s="44">
        <v>6199.24</v>
      </c>
      <c r="E16" s="44">
        <v>107.28</v>
      </c>
      <c r="F16" s="44">
        <v>857.3</v>
      </c>
      <c r="H16" s="42" t="s">
        <v>39</v>
      </c>
      <c r="I16" s="50">
        <v>40567.800000000003</v>
      </c>
      <c r="J16" s="44">
        <v>12910.3</v>
      </c>
      <c r="K16" s="44">
        <v>5724.3</v>
      </c>
      <c r="L16" s="44">
        <v>21262.799999999999</v>
      </c>
      <c r="M16" s="44">
        <v>17014.400000000001</v>
      </c>
      <c r="N16" s="44">
        <v>42.34</v>
      </c>
      <c r="P16" s="65"/>
      <c r="Q16" s="54">
        <v>2022</v>
      </c>
      <c r="R16" s="55">
        <f t="shared" si="1"/>
        <v>1.1909664551163859</v>
      </c>
      <c r="S16" s="55">
        <f t="shared" si="1"/>
        <v>1.1579848729944922</v>
      </c>
      <c r="T16" s="55">
        <f t="shared" si="1"/>
        <v>1.1639053398207673</v>
      </c>
      <c r="U16" s="55">
        <f>N39/N$36</f>
        <v>0.96542553191489366</v>
      </c>
    </row>
    <row r="17" spans="1:23" ht="13.6" customHeight="1">
      <c r="A17" s="42" t="s">
        <v>40</v>
      </c>
      <c r="B17" s="50">
        <v>12261.1</v>
      </c>
      <c r="C17" s="44">
        <v>4532.59</v>
      </c>
      <c r="D17" s="44">
        <v>6657.42</v>
      </c>
      <c r="E17" s="44">
        <v>100.54</v>
      </c>
      <c r="F17" s="44">
        <v>970.54</v>
      </c>
      <c r="H17" s="42" t="s">
        <v>40</v>
      </c>
      <c r="I17" s="50">
        <v>44320.5</v>
      </c>
      <c r="J17" s="44">
        <v>13770.49</v>
      </c>
      <c r="K17" s="44">
        <v>6129.4</v>
      </c>
      <c r="L17" s="44">
        <v>23734.2</v>
      </c>
      <c r="M17" s="44">
        <v>17073</v>
      </c>
      <c r="N17" s="44">
        <v>50.27</v>
      </c>
    </row>
    <row r="18" spans="1:23" ht="13.6" customHeight="1">
      <c r="A18" s="42" t="s">
        <v>41</v>
      </c>
      <c r="B18" s="50">
        <v>13155.13</v>
      </c>
      <c r="C18" s="44">
        <v>4766.82</v>
      </c>
      <c r="D18" s="44">
        <v>7207.08</v>
      </c>
      <c r="E18" s="44">
        <v>89.88</v>
      </c>
      <c r="F18" s="44">
        <v>1091.3499999999999</v>
      </c>
      <c r="H18" s="42" t="s">
        <v>41</v>
      </c>
      <c r="I18" s="50">
        <v>47709.9</v>
      </c>
      <c r="J18" s="44">
        <v>14694.1</v>
      </c>
      <c r="K18" s="44">
        <v>6330.4</v>
      </c>
      <c r="L18" s="44">
        <v>25988.9</v>
      </c>
      <c r="M18" s="44">
        <v>20873</v>
      </c>
      <c r="N18" s="44">
        <v>43.72</v>
      </c>
    </row>
    <row r="19" spans="1:23" ht="13.6" customHeight="1">
      <c r="A19" s="42" t="s">
        <v>42</v>
      </c>
      <c r="B19" s="50">
        <v>14125.6</v>
      </c>
      <c r="C19" s="44">
        <v>4969.3999999999996</v>
      </c>
      <c r="D19" s="44">
        <v>7805.8</v>
      </c>
      <c r="E19" s="44">
        <v>81.8</v>
      </c>
      <c r="F19" s="44">
        <v>1268.7</v>
      </c>
      <c r="H19" s="42" t="s">
        <v>42</v>
      </c>
      <c r="I19" s="50">
        <v>50685.9</v>
      </c>
      <c r="J19" s="44">
        <v>15658.4</v>
      </c>
      <c r="K19" s="44">
        <v>6782.5</v>
      </c>
      <c r="L19" s="44">
        <v>27510.6</v>
      </c>
      <c r="M19" s="44">
        <v>21733</v>
      </c>
      <c r="N19" s="44">
        <v>51.55</v>
      </c>
      <c r="P19" s="56"/>
      <c r="Q19" s="65" t="s">
        <v>81</v>
      </c>
      <c r="R19" s="65"/>
      <c r="S19" s="65"/>
      <c r="T19" s="65"/>
      <c r="U19" s="65"/>
      <c r="V19" s="65"/>
    </row>
    <row r="20" spans="1:23" ht="13.6" customHeight="1">
      <c r="A20" s="42" t="s">
        <v>43</v>
      </c>
      <c r="B20" s="50">
        <v>13810.5</v>
      </c>
      <c r="C20" s="44">
        <v>4788.6099999999997</v>
      </c>
      <c r="D20" s="44">
        <v>7695.6</v>
      </c>
      <c r="E20" s="44">
        <v>63.1</v>
      </c>
      <c r="F20" s="44">
        <v>1263.19</v>
      </c>
      <c r="H20" s="42" t="s">
        <v>43</v>
      </c>
      <c r="I20" s="50">
        <v>53859.199999999997</v>
      </c>
      <c r="J20" s="44">
        <v>17246.7</v>
      </c>
      <c r="K20" s="44">
        <v>7099.4755999999998</v>
      </c>
      <c r="L20" s="44">
        <v>28715.8</v>
      </c>
      <c r="M20" s="44">
        <v>22304.77</v>
      </c>
      <c r="N20" s="44">
        <v>57.9</v>
      </c>
      <c r="P20" s="56"/>
      <c r="Q20" s="55"/>
      <c r="R20" s="55"/>
      <c r="S20" s="54">
        <v>2019</v>
      </c>
      <c r="T20" s="54">
        <v>2020</v>
      </c>
      <c r="U20" s="54">
        <v>2021</v>
      </c>
      <c r="V20" s="54">
        <v>2022</v>
      </c>
      <c r="W20" s="54">
        <v>2023</v>
      </c>
    </row>
    <row r="21" spans="1:23" ht="13.6" customHeight="1">
      <c r="A21" s="42" t="s">
        <v>44</v>
      </c>
      <c r="B21" s="50">
        <v>16309.1</v>
      </c>
      <c r="C21" s="44">
        <v>5712.2</v>
      </c>
      <c r="D21" s="44">
        <v>8748.4</v>
      </c>
      <c r="E21" s="44">
        <v>66.3</v>
      </c>
      <c r="F21" s="44">
        <v>1782.3</v>
      </c>
      <c r="H21" s="42" t="s">
        <v>44</v>
      </c>
      <c r="I21" s="50">
        <v>69445</v>
      </c>
      <c r="J21" s="44">
        <v>19288.8</v>
      </c>
      <c r="K21" s="44">
        <v>7840.9</v>
      </c>
      <c r="L21" s="44">
        <v>41428.699999999997</v>
      </c>
      <c r="M21" s="44">
        <v>32255</v>
      </c>
      <c r="N21" s="44">
        <v>71.8</v>
      </c>
      <c r="P21" s="56"/>
      <c r="Q21" s="66" t="s">
        <v>20</v>
      </c>
      <c r="R21" s="66"/>
      <c r="S21" s="55" cm="1">
        <f t="array" ref="S21:V24">TRANSPOSE(R9:U12)</f>
        <v>1</v>
      </c>
      <c r="T21" s="55">
        <v>0.56207349081364832</v>
      </c>
      <c r="U21" s="55">
        <v>0.6505793317286116</v>
      </c>
      <c r="V21" s="55">
        <v>0.44725021418954752</v>
      </c>
      <c r="W21" s="55">
        <f>(1-V21)*0.85+V21</f>
        <v>0.91708753212843208</v>
      </c>
    </row>
    <row r="22" spans="1:23" ht="13.6" customHeight="1">
      <c r="A22" s="42" t="s">
        <v>45</v>
      </c>
      <c r="B22" s="50">
        <v>17466.740000000002</v>
      </c>
      <c r="C22" s="44">
        <v>6061.96</v>
      </c>
      <c r="D22" s="44">
        <v>9292.08</v>
      </c>
      <c r="E22" s="44">
        <v>67.77</v>
      </c>
      <c r="F22" s="44">
        <v>2044.93</v>
      </c>
      <c r="H22" s="42" t="s">
        <v>45</v>
      </c>
      <c r="I22" s="50">
        <v>80258.100000000006</v>
      </c>
      <c r="J22" s="44">
        <v>20726</v>
      </c>
      <c r="K22" s="44">
        <v>8693.2000000000007</v>
      </c>
      <c r="L22" s="44">
        <v>49672.3</v>
      </c>
      <c r="M22" s="44">
        <v>38552</v>
      </c>
      <c r="N22" s="44">
        <v>78.900000000000006</v>
      </c>
      <c r="P22" s="56"/>
      <c r="Q22" s="66" t="s">
        <v>21</v>
      </c>
      <c r="R22" s="66"/>
      <c r="S22" s="55">
        <v>1</v>
      </c>
      <c r="T22" s="55">
        <v>0.52398753542355847</v>
      </c>
      <c r="U22" s="55">
        <v>0.4095629494981427</v>
      </c>
      <c r="V22" s="55">
        <v>0.271820584615732</v>
      </c>
      <c r="W22" s="55">
        <f t="shared" ref="W22:W24" si="2">(1-V22)*0.85+V22</f>
        <v>0.89077308769235974</v>
      </c>
    </row>
    <row r="23" spans="1:23" ht="13.6" customHeight="1">
      <c r="A23" s="42" t="s">
        <v>46</v>
      </c>
      <c r="B23" s="50">
        <v>19197.210515000002</v>
      </c>
      <c r="C23" s="44">
        <v>6622.1222100000005</v>
      </c>
      <c r="D23" s="44">
        <v>10130.845799999999</v>
      </c>
      <c r="E23" s="44">
        <v>73.582499999999996</v>
      </c>
      <c r="F23" s="44">
        <v>2370.6600050000002</v>
      </c>
      <c r="H23" s="42" t="s">
        <v>46</v>
      </c>
      <c r="I23" s="50">
        <v>88839.850695310888</v>
      </c>
      <c r="J23" s="44">
        <v>21954.41</v>
      </c>
      <c r="K23" s="44">
        <v>9754.2476000000006</v>
      </c>
      <c r="L23" s="44">
        <v>55485.749499999998</v>
      </c>
      <c r="M23" s="44">
        <v>42577.299599999998</v>
      </c>
      <c r="N23" s="44">
        <v>94.275260000000003</v>
      </c>
      <c r="P23" s="56"/>
      <c r="Q23" s="66" t="s">
        <v>22</v>
      </c>
      <c r="R23" s="66"/>
      <c r="S23" s="55">
        <v>1</v>
      </c>
      <c r="T23" s="55">
        <v>0.41134663341645888</v>
      </c>
      <c r="U23" s="55">
        <v>0.41284289276807978</v>
      </c>
      <c r="V23" s="55">
        <v>0.28182418952618454</v>
      </c>
      <c r="W23" s="55">
        <f t="shared" si="2"/>
        <v>0.89227362842892766</v>
      </c>
    </row>
    <row r="24" spans="1:23" ht="13.6" customHeight="1">
      <c r="A24" s="42" t="s">
        <v>47</v>
      </c>
      <c r="B24" s="50">
        <v>21592.580858000001</v>
      </c>
      <c r="C24" s="44">
        <v>7216.31</v>
      </c>
      <c r="D24" s="44">
        <v>11506.766799999999</v>
      </c>
      <c r="E24" s="44">
        <v>77.778300000000002</v>
      </c>
      <c r="F24" s="44">
        <v>2791.725758</v>
      </c>
      <c r="H24" s="42" t="s">
        <v>47</v>
      </c>
      <c r="I24" s="50">
        <v>101418.81119221887</v>
      </c>
      <c r="J24" s="44">
        <v>23797</v>
      </c>
      <c r="K24" s="44">
        <v>11354.6872</v>
      </c>
      <c r="L24" s="44">
        <v>64284.845999999998</v>
      </c>
      <c r="M24" s="44">
        <v>48685.894099999998</v>
      </c>
      <c r="N24" s="44">
        <v>116.386674</v>
      </c>
      <c r="P24" s="56"/>
      <c r="Q24" s="66" t="s">
        <v>80</v>
      </c>
      <c r="R24" s="66"/>
      <c r="S24" s="55">
        <v>1</v>
      </c>
      <c r="T24" s="55">
        <v>0.53919060922162132</v>
      </c>
      <c r="U24" s="55">
        <v>0.55784914268139529</v>
      </c>
      <c r="V24" s="55">
        <v>0.33435852747947475</v>
      </c>
      <c r="W24" s="55">
        <f t="shared" si="2"/>
        <v>0.90015377912192118</v>
      </c>
    </row>
    <row r="25" spans="1:23" ht="13.6" customHeight="1">
      <c r="A25" s="42">
        <v>2008</v>
      </c>
      <c r="B25" s="50">
        <v>23196.698389099998</v>
      </c>
      <c r="C25" s="44">
        <v>7778.6045560999992</v>
      </c>
      <c r="D25" s="44">
        <v>12476.1149</v>
      </c>
      <c r="E25" s="44">
        <v>59.179600000000001</v>
      </c>
      <c r="F25" s="44">
        <v>2882.7993329999999</v>
      </c>
      <c r="H25" s="42">
        <v>2008</v>
      </c>
      <c r="I25" s="50">
        <v>110300</v>
      </c>
      <c r="J25" s="44">
        <v>25106.281709408857</v>
      </c>
      <c r="K25" s="44">
        <v>32868.186099999999</v>
      </c>
      <c r="L25" s="44">
        <v>50262.704499999985</v>
      </c>
      <c r="M25" s="44">
        <v>32851</v>
      </c>
      <c r="N25" s="44">
        <v>119.602272</v>
      </c>
      <c r="Q25" s="65" t="s">
        <v>83</v>
      </c>
      <c r="R25" s="65"/>
      <c r="S25" s="65"/>
      <c r="T25" s="65"/>
      <c r="U25" s="65"/>
      <c r="V25" s="65"/>
    </row>
    <row r="26" spans="1:23" ht="13.6" customHeight="1">
      <c r="A26" s="42">
        <v>2009</v>
      </c>
      <c r="B26" s="50">
        <v>24834.941581999999</v>
      </c>
      <c r="C26" s="44">
        <v>7878.8885200000004</v>
      </c>
      <c r="D26" s="44">
        <v>13511.4375</v>
      </c>
      <c r="E26" s="44">
        <v>69.380200000000002</v>
      </c>
      <c r="F26" s="44">
        <v>3375.2353619999999</v>
      </c>
      <c r="H26" s="42">
        <v>2009</v>
      </c>
      <c r="I26" s="50">
        <v>122133.31260377038</v>
      </c>
      <c r="J26" s="44">
        <v>25239.169239999999</v>
      </c>
      <c r="K26" s="44">
        <v>37188.820500000002</v>
      </c>
      <c r="L26" s="44">
        <v>57556.672200000001</v>
      </c>
      <c r="M26" s="44">
        <v>39524</v>
      </c>
      <c r="N26" s="44">
        <v>126.23070199999999</v>
      </c>
      <c r="S26" s="54">
        <v>2019</v>
      </c>
      <c r="T26" s="54">
        <v>2020</v>
      </c>
      <c r="U26" s="54">
        <v>2021</v>
      </c>
      <c r="V26" s="54">
        <v>2022</v>
      </c>
    </row>
    <row r="27" spans="1:23" ht="13.6" customHeight="1">
      <c r="A27" s="42">
        <v>2010</v>
      </c>
      <c r="B27" s="50">
        <v>27894.256617999999</v>
      </c>
      <c r="C27" s="44">
        <v>8762.1782600000006</v>
      </c>
      <c r="D27" s="44">
        <v>15020.8123</v>
      </c>
      <c r="E27" s="44">
        <v>72.270099999999999</v>
      </c>
      <c r="F27" s="44">
        <v>4038.995958</v>
      </c>
      <c r="H27" s="42">
        <v>2010</v>
      </c>
      <c r="I27" s="50">
        <v>141837.42298932042</v>
      </c>
      <c r="J27" s="44">
        <v>27644.133169999997</v>
      </c>
      <c r="K27" s="44">
        <v>43389.672100000003</v>
      </c>
      <c r="L27" s="44">
        <v>68427.526400000002</v>
      </c>
      <c r="M27" s="44">
        <v>45999</v>
      </c>
      <c r="N27" s="44">
        <v>178.89815999999999</v>
      </c>
      <c r="Q27" s="66" t="s">
        <v>20</v>
      </c>
      <c r="R27" s="66"/>
      <c r="S27" s="55" cm="1">
        <f t="array" ref="S27:V30">TRANSPOSE(R13:U16)</f>
        <v>1</v>
      </c>
      <c r="T27" s="55">
        <v>1.0110168494746032</v>
      </c>
      <c r="U27" s="55">
        <v>1.1012542264499146</v>
      </c>
      <c r="V27" s="55">
        <v>1.1909664551163859</v>
      </c>
    </row>
    <row r="28" spans="1:23" ht="13.6" customHeight="1">
      <c r="A28" s="42">
        <v>2011</v>
      </c>
      <c r="B28" s="50">
        <v>30984.03</v>
      </c>
      <c r="C28" s="44">
        <v>9612.2935529999995</v>
      </c>
      <c r="D28" s="44">
        <v>16760.246599999999</v>
      </c>
      <c r="E28" s="44">
        <v>74.528499999999994</v>
      </c>
      <c r="F28" s="44">
        <v>4536.9629000000004</v>
      </c>
      <c r="H28" s="42">
        <v>2011</v>
      </c>
      <c r="I28" s="50">
        <v>159323.6</v>
      </c>
      <c r="J28" s="44">
        <v>29465.785199999998</v>
      </c>
      <c r="K28" s="44">
        <v>51374.740599999997</v>
      </c>
      <c r="L28" s="44">
        <v>75423.835800000001</v>
      </c>
      <c r="M28" s="44">
        <v>49355</v>
      </c>
      <c r="N28" s="44">
        <v>173.91</v>
      </c>
      <c r="Q28" s="66" t="s">
        <v>21</v>
      </c>
      <c r="R28" s="66"/>
      <c r="S28" s="55">
        <v>1</v>
      </c>
      <c r="T28" s="55">
        <v>1.0089787460307373</v>
      </c>
      <c r="U28" s="55">
        <v>1.1584814238420533</v>
      </c>
      <c r="V28" s="55">
        <v>1.1579848729944922</v>
      </c>
    </row>
    <row r="29" spans="1:23" ht="13.6" customHeight="1">
      <c r="A29" s="42">
        <v>2012</v>
      </c>
      <c r="B29" s="50">
        <v>33383.088894</v>
      </c>
      <c r="C29" s="44">
        <v>9812.3271799999984</v>
      </c>
      <c r="D29" s="44">
        <v>18467.545999999998</v>
      </c>
      <c r="E29" s="44">
        <v>77.479100000000003</v>
      </c>
      <c r="F29" s="44">
        <v>5025.7366140000004</v>
      </c>
      <c r="H29" s="42">
        <v>2012</v>
      </c>
      <c r="I29" s="50">
        <v>173804.46088564664</v>
      </c>
      <c r="J29" s="44">
        <v>29187.085950000001</v>
      </c>
      <c r="K29" s="44">
        <v>59534.864699999998</v>
      </c>
      <c r="L29" s="44">
        <v>81707.578899999993</v>
      </c>
      <c r="M29" s="44">
        <v>53412.1005</v>
      </c>
      <c r="N29" s="44">
        <v>163.88936200000001</v>
      </c>
      <c r="Q29" s="66" t="s">
        <v>22</v>
      </c>
      <c r="R29" s="66"/>
      <c r="S29" s="55">
        <v>1</v>
      </c>
      <c r="T29" s="55">
        <v>1.0180006279154592</v>
      </c>
      <c r="U29" s="55">
        <v>1.111717298763099</v>
      </c>
      <c r="V29" s="55">
        <v>1.1639053398207673</v>
      </c>
    </row>
    <row r="30" spans="1:23" ht="13.6" customHeight="1">
      <c r="A30" s="42">
        <v>2013</v>
      </c>
      <c r="B30" s="50">
        <v>27571.653741000002</v>
      </c>
      <c r="C30" s="44">
        <v>10595.61858</v>
      </c>
      <c r="D30" s="44">
        <v>11250.942999999999</v>
      </c>
      <c r="E30" s="44">
        <v>68.332599999999999</v>
      </c>
      <c r="F30" s="44">
        <v>5656.7595609999998</v>
      </c>
      <c r="H30" s="42">
        <v>2013</v>
      </c>
      <c r="I30" s="50">
        <v>168013.80016386535</v>
      </c>
      <c r="J30" s="44">
        <v>29173.890587900001</v>
      </c>
      <c r="K30" s="44">
        <v>55738.077499999999</v>
      </c>
      <c r="L30" s="44">
        <v>79435.650699999998</v>
      </c>
      <c r="M30" s="44">
        <v>48705.3681</v>
      </c>
      <c r="N30" s="44">
        <v>170.29181</v>
      </c>
      <c r="Q30" s="66" t="s">
        <v>80</v>
      </c>
      <c r="R30" s="66"/>
      <c r="S30" s="55">
        <v>1</v>
      </c>
      <c r="T30" s="55">
        <v>0.91261398176291797</v>
      </c>
      <c r="U30" s="55">
        <v>1.0568389057750762</v>
      </c>
      <c r="V30" s="55">
        <v>0.96542553191489366</v>
      </c>
    </row>
    <row r="31" spans="1:23" ht="13.6" customHeight="1">
      <c r="A31" s="42">
        <v>2014</v>
      </c>
      <c r="B31" s="50">
        <v>28647.131570199999</v>
      </c>
      <c r="C31" s="44">
        <v>11241.85</v>
      </c>
      <c r="D31" s="44">
        <v>10996.75</v>
      </c>
      <c r="E31" s="44">
        <v>74.34129320000001</v>
      </c>
      <c r="F31" s="44">
        <v>6334.1902770000006</v>
      </c>
      <c r="H31" s="42">
        <v>2014</v>
      </c>
      <c r="I31" s="50">
        <v>181667.69256484584</v>
      </c>
      <c r="J31" s="44">
        <v>27530.190435086311</v>
      </c>
      <c r="K31" s="44">
        <v>56846.9</v>
      </c>
      <c r="L31" s="44">
        <v>92774.555574499987</v>
      </c>
      <c r="M31" s="44">
        <v>55935.0625</v>
      </c>
      <c r="N31" s="44">
        <v>187.771491</v>
      </c>
    </row>
    <row r="32" spans="1:23" ht="13.6" customHeight="1">
      <c r="A32" s="42">
        <v>2015</v>
      </c>
      <c r="B32" s="50">
        <v>30058.898099999999</v>
      </c>
      <c r="C32" s="44">
        <v>11960.604300000001</v>
      </c>
      <c r="D32" s="44">
        <v>10742.6585</v>
      </c>
      <c r="E32" s="44">
        <v>73.084000000000003</v>
      </c>
      <c r="F32" s="44">
        <v>7282.5513000000001</v>
      </c>
      <c r="H32" s="42">
        <v>2015</v>
      </c>
      <c r="I32" s="50">
        <v>178355.90140000003</v>
      </c>
      <c r="J32" s="44">
        <v>23754.307799999999</v>
      </c>
      <c r="K32" s="44">
        <v>57955.724499999997</v>
      </c>
      <c r="L32" s="44">
        <v>91772.450700000001</v>
      </c>
      <c r="M32" s="44">
        <v>54236.093500000003</v>
      </c>
      <c r="N32" s="44">
        <v>208.06829999999999</v>
      </c>
    </row>
    <row r="33" spans="1:14" ht="13.6" customHeight="1">
      <c r="A33" s="42">
        <v>2016</v>
      </c>
      <c r="B33" s="50">
        <v>31258.462310399998</v>
      </c>
      <c r="C33" s="44">
        <v>12579.29334</v>
      </c>
      <c r="D33" s="44">
        <v>10228.707653489999</v>
      </c>
      <c r="E33" s="44">
        <v>72.326541910000003</v>
      </c>
      <c r="F33" s="44">
        <v>8378.1347750000004</v>
      </c>
      <c r="H33" s="42">
        <v>2016</v>
      </c>
      <c r="I33" s="50">
        <v>186629.47582635999</v>
      </c>
      <c r="J33" s="44">
        <v>23792.26195</v>
      </c>
      <c r="K33" s="44">
        <v>61080.096779</v>
      </c>
      <c r="L33" s="44">
        <v>97338.802260359997</v>
      </c>
      <c r="M33" s="44">
        <v>58074.6</v>
      </c>
      <c r="N33" s="44">
        <v>222.44933700000001</v>
      </c>
    </row>
    <row r="34" spans="1:14" ht="13.6" customHeight="1">
      <c r="A34" s="42">
        <v>2017</v>
      </c>
      <c r="B34" s="50">
        <v>32812.799787310003</v>
      </c>
      <c r="C34" s="44">
        <v>13456.92044</v>
      </c>
      <c r="D34" s="44">
        <v>9765.1794399999999</v>
      </c>
      <c r="E34" s="44">
        <v>77.664137310000001</v>
      </c>
      <c r="F34" s="44">
        <v>9513.0357700000004</v>
      </c>
      <c r="H34" s="42">
        <v>2017</v>
      </c>
      <c r="I34" s="50">
        <v>197372.64934682401</v>
      </c>
      <c r="J34" s="44">
        <v>26962.20392</v>
      </c>
      <c r="K34" s="44">
        <v>66771.515937040007</v>
      </c>
      <c r="L34" s="44">
        <v>98611.245935739993</v>
      </c>
      <c r="M34" s="44">
        <v>55083.857495930002</v>
      </c>
      <c r="N34" s="44">
        <v>243.55229499999999</v>
      </c>
    </row>
    <row r="35" spans="1:14" ht="13.6" customHeight="1">
      <c r="A35" s="42">
        <v>2018</v>
      </c>
      <c r="B35" s="50">
        <v>34218.151906239997</v>
      </c>
      <c r="C35" s="44">
        <v>14146.582490000001</v>
      </c>
      <c r="D35" s="44">
        <v>9279.6786059400001</v>
      </c>
      <c r="E35" s="44">
        <v>79.574191299999995</v>
      </c>
      <c r="F35" s="44">
        <v>10712.316618999999</v>
      </c>
      <c r="G35" s="21"/>
      <c r="H35" s="42">
        <v>2018</v>
      </c>
      <c r="I35" s="50">
        <v>204686.23705353271</v>
      </c>
      <c r="J35" s="44">
        <v>28820.985710000001</v>
      </c>
      <c r="K35" s="44">
        <v>71249.211932699996</v>
      </c>
      <c r="L35" s="44">
        <v>99052.815451589995</v>
      </c>
      <c r="M35" s="44">
        <v>51926.58</v>
      </c>
      <c r="N35" s="44">
        <v>262.49910699999998</v>
      </c>
    </row>
    <row r="36" spans="1:14" ht="13.6" customHeight="1">
      <c r="A36" s="45">
        <v>2019</v>
      </c>
      <c r="B36" s="51">
        <f>SUM(C36:F36)</f>
        <v>35349</v>
      </c>
      <c r="C36" s="46">
        <v>14706.6</v>
      </c>
      <c r="D36" s="46">
        <v>8857.1</v>
      </c>
      <c r="E36" s="46">
        <v>80.2</v>
      </c>
      <c r="F36" s="46">
        <v>11705.1</v>
      </c>
      <c r="G36" s="4"/>
      <c r="H36" s="45">
        <v>2019</v>
      </c>
      <c r="I36" s="51">
        <f>SUM(J36:N36)-M36</f>
        <v>194044.58000000002</v>
      </c>
      <c r="J36" s="46">
        <v>30181.95</v>
      </c>
      <c r="K36" s="46">
        <v>59636.39</v>
      </c>
      <c r="L36" s="46">
        <v>103963.04</v>
      </c>
      <c r="M36" s="46">
        <v>54057</v>
      </c>
      <c r="N36" s="46">
        <v>263.2</v>
      </c>
    </row>
    <row r="37" spans="1:14" ht="13.6" customHeight="1">
      <c r="A37" s="45">
        <v>2020</v>
      </c>
      <c r="B37" s="51">
        <f t="shared" ref="B37:B38" si="3">SUM(C37:F37)</f>
        <v>19251.47</v>
      </c>
      <c r="C37" s="47">
        <v>8266.19</v>
      </c>
      <c r="D37" s="47">
        <v>4641.01</v>
      </c>
      <c r="E37" s="47">
        <v>32.99</v>
      </c>
      <c r="F37" s="47">
        <v>6311.28</v>
      </c>
      <c r="G37" s="4"/>
      <c r="H37" s="42">
        <v>2020</v>
      </c>
      <c r="I37" s="51">
        <f t="shared" ref="I37:I39" si="4">SUM(J37:N37)-M37</f>
        <v>196760.95</v>
      </c>
      <c r="J37" s="47">
        <v>30514.46</v>
      </c>
      <c r="K37" s="47">
        <v>60171.85</v>
      </c>
      <c r="L37" s="47">
        <v>105834.44</v>
      </c>
      <c r="M37" s="47">
        <v>89897</v>
      </c>
      <c r="N37" s="47">
        <v>240.2</v>
      </c>
    </row>
    <row r="38" spans="1:14" ht="13.6" customHeight="1">
      <c r="A38" s="45">
        <v>2021</v>
      </c>
      <c r="B38" s="51">
        <f t="shared" si="3"/>
        <v>19758.14</v>
      </c>
      <c r="C38" s="47">
        <v>9567.81</v>
      </c>
      <c r="D38" s="47">
        <v>3627.54</v>
      </c>
      <c r="E38" s="48">
        <v>33.11</v>
      </c>
      <c r="F38" s="47">
        <v>6529.68</v>
      </c>
      <c r="G38" s="4"/>
      <c r="H38" s="42">
        <v>2021</v>
      </c>
      <c r="I38" s="51">
        <f t="shared" si="4"/>
        <v>218181.31999999995</v>
      </c>
      <c r="J38" s="47">
        <v>33238</v>
      </c>
      <c r="K38" s="47">
        <v>69087.649999999994</v>
      </c>
      <c r="L38" s="48">
        <v>115577.51</v>
      </c>
      <c r="M38" s="47">
        <v>97842</v>
      </c>
      <c r="N38" s="48">
        <v>278.16000000000003</v>
      </c>
    </row>
    <row r="39" spans="1:14" ht="13.6" customHeight="1">
      <c r="A39" s="45">
        <v>2022</v>
      </c>
      <c r="B39" s="43">
        <f>C39+D39+E39+F39</f>
        <v>12921.374400000001</v>
      </c>
      <c r="C39" s="52">
        <v>6577.53</v>
      </c>
      <c r="D39" s="52">
        <v>2407.5421000000001</v>
      </c>
      <c r="E39" s="52">
        <v>22.6023</v>
      </c>
      <c r="F39" s="52">
        <v>3913.7</v>
      </c>
      <c r="H39" s="42">
        <v>2022</v>
      </c>
      <c r="I39" s="43">
        <f t="shared" si="4"/>
        <v>226260.96490000002</v>
      </c>
      <c r="J39" s="52">
        <v>35945.69</v>
      </c>
      <c r="K39" s="52">
        <v>69058.037500000006</v>
      </c>
      <c r="L39" s="52">
        <v>121003.13740000001</v>
      </c>
      <c r="M39" s="52"/>
      <c r="N39" s="52">
        <v>254.1</v>
      </c>
    </row>
    <row r="40" spans="1:14" ht="13.6" customHeight="1">
      <c r="A40" s="49"/>
      <c r="B40" s="52"/>
      <c r="C40" s="52"/>
      <c r="D40" s="52"/>
      <c r="E40" s="52"/>
      <c r="F40" s="52"/>
      <c r="H40" s="49"/>
      <c r="I40" s="52"/>
      <c r="J40" s="52"/>
      <c r="K40" s="52"/>
      <c r="L40" s="52"/>
      <c r="M40" s="52"/>
      <c r="N40" s="49"/>
    </row>
    <row r="41" spans="1:14" ht="13.6" customHeight="1">
      <c r="A41" s="4"/>
      <c r="C41" s="4"/>
      <c r="E41" s="4"/>
      <c r="G41" s="4"/>
      <c r="H41" s="4"/>
      <c r="J41" s="4"/>
      <c r="L41" s="4"/>
    </row>
    <row r="42" spans="1:14" ht="13.6" customHeight="1">
      <c r="A42" s="4"/>
      <c r="B42" t="s">
        <v>64</v>
      </c>
      <c r="C42" s="4"/>
      <c r="E42" s="4"/>
      <c r="G42" s="4"/>
      <c r="H42" s="4"/>
      <c r="J42" s="4"/>
      <c r="L42" s="4"/>
    </row>
    <row r="43" spans="1:14" ht="13.6" customHeight="1">
      <c r="A43" s="4"/>
      <c r="B43" t="s">
        <v>68</v>
      </c>
      <c r="C43" s="4" t="s">
        <v>71</v>
      </c>
      <c r="D43" t="s">
        <v>70</v>
      </c>
      <c r="E43" s="4" t="s">
        <v>69</v>
      </c>
      <c r="F43" s="4" t="s">
        <v>71</v>
      </c>
      <c r="G43" s="4" t="s">
        <v>70</v>
      </c>
      <c r="H43" s="4"/>
      <c r="J43" s="4"/>
      <c r="L43" s="4"/>
    </row>
    <row r="44" spans="1:14" ht="13.6" customHeight="1">
      <c r="A44" s="4"/>
      <c r="B44" t="s">
        <v>66</v>
      </c>
      <c r="C44" s="4">
        <v>227300000</v>
      </c>
      <c r="D44">
        <v>1.67</v>
      </c>
      <c r="E44" s="4" t="s">
        <v>66</v>
      </c>
      <c r="F44">
        <v>22118027</v>
      </c>
      <c r="G44" s="4">
        <v>1.1399999999999999</v>
      </c>
      <c r="H44" s="4"/>
      <c r="J44" s="4"/>
      <c r="L44" s="4"/>
    </row>
    <row r="45" spans="1:14" ht="13.6" customHeight="1">
      <c r="A45" s="4"/>
      <c r="B45" t="s">
        <v>52</v>
      </c>
      <c r="C45" s="4">
        <v>2253000</v>
      </c>
      <c r="D45">
        <v>21.196137258578663</v>
      </c>
      <c r="E45" s="4" t="s">
        <v>52</v>
      </c>
      <c r="F45">
        <v>8308373</v>
      </c>
      <c r="G45" s="4">
        <v>10.83</v>
      </c>
      <c r="H45" s="4"/>
      <c r="J45" s="4"/>
      <c r="L45" s="4"/>
    </row>
    <row r="46" spans="1:14" ht="13.6" customHeight="1">
      <c r="A46" s="4"/>
      <c r="C46" s="4"/>
      <c r="E46" s="4"/>
      <c r="G46" s="4"/>
      <c r="H46" s="4"/>
      <c r="J46" s="4"/>
      <c r="L46" s="4"/>
    </row>
    <row r="47" spans="1:14" ht="13.6" customHeight="1">
      <c r="A47" s="4"/>
      <c r="B47" t="s">
        <v>72</v>
      </c>
      <c r="C47" s="4"/>
      <c r="E47" t="s">
        <v>72</v>
      </c>
      <c r="G47" s="4"/>
      <c r="H47" s="4"/>
      <c r="J47" s="4"/>
      <c r="L47" s="4"/>
    </row>
    <row r="48" spans="1:14" ht="13.6" customHeight="1">
      <c r="A48" s="4"/>
      <c r="B48" t="s">
        <v>66</v>
      </c>
      <c r="C48" s="4">
        <f>C44*D44</f>
        <v>379591000</v>
      </c>
      <c r="E48" t="s">
        <v>66</v>
      </c>
      <c r="F48">
        <f>F44*G44</f>
        <v>25214550.779999997</v>
      </c>
      <c r="G48" s="4"/>
    </row>
    <row r="49" spans="2:6" ht="13.6" customHeight="1">
      <c r="B49" t="s">
        <v>52</v>
      </c>
      <c r="C49" s="4">
        <f>C45*D45</f>
        <v>47754897.243577726</v>
      </c>
      <c r="E49" t="s">
        <v>52</v>
      </c>
      <c r="F49">
        <f>F45*G45</f>
        <v>89979679.590000004</v>
      </c>
    </row>
    <row r="51" spans="2:6" ht="13.6" customHeight="1">
      <c r="B51" t="s">
        <v>74</v>
      </c>
      <c r="E51" t="s">
        <v>76</v>
      </c>
    </row>
    <row r="52" spans="2:6" ht="13.6" customHeight="1">
      <c r="B52" t="s">
        <v>66</v>
      </c>
      <c r="C52">
        <f>C48/(C48+C49)</f>
        <v>0.88825235587471085</v>
      </c>
      <c r="E52" t="s">
        <v>66</v>
      </c>
      <c r="F52">
        <f>F48/(F48+F49)</f>
        <v>0.21888727151535026</v>
      </c>
    </row>
    <row r="53" spans="2:6" ht="13.6" customHeight="1">
      <c r="B53" t="s">
        <v>52</v>
      </c>
      <c r="C53">
        <f>1-C52</f>
        <v>0.11174764412528915</v>
      </c>
      <c r="E53" t="s">
        <v>52</v>
      </c>
      <c r="F53">
        <f>1-F52</f>
        <v>0.78111272848464974</v>
      </c>
    </row>
  </sheetData>
  <mergeCells count="32">
    <mergeCell ref="P9:P12"/>
    <mergeCell ref="P6:U6"/>
    <mergeCell ref="P7:Q8"/>
    <mergeCell ref="P13:P16"/>
    <mergeCell ref="U7:U8"/>
    <mergeCell ref="N2:N3"/>
    <mergeCell ref="F2:F3"/>
    <mergeCell ref="R7:R8"/>
    <mergeCell ref="S7:S8"/>
    <mergeCell ref="T7:T8"/>
    <mergeCell ref="I2:I3"/>
    <mergeCell ref="C2:C3"/>
    <mergeCell ref="A1:F1"/>
    <mergeCell ref="H1:M1"/>
    <mergeCell ref="J2:J3"/>
    <mergeCell ref="K2:K3"/>
    <mergeCell ref="L2:L3"/>
    <mergeCell ref="D2:D3"/>
    <mergeCell ref="E2:E3"/>
    <mergeCell ref="A2:A3"/>
    <mergeCell ref="B2:B3"/>
    <mergeCell ref="H2:H3"/>
    <mergeCell ref="Q19:V19"/>
    <mergeCell ref="Q21:R21"/>
    <mergeCell ref="Q22:R22"/>
    <mergeCell ref="Q23:R23"/>
    <mergeCell ref="Q24:R24"/>
    <mergeCell ref="Q25:V25"/>
    <mergeCell ref="Q27:R27"/>
    <mergeCell ref="Q28:R28"/>
    <mergeCell ref="Q29:R29"/>
    <mergeCell ref="Q30:R30"/>
  </mergeCells>
  <phoneticPr fontId="44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31EB3F-D67A-42BA-A5A6-940E289A7F13}">
  <dimension ref="A1:BY44"/>
  <sheetViews>
    <sheetView topLeftCell="A13" workbookViewId="0">
      <pane xSplit="3" topLeftCell="D1" activePane="topRight" state="frozen"/>
      <selection pane="topRight" activeCell="I35" sqref="I35"/>
    </sheetView>
  </sheetViews>
  <sheetFormatPr defaultRowHeight="12.9"/>
  <cols>
    <col min="3" max="3" width="18.375" bestFit="1" customWidth="1"/>
    <col min="5" max="5" width="9.5" customWidth="1"/>
    <col min="6" max="6" width="9.5" bestFit="1" customWidth="1"/>
    <col min="39" max="39" width="12" customWidth="1"/>
  </cols>
  <sheetData>
    <row r="1" spans="1:77" ht="14.3">
      <c r="A1" s="73" t="s">
        <v>25</v>
      </c>
      <c r="B1" s="74"/>
      <c r="C1" s="10" t="s">
        <v>1</v>
      </c>
      <c r="D1" s="22" t="s">
        <v>27</v>
      </c>
      <c r="E1" s="22" t="s">
        <v>28</v>
      </c>
      <c r="F1" s="22" t="s">
        <v>29</v>
      </c>
      <c r="G1" s="22" t="s">
        <v>30</v>
      </c>
      <c r="H1" s="22" t="s">
        <v>31</v>
      </c>
      <c r="I1" s="22" t="s">
        <v>32</v>
      </c>
      <c r="J1" s="22" t="s">
        <v>33</v>
      </c>
      <c r="K1" s="22" t="s">
        <v>34</v>
      </c>
      <c r="L1" s="22" t="s">
        <v>35</v>
      </c>
      <c r="M1" s="22" t="s">
        <v>36</v>
      </c>
      <c r="N1" s="22" t="s">
        <v>37</v>
      </c>
      <c r="O1" s="22" t="s">
        <v>38</v>
      </c>
      <c r="P1" s="22" t="s">
        <v>39</v>
      </c>
      <c r="Q1" s="22" t="s">
        <v>40</v>
      </c>
      <c r="R1" s="22" t="s">
        <v>41</v>
      </c>
      <c r="S1" s="22" t="s">
        <v>42</v>
      </c>
      <c r="T1" s="22" t="s">
        <v>43</v>
      </c>
      <c r="U1" s="22" t="s">
        <v>44</v>
      </c>
      <c r="V1" s="22" t="s">
        <v>45</v>
      </c>
      <c r="W1" s="22" t="s">
        <v>46</v>
      </c>
      <c r="X1" s="22" t="s">
        <v>47</v>
      </c>
      <c r="Y1" s="22">
        <v>2008</v>
      </c>
      <c r="Z1" s="22">
        <v>2009</v>
      </c>
      <c r="AA1" s="22">
        <v>2010</v>
      </c>
      <c r="AB1" s="22">
        <v>2011</v>
      </c>
      <c r="AC1" s="22">
        <v>2012</v>
      </c>
      <c r="AD1" s="22">
        <v>2013</v>
      </c>
      <c r="AE1" s="22">
        <v>2014</v>
      </c>
      <c r="AF1" s="22">
        <v>2015</v>
      </c>
      <c r="AG1" s="22">
        <v>2016</v>
      </c>
      <c r="AH1" s="22">
        <v>2017</v>
      </c>
      <c r="AI1" s="22">
        <v>2018</v>
      </c>
      <c r="AJ1" s="23">
        <v>2019</v>
      </c>
      <c r="AK1" s="23">
        <v>2020</v>
      </c>
      <c r="AL1" s="23">
        <v>2021</v>
      </c>
      <c r="AM1" s="23">
        <v>2022</v>
      </c>
      <c r="AN1" s="23">
        <v>2023</v>
      </c>
      <c r="AO1" s="23">
        <v>2024</v>
      </c>
      <c r="AP1" s="23">
        <v>2025</v>
      </c>
      <c r="AQ1" s="23">
        <v>2026</v>
      </c>
      <c r="AR1" s="23">
        <v>2027</v>
      </c>
      <c r="AS1" s="23">
        <v>2028</v>
      </c>
      <c r="AT1" s="23">
        <v>2029</v>
      </c>
      <c r="AU1" s="23">
        <v>2030</v>
      </c>
      <c r="AV1" s="23">
        <v>2031</v>
      </c>
      <c r="AW1" s="23">
        <v>2032</v>
      </c>
      <c r="AX1" s="23">
        <v>2033</v>
      </c>
      <c r="AY1" s="23">
        <v>2034</v>
      </c>
      <c r="AZ1" s="23">
        <v>2035</v>
      </c>
      <c r="BA1" s="23">
        <v>2036</v>
      </c>
      <c r="BB1" s="23">
        <v>2037</v>
      </c>
      <c r="BC1" s="23">
        <v>2038</v>
      </c>
      <c r="BD1" s="23">
        <v>2039</v>
      </c>
      <c r="BE1" s="23">
        <v>2040</v>
      </c>
      <c r="BF1" s="23">
        <v>2041</v>
      </c>
      <c r="BG1" s="23">
        <v>2042</v>
      </c>
      <c r="BH1" s="23">
        <v>2043</v>
      </c>
      <c r="BI1" s="23">
        <v>2044</v>
      </c>
      <c r="BJ1" s="23">
        <v>2045</v>
      </c>
      <c r="BK1" s="23">
        <v>2046</v>
      </c>
      <c r="BL1" s="23">
        <v>2047</v>
      </c>
      <c r="BM1" s="23">
        <v>2048</v>
      </c>
      <c r="BN1" s="23">
        <v>2049</v>
      </c>
      <c r="BO1" s="23">
        <v>2050</v>
      </c>
      <c r="BP1" s="23">
        <v>2051</v>
      </c>
      <c r="BQ1" s="23">
        <v>2052</v>
      </c>
      <c r="BR1" s="23">
        <v>2053</v>
      </c>
      <c r="BS1" s="23">
        <v>2054</v>
      </c>
      <c r="BT1" s="23">
        <v>2055</v>
      </c>
      <c r="BU1" s="23">
        <v>2056</v>
      </c>
      <c r="BV1" s="23">
        <v>2057</v>
      </c>
      <c r="BW1" s="23">
        <v>2058</v>
      </c>
      <c r="BX1" s="23">
        <v>2059</v>
      </c>
      <c r="BY1" s="23">
        <v>2060</v>
      </c>
    </row>
    <row r="2" spans="1:77" ht="14.3">
      <c r="A2" s="71" t="s">
        <v>26</v>
      </c>
      <c r="B2" s="72"/>
      <c r="C2" s="11"/>
      <c r="D2" s="12">
        <v>1743.1</v>
      </c>
      <c r="E2" s="12">
        <v>2281.3000000000002</v>
      </c>
      <c r="F2" s="12">
        <v>4435.3863000000001</v>
      </c>
      <c r="G2" s="12">
        <v>5628.4</v>
      </c>
      <c r="H2" s="12">
        <v>6178.3</v>
      </c>
      <c r="I2" s="12">
        <v>6949.4</v>
      </c>
      <c r="J2" s="12">
        <v>7858</v>
      </c>
      <c r="K2" s="12">
        <v>8591.4</v>
      </c>
      <c r="L2" s="12">
        <v>9001.9</v>
      </c>
      <c r="M2" s="12">
        <v>9164.7999999999993</v>
      </c>
      <c r="N2" s="12">
        <v>10055.48</v>
      </c>
      <c r="O2" s="12">
        <v>10636.7</v>
      </c>
      <c r="P2" s="12">
        <v>11299.7</v>
      </c>
      <c r="Q2" s="12">
        <v>12261.1</v>
      </c>
      <c r="R2" s="12">
        <v>13155.13</v>
      </c>
      <c r="S2" s="12">
        <v>14125.6</v>
      </c>
      <c r="T2" s="12">
        <v>13810.5</v>
      </c>
      <c r="U2" s="12">
        <v>16309.1</v>
      </c>
      <c r="V2" s="12">
        <v>17466.740000000002</v>
      </c>
      <c r="W2" s="12">
        <v>19197.210515000002</v>
      </c>
      <c r="X2" s="12">
        <v>21592.580858000001</v>
      </c>
      <c r="Y2" s="12">
        <v>23196.698389099998</v>
      </c>
      <c r="Z2" s="12">
        <v>24834.941581999999</v>
      </c>
      <c r="AA2" s="12">
        <v>27894.256617999999</v>
      </c>
      <c r="AB2" s="12">
        <v>30984.03</v>
      </c>
      <c r="AC2" s="12">
        <v>33383.088894</v>
      </c>
      <c r="AD2" s="12">
        <v>27571.653741000002</v>
      </c>
      <c r="AE2" s="12">
        <v>28647.131570199999</v>
      </c>
      <c r="AF2" s="12">
        <v>30058.898099999999</v>
      </c>
      <c r="AG2" s="12">
        <v>31258.462310399998</v>
      </c>
      <c r="AH2" s="12">
        <v>32812.799787310003</v>
      </c>
      <c r="AI2" s="12">
        <v>34218.151906239997</v>
      </c>
      <c r="AJ2" s="28">
        <f>SUM(AJ3:AJ6)</f>
        <v>35349</v>
      </c>
      <c r="AK2" s="32">
        <f>SUM(AK3:AK6)</f>
        <v>75267.570400000011</v>
      </c>
      <c r="AL2" s="32">
        <f>SUM(AL3:AL6)</f>
        <v>78471.41700403922</v>
      </c>
    </row>
    <row r="3" spans="1:77" ht="14.3">
      <c r="A3" s="71" t="s">
        <v>20</v>
      </c>
      <c r="B3" s="72"/>
      <c r="C3" s="7"/>
      <c r="D3" s="9">
        <v>1093.22</v>
      </c>
      <c r="E3" s="9">
        <v>1383.16</v>
      </c>
      <c r="F3" s="9">
        <v>2416.14</v>
      </c>
      <c r="G3" s="9">
        <v>2612.63</v>
      </c>
      <c r="H3" s="9">
        <v>2828.1</v>
      </c>
      <c r="I3" s="9">
        <v>3152.24</v>
      </c>
      <c r="J3" s="9">
        <v>3483.3</v>
      </c>
      <c r="K3" s="9">
        <v>3636</v>
      </c>
      <c r="L3" s="9">
        <v>3545.7</v>
      </c>
      <c r="M3" s="9">
        <v>3347.6</v>
      </c>
      <c r="N3" s="9">
        <v>3584.86</v>
      </c>
      <c r="O3" s="9">
        <v>3773.42</v>
      </c>
      <c r="P3" s="9">
        <v>4135.8999999999996</v>
      </c>
      <c r="Q3" s="9">
        <v>4532.59</v>
      </c>
      <c r="R3" s="9">
        <v>4766.82</v>
      </c>
      <c r="S3" s="9">
        <v>4969.3999999999996</v>
      </c>
      <c r="T3" s="9">
        <v>4788.6099999999997</v>
      </c>
      <c r="U3" s="9">
        <v>5712.2</v>
      </c>
      <c r="V3" s="9">
        <v>6061.96</v>
      </c>
      <c r="W3" s="9">
        <v>6622.1222100000005</v>
      </c>
      <c r="X3" s="9">
        <v>7216.31</v>
      </c>
      <c r="Y3" s="9">
        <v>7778.6045560999992</v>
      </c>
      <c r="Z3" s="9">
        <v>7878.8885200000004</v>
      </c>
      <c r="AA3" s="9">
        <v>8762.1782600000006</v>
      </c>
      <c r="AB3" s="9">
        <v>9612.2935529999995</v>
      </c>
      <c r="AC3" s="9">
        <v>9812.3271799999984</v>
      </c>
      <c r="AD3" s="9">
        <v>10595.61858</v>
      </c>
      <c r="AE3" s="9">
        <v>11241.85</v>
      </c>
      <c r="AF3" s="9">
        <v>11960.604300000001</v>
      </c>
      <c r="AG3" s="9">
        <v>12579.29334</v>
      </c>
      <c r="AH3" s="9">
        <v>13456.92044</v>
      </c>
      <c r="AI3" s="9">
        <v>14146.582490000001</v>
      </c>
      <c r="AJ3" s="28">
        <v>14706.6</v>
      </c>
      <c r="AK3">
        <v>14713.2804</v>
      </c>
      <c r="AL3">
        <f>($AU$3-$AJ$3)/11*(11-($AU$1-AL1))+$AJ$3</f>
        <v>14527.128269641313</v>
      </c>
      <c r="AM3">
        <f>($AU$3-$AJ$3)/11*(11-($AU$1-AM1))+$AJ$3</f>
        <v>14437.392404461969</v>
      </c>
      <c r="AN3">
        <f t="shared" ref="AN3:AT3" si="0">($AU$3-$AJ$3)/11*(11-($AU$1-AN1))+$AJ$3</f>
        <v>14347.656539282625</v>
      </c>
      <c r="AO3">
        <f t="shared" si="0"/>
        <v>14257.920674103281</v>
      </c>
      <c r="AP3">
        <f t="shared" si="0"/>
        <v>14168.184808923936</v>
      </c>
      <c r="AQ3">
        <f t="shared" si="0"/>
        <v>14078.448943744592</v>
      </c>
      <c r="AR3">
        <f t="shared" si="0"/>
        <v>13988.713078565248</v>
      </c>
      <c r="AS3">
        <f t="shared" si="0"/>
        <v>13898.977213385904</v>
      </c>
      <c r="AT3">
        <f t="shared" si="0"/>
        <v>13809.24134820656</v>
      </c>
      <c r="AU3">
        <v>13719.505483027217</v>
      </c>
      <c r="AV3">
        <f>($BE$3-$AU$3)/10*(10-($BE$1-AV1))+$AU$3</f>
        <v>13971.613551899054</v>
      </c>
      <c r="AW3">
        <f>($BE$3-$AU$3)/10*(10-($BE$1-AW1))+$AU$3</f>
        <v>14223.721620770892</v>
      </c>
      <c r="AX3">
        <f t="shared" ref="AX3:BD3" si="1">($BE$3-$AU$3)/10*(10-($BE$1-AX1))+$AU$3</f>
        <v>14475.829689642727</v>
      </c>
      <c r="AY3">
        <f t="shared" si="1"/>
        <v>14727.937758514565</v>
      </c>
      <c r="AZ3">
        <f t="shared" si="1"/>
        <v>14980.045827386402</v>
      </c>
      <c r="BA3">
        <f t="shared" si="1"/>
        <v>15232.15389625824</v>
      </c>
      <c r="BB3">
        <f t="shared" si="1"/>
        <v>15484.261965130077</v>
      </c>
      <c r="BC3">
        <f t="shared" si="1"/>
        <v>15736.370034001913</v>
      </c>
      <c r="BD3">
        <f t="shared" si="1"/>
        <v>15988.478102873751</v>
      </c>
      <c r="BE3">
        <v>16240.586171745588</v>
      </c>
      <c r="BF3">
        <f>($BO$3-$BE$3)/10*(10-($BO$1-BF1))+$BE$3</f>
        <v>16432.398786491627</v>
      </c>
      <c r="BG3">
        <f t="shared" ref="BG3:BN3" si="2">($BO$3-$BE$3)/10*(10-($BO$1-BG1))+$BE$3</f>
        <v>16624.21140123767</v>
      </c>
      <c r="BH3">
        <f t="shared" si="2"/>
        <v>16816.024015983712</v>
      </c>
      <c r="BI3">
        <f t="shared" si="2"/>
        <v>17007.836630729751</v>
      </c>
      <c r="BJ3">
        <f t="shared" si="2"/>
        <v>17199.64924547579</v>
      </c>
      <c r="BK3">
        <f t="shared" si="2"/>
        <v>17391.461860221832</v>
      </c>
      <c r="BL3">
        <f t="shared" si="2"/>
        <v>17583.274474967875</v>
      </c>
      <c r="BM3">
        <f t="shared" si="2"/>
        <v>17775.087089713914</v>
      </c>
      <c r="BN3">
        <f t="shared" si="2"/>
        <v>17966.899704459953</v>
      </c>
      <c r="BO3">
        <v>18158.712319205995</v>
      </c>
      <c r="BP3">
        <f>($BY$3-$BO$3)/10*(10-($BY$1-BP1))+$BO$3</f>
        <v>18317.131254994703</v>
      </c>
      <c r="BQ3">
        <f t="shared" ref="BQ3:BX3" si="3">($BY$3-$BO$3)/10*(10-($BY$1-BQ1))+$BO$3</f>
        <v>18475.550190783415</v>
      </c>
      <c r="BR3">
        <f t="shared" si="3"/>
        <v>18633.969126572123</v>
      </c>
      <c r="BS3">
        <f t="shared" si="3"/>
        <v>18792.388062360835</v>
      </c>
      <c r="BT3">
        <f t="shared" si="3"/>
        <v>18950.806998149543</v>
      </c>
      <c r="BU3">
        <f t="shared" si="3"/>
        <v>19109.225933938251</v>
      </c>
      <c r="BV3">
        <f t="shared" si="3"/>
        <v>19267.644869726962</v>
      </c>
      <c r="BW3">
        <f t="shared" si="3"/>
        <v>19426.063805515671</v>
      </c>
      <c r="BX3">
        <f t="shared" si="3"/>
        <v>19584.482741304382</v>
      </c>
      <c r="BY3">
        <v>19742.90167709309</v>
      </c>
    </row>
    <row r="4" spans="1:77" ht="14.3">
      <c r="A4" s="71" t="s">
        <v>21</v>
      </c>
      <c r="B4" s="72"/>
      <c r="C4" s="7"/>
      <c r="D4" s="9">
        <v>521.29999999999995</v>
      </c>
      <c r="E4" s="9">
        <v>729.5</v>
      </c>
      <c r="F4" s="9">
        <v>1724.88</v>
      </c>
      <c r="G4" s="9">
        <v>2620.3200000000002</v>
      </c>
      <c r="H4" s="9">
        <v>2871.74</v>
      </c>
      <c r="I4" s="9">
        <v>3192.64</v>
      </c>
      <c r="J4" s="9">
        <v>3700.7</v>
      </c>
      <c r="K4" s="9">
        <v>4220.3</v>
      </c>
      <c r="L4" s="9">
        <v>4603.1000000000004</v>
      </c>
      <c r="M4" s="9">
        <v>4908.79</v>
      </c>
      <c r="N4" s="9">
        <v>5541.4</v>
      </c>
      <c r="O4" s="9">
        <v>5942.81</v>
      </c>
      <c r="P4" s="9">
        <v>6199.24</v>
      </c>
      <c r="Q4" s="9">
        <v>6657.42</v>
      </c>
      <c r="R4" s="9">
        <v>7207.08</v>
      </c>
      <c r="S4" s="9">
        <v>7805.8</v>
      </c>
      <c r="T4" s="9">
        <v>7695.6</v>
      </c>
      <c r="U4" s="9">
        <v>8748.4</v>
      </c>
      <c r="V4" s="9">
        <v>9292.08</v>
      </c>
      <c r="W4" s="9">
        <v>10130.845799999999</v>
      </c>
      <c r="X4" s="9">
        <v>11506.766799999999</v>
      </c>
      <c r="Y4" s="9">
        <v>12476.1149</v>
      </c>
      <c r="Z4" s="9">
        <v>13511.4375</v>
      </c>
      <c r="AA4" s="9">
        <v>15020.8123</v>
      </c>
      <c r="AB4" s="9">
        <v>16760.246599999999</v>
      </c>
      <c r="AC4" s="9">
        <v>18467.545999999998</v>
      </c>
      <c r="AD4" s="9">
        <v>11250.942999999999</v>
      </c>
      <c r="AE4" s="9">
        <v>10996.75</v>
      </c>
      <c r="AF4" s="9">
        <v>10742.6585</v>
      </c>
      <c r="AG4" s="9">
        <v>10228.707653489999</v>
      </c>
      <c r="AH4" s="9">
        <v>9765.1794399999999</v>
      </c>
      <c r="AI4" s="9">
        <v>9279.6786059400001</v>
      </c>
      <c r="AJ4" s="28">
        <v>8857.1</v>
      </c>
      <c r="AK4">
        <v>51514</v>
      </c>
      <c r="AL4">
        <f>($AU$4-$AK$4)/10*(10-($AU$1-AL1))+$AK$4</f>
        <v>52290.759730269245</v>
      </c>
      <c r="AM4">
        <f t="shared" ref="AM4:AT4" si="4">($AU$4-$AK$4)/10*(10-($AU$1-AM1))+$AK$4</f>
        <v>53067.51946053849</v>
      </c>
      <c r="AN4">
        <f t="shared" si="4"/>
        <v>53844.279190807727</v>
      </c>
      <c r="AO4">
        <f>($AU$4-$AK$4)/10*(10-($AU$1-AO1))+$AK$4</f>
        <v>54621.038921076972</v>
      </c>
      <c r="AP4">
        <f t="shared" si="4"/>
        <v>55397.798651346217</v>
      </c>
      <c r="AQ4">
        <f t="shared" si="4"/>
        <v>56174.558381615461</v>
      </c>
      <c r="AR4">
        <f t="shared" si="4"/>
        <v>56951.318111884706</v>
      </c>
      <c r="AS4">
        <f t="shared" si="4"/>
        <v>57728.077842153943</v>
      </c>
      <c r="AT4">
        <f t="shared" si="4"/>
        <v>58504.837572423188</v>
      </c>
      <c r="AU4">
        <v>59281.597302692433</v>
      </c>
      <c r="AV4">
        <f>($BE$4-$AU$4)/10*(10-($BE$1-AV1))+$AU$4</f>
        <v>59105.158092156569</v>
      </c>
      <c r="AW4">
        <f>($BE$4-$AU$4)/10*(10-($BE$1-AW1))+$AU$4</f>
        <v>58928.718881620713</v>
      </c>
      <c r="AX4">
        <f t="shared" ref="AX4:BD4" si="5">($BE$4-$AU$4)/10*(10-($BE$1-AX1))+$AU$4</f>
        <v>58752.279671084849</v>
      </c>
      <c r="AY4">
        <f t="shared" si="5"/>
        <v>58575.840460548992</v>
      </c>
      <c r="AZ4">
        <f t="shared" si="5"/>
        <v>58399.401250013128</v>
      </c>
      <c r="BA4">
        <f t="shared" si="5"/>
        <v>58222.962039477265</v>
      </c>
      <c r="BB4">
        <f t="shared" si="5"/>
        <v>58046.522828941408</v>
      </c>
      <c r="BC4">
        <f t="shared" si="5"/>
        <v>57870.083618405544</v>
      </c>
      <c r="BD4">
        <f t="shared" si="5"/>
        <v>57693.644407869688</v>
      </c>
      <c r="BE4">
        <v>57517.205197333824</v>
      </c>
      <c r="BF4">
        <f>($BO$4-$BE$4)/10*(10-($BO$1-BF1))+$BE$4</f>
        <v>57014.624224951433</v>
      </c>
      <c r="BG4">
        <f t="shared" ref="BG4:BN4" si="6">($BO$4-$BE$4)/10*(10-($BO$1-BG1))+$BE$4</f>
        <v>56512.043252569041</v>
      </c>
      <c r="BH4">
        <f t="shared" si="6"/>
        <v>56009.46228018665</v>
      </c>
      <c r="BI4">
        <f t="shared" si="6"/>
        <v>55506.881307804259</v>
      </c>
      <c r="BJ4">
        <f t="shared" si="6"/>
        <v>55004.300335421867</v>
      </c>
      <c r="BK4">
        <f t="shared" si="6"/>
        <v>54501.719363039483</v>
      </c>
      <c r="BL4">
        <f t="shared" si="6"/>
        <v>53999.138390657092</v>
      </c>
      <c r="BM4">
        <f t="shared" si="6"/>
        <v>53496.5574182747</v>
      </c>
      <c r="BN4">
        <f t="shared" si="6"/>
        <v>52993.976445892309</v>
      </c>
      <c r="BO4">
        <v>52491.395473509918</v>
      </c>
      <c r="BP4">
        <f>($BY$4-$BO$4)/10*(10-($BY$1-BP1))+$BO$4</f>
        <v>51744.939430783677</v>
      </c>
      <c r="BQ4">
        <f t="shared" ref="BQ4:BX4" si="7">($BY$4-$BO$4)/10*(10-($BY$1-BQ1))+$BO$4</f>
        <v>50998.483388057444</v>
      </c>
      <c r="BR4">
        <f t="shared" si="7"/>
        <v>50252.027345331204</v>
      </c>
      <c r="BS4">
        <f t="shared" si="7"/>
        <v>49505.571302604971</v>
      </c>
      <c r="BT4">
        <f t="shared" si="7"/>
        <v>48759.11525987873</v>
      </c>
      <c r="BU4">
        <f t="shared" si="7"/>
        <v>48012.659217152497</v>
      </c>
      <c r="BV4">
        <f t="shared" si="7"/>
        <v>47266.203174426257</v>
      </c>
      <c r="BW4">
        <f t="shared" si="7"/>
        <v>46519.747131700016</v>
      </c>
      <c r="BX4">
        <f t="shared" si="7"/>
        <v>45773.291088973783</v>
      </c>
      <c r="BY4">
        <v>45026.835046247543</v>
      </c>
    </row>
    <row r="5" spans="1:77" ht="14.3">
      <c r="A5" s="71" t="s">
        <v>22</v>
      </c>
      <c r="B5" s="72"/>
      <c r="C5" s="7"/>
      <c r="D5" s="9">
        <v>100.63</v>
      </c>
      <c r="E5" s="9">
        <v>129.12</v>
      </c>
      <c r="F5" s="9">
        <v>178.65</v>
      </c>
      <c r="G5" s="9">
        <v>164.91</v>
      </c>
      <c r="H5" s="9">
        <v>177.2</v>
      </c>
      <c r="I5" s="9">
        <v>198.35</v>
      </c>
      <c r="J5" s="9">
        <v>196.4</v>
      </c>
      <c r="K5" s="9">
        <v>183.5</v>
      </c>
      <c r="L5" s="9">
        <v>171.8</v>
      </c>
      <c r="M5" s="9">
        <v>160.57</v>
      </c>
      <c r="N5" s="9">
        <v>155.69999999999999</v>
      </c>
      <c r="O5" s="9">
        <v>120.27</v>
      </c>
      <c r="P5" s="9">
        <v>107.28</v>
      </c>
      <c r="Q5" s="9">
        <v>100.54</v>
      </c>
      <c r="R5" s="9">
        <v>89.88</v>
      </c>
      <c r="S5" s="9">
        <v>81.8</v>
      </c>
      <c r="T5" s="9">
        <v>63.1</v>
      </c>
      <c r="U5" s="9">
        <v>66.3</v>
      </c>
      <c r="V5" s="9">
        <v>67.77</v>
      </c>
      <c r="W5" s="9">
        <v>73.582499999999996</v>
      </c>
      <c r="X5" s="9">
        <v>77.778300000000002</v>
      </c>
      <c r="Y5" s="9">
        <v>59.179600000000001</v>
      </c>
      <c r="Z5" s="9">
        <v>69.380200000000002</v>
      </c>
      <c r="AA5" s="9">
        <v>72.270099999999999</v>
      </c>
      <c r="AB5" s="9">
        <v>74.528499999999994</v>
      </c>
      <c r="AC5" s="9">
        <v>77.479100000000003</v>
      </c>
      <c r="AD5" s="9">
        <v>68.332599999999999</v>
      </c>
      <c r="AE5" s="9">
        <v>74.34129320000001</v>
      </c>
      <c r="AF5" s="9">
        <v>73.084000000000003</v>
      </c>
      <c r="AG5" s="9">
        <v>72.326541910000003</v>
      </c>
      <c r="AH5" s="9">
        <v>77.664137310000001</v>
      </c>
      <c r="AI5" s="9">
        <v>79.574191299999995</v>
      </c>
      <c r="AJ5" s="28">
        <v>80.2</v>
      </c>
      <c r="AK5">
        <v>79.069999999999993</v>
      </c>
      <c r="AL5">
        <f t="shared" ref="AL5" si="8">($AU$5-$AJ$5)/11*(11-($AU$1-AL1))+$AJ$5</f>
        <v>76.251489591507877</v>
      </c>
      <c r="AM5">
        <f>($AU$5-$AJ$5)/11*(11-($AU$1-AM1))+$AJ$5</f>
        <v>74.277234387261814</v>
      </c>
      <c r="AN5">
        <f t="shared" ref="AN5:AT5" si="9">($AU$5-$AJ$5)/11*(11-($AU$1-AN1))+$AJ$5</f>
        <v>72.302979183015751</v>
      </c>
      <c r="AO5">
        <f t="shared" si="9"/>
        <v>70.328723978769688</v>
      </c>
      <c r="AP5">
        <f t="shared" si="9"/>
        <v>68.354468774523625</v>
      </c>
      <c r="AQ5">
        <f t="shared" si="9"/>
        <v>66.380213570277562</v>
      </c>
      <c r="AR5">
        <f t="shared" si="9"/>
        <v>64.405958366031498</v>
      </c>
      <c r="AS5">
        <f t="shared" si="9"/>
        <v>62.431703161785443</v>
      </c>
      <c r="AT5">
        <f t="shared" si="9"/>
        <v>60.45744795753938</v>
      </c>
      <c r="AU5">
        <v>58.483192753293316</v>
      </c>
      <c r="AV5">
        <f>($BE$5-$AU$5)/10*(10-($BE$1-AV1))+$AU$5</f>
        <v>57.940162117565471</v>
      </c>
      <c r="AW5">
        <f t="shared" ref="AW5:BC5" si="10">($BE$5-$AU$5)/10*(10-($BE$1-AW1))+$AU$5</f>
        <v>57.397131481837626</v>
      </c>
      <c r="AX5">
        <f t="shared" si="10"/>
        <v>56.854100846109787</v>
      </c>
      <c r="AY5">
        <f t="shared" si="10"/>
        <v>56.311070210381942</v>
      </c>
      <c r="AZ5">
        <f t="shared" si="10"/>
        <v>55.768039574654097</v>
      </c>
      <c r="BA5">
        <f t="shared" si="10"/>
        <v>55.225008938926251</v>
      </c>
      <c r="BB5">
        <f t="shared" si="10"/>
        <v>54.681978303198406</v>
      </c>
      <c r="BC5">
        <f t="shared" si="10"/>
        <v>54.138947667470568</v>
      </c>
      <c r="BD5">
        <f>($BE$5-$AU$5)/10*(10-($BE$1-BD1))+$AU$5</f>
        <v>53.595917031742722</v>
      </c>
      <c r="BE5">
        <v>53.052886396014877</v>
      </c>
      <c r="BF5">
        <f>($BO$5-$BE$5)/10*(10-($BO$1-BF1))+$BE$5</f>
        <v>52.395831771681173</v>
      </c>
      <c r="BG5">
        <f t="shared" ref="BG5:BN5" si="11">($BO$5-$BE$5)/10*(10-($BO$1-BG1))+$BE$5</f>
        <v>51.73877714734747</v>
      </c>
      <c r="BH5">
        <f t="shared" si="11"/>
        <v>51.081722523013767</v>
      </c>
      <c r="BI5">
        <f t="shared" si="11"/>
        <v>50.424667898680063</v>
      </c>
      <c r="BJ5">
        <f t="shared" si="11"/>
        <v>49.76761327434636</v>
      </c>
      <c r="BK5">
        <f t="shared" si="11"/>
        <v>49.110558650012663</v>
      </c>
      <c r="BL5">
        <f t="shared" si="11"/>
        <v>48.45350402567896</v>
      </c>
      <c r="BM5">
        <f t="shared" si="11"/>
        <v>47.796449401345257</v>
      </c>
      <c r="BN5">
        <f t="shared" si="11"/>
        <v>47.139394777011553</v>
      </c>
      <c r="BO5">
        <v>46.48234015267785</v>
      </c>
      <c r="BP5">
        <f>($BY$5-$BO$5)/10*(10-($BY$1-BP1))+$BO$5</f>
        <v>45.846047477440194</v>
      </c>
      <c r="BQ5">
        <f t="shared" ref="BQ5:BX5" si="12">($BY$5-$BO$5)/10*(10-($BY$1-BQ1))+$BO$5</f>
        <v>45.209754802202539</v>
      </c>
      <c r="BR5">
        <f t="shared" si="12"/>
        <v>44.573462126964877</v>
      </c>
      <c r="BS5">
        <f t="shared" si="12"/>
        <v>43.937169451727222</v>
      </c>
      <c r="BT5">
        <f t="shared" si="12"/>
        <v>43.300876776489567</v>
      </c>
      <c r="BU5">
        <f t="shared" si="12"/>
        <v>42.664584101251911</v>
      </c>
      <c r="BV5">
        <f t="shared" si="12"/>
        <v>42.028291426014256</v>
      </c>
      <c r="BW5">
        <f t="shared" si="12"/>
        <v>41.391998750776594</v>
      </c>
      <c r="BX5">
        <f t="shared" si="12"/>
        <v>40.755706075538939</v>
      </c>
      <c r="BY5">
        <v>40.119413400301283</v>
      </c>
    </row>
    <row r="6" spans="1:77" ht="14.3">
      <c r="A6" s="24" t="s">
        <v>23</v>
      </c>
      <c r="B6" s="25" t="s">
        <v>24</v>
      </c>
      <c r="C6" s="8"/>
      <c r="D6" s="9">
        <v>27.91</v>
      </c>
      <c r="E6" s="9">
        <v>39.56</v>
      </c>
      <c r="F6" s="9">
        <v>115.7163</v>
      </c>
      <c r="G6" s="9">
        <v>230.48</v>
      </c>
      <c r="H6" s="9">
        <v>301.32</v>
      </c>
      <c r="I6" s="9">
        <v>406.12</v>
      </c>
      <c r="J6" s="9">
        <v>477.6</v>
      </c>
      <c r="K6" s="9">
        <v>551.58000000000004</v>
      </c>
      <c r="L6" s="9">
        <v>681.3</v>
      </c>
      <c r="M6" s="9">
        <v>747.84</v>
      </c>
      <c r="N6" s="9">
        <v>773.52</v>
      </c>
      <c r="O6" s="9">
        <v>800.24</v>
      </c>
      <c r="P6" s="9">
        <v>857.3</v>
      </c>
      <c r="Q6" s="9">
        <v>970.54</v>
      </c>
      <c r="R6" s="9">
        <v>1091.3499999999999</v>
      </c>
      <c r="S6" s="9">
        <v>1268.7</v>
      </c>
      <c r="T6" s="9">
        <v>1263.19</v>
      </c>
      <c r="U6" s="9">
        <v>1782.3</v>
      </c>
      <c r="V6" s="9">
        <v>2044.93</v>
      </c>
      <c r="W6" s="9">
        <v>2370.6600050000002</v>
      </c>
      <c r="X6" s="9">
        <v>2791.725758</v>
      </c>
      <c r="Y6" s="9">
        <v>2882.7993329999999</v>
      </c>
      <c r="Z6" s="9">
        <v>3375.2353619999999</v>
      </c>
      <c r="AA6" s="9">
        <v>4038.995958</v>
      </c>
      <c r="AB6" s="9">
        <v>4536.9629000000004</v>
      </c>
      <c r="AC6" s="9">
        <v>5025.7366140000004</v>
      </c>
      <c r="AD6" s="9">
        <v>5656.7595609999998</v>
      </c>
      <c r="AE6" s="9">
        <v>6334.1902770000006</v>
      </c>
      <c r="AF6" s="9">
        <v>7282.5513000000001</v>
      </c>
      <c r="AG6" s="9">
        <v>8378.1347750000004</v>
      </c>
      <c r="AH6" s="9">
        <v>9513.0357700000004</v>
      </c>
      <c r="AI6" s="9">
        <v>10712.316618999999</v>
      </c>
      <c r="AJ6" s="28">
        <v>11705.1</v>
      </c>
      <c r="AK6">
        <v>8961.2199999999993</v>
      </c>
      <c r="AL6">
        <f t="shared" ref="AL6" si="13">($AU$6-$AJ$6)/11*(11-($AU$1-AL1))+$AJ$6</f>
        <v>11577.27751453716</v>
      </c>
      <c r="AM6">
        <f>($AU$6-$AJ$6)/11*(11-($AU$1-AM1))+$AJ$6</f>
        <v>11513.36627180574</v>
      </c>
      <c r="AN6">
        <f t="shared" ref="AN6:AT6" si="14">($AU$6-$AJ$6)/11*(11-($AU$1-AN1))+$AJ$6</f>
        <v>11449.455029074321</v>
      </c>
      <c r="AO6">
        <f t="shared" si="14"/>
        <v>11385.5437863429</v>
      </c>
      <c r="AP6">
        <f t="shared" si="14"/>
        <v>11321.63254361148</v>
      </c>
      <c r="AQ6">
        <f t="shared" si="14"/>
        <v>11257.721300880059</v>
      </c>
      <c r="AR6">
        <f t="shared" si="14"/>
        <v>11193.81005814864</v>
      </c>
      <c r="AS6">
        <f t="shared" si="14"/>
        <v>11129.89881541722</v>
      </c>
      <c r="AT6">
        <f t="shared" si="14"/>
        <v>11065.987572685799</v>
      </c>
      <c r="AU6">
        <v>11002.07632995438</v>
      </c>
      <c r="AV6">
        <f>($BE$6-$AU$6)/10*(10-($BE$1-AV1))+$AU$6</f>
        <v>11376.26175376241</v>
      </c>
      <c r="AW6">
        <f t="shared" ref="AW6:BD6" si="15">($BE$6-$AU$6)/10*(10-($BE$1-AW1))+$AU$6</f>
        <v>11750.447177570439</v>
      </c>
      <c r="AX6">
        <f t="shared" si="15"/>
        <v>12124.632601378469</v>
      </c>
      <c r="AY6">
        <f t="shared" si="15"/>
        <v>12498.8180251865</v>
      </c>
      <c r="AZ6">
        <f t="shared" si="15"/>
        <v>12873.003448994528</v>
      </c>
      <c r="BA6">
        <f t="shared" si="15"/>
        <v>13247.188872802559</v>
      </c>
      <c r="BB6">
        <f t="shared" si="15"/>
        <v>13621.374296610589</v>
      </c>
      <c r="BC6">
        <f t="shared" si="15"/>
        <v>13995.55972041862</v>
      </c>
      <c r="BD6">
        <f t="shared" si="15"/>
        <v>14369.745144226648</v>
      </c>
      <c r="BE6">
        <v>14743.930568034679</v>
      </c>
      <c r="BF6">
        <f>($BO$6-$BE$6)/10*(10-($BO$1-BF1))+$BE$6</f>
        <v>15054.557760849259</v>
      </c>
      <c r="BG6">
        <f t="shared" ref="BG6:BN6" si="16">($BO$6-$BE$6)/10*(10-($BO$1-BG1))+$BE$6</f>
        <v>15365.184953663836</v>
      </c>
      <c r="BH6">
        <f t="shared" si="16"/>
        <v>15675.812146478416</v>
      </c>
      <c r="BI6">
        <f t="shared" si="16"/>
        <v>15986.439339292996</v>
      </c>
      <c r="BJ6">
        <f t="shared" si="16"/>
        <v>16297.066532107576</v>
      </c>
      <c r="BK6">
        <f t="shared" si="16"/>
        <v>16607.693724922156</v>
      </c>
      <c r="BL6">
        <f t="shared" si="16"/>
        <v>16918.320917736732</v>
      </c>
      <c r="BM6">
        <f t="shared" si="16"/>
        <v>17228.948110551311</v>
      </c>
      <c r="BN6">
        <f t="shared" si="16"/>
        <v>17539.575303365891</v>
      </c>
      <c r="BO6">
        <v>17850.202496180471</v>
      </c>
      <c r="BP6">
        <f>($BY$6-$BO$6)/10*(10-($BY$1-BP1))+$BO$6</f>
        <v>18116.706508197523</v>
      </c>
      <c r="BQ6">
        <f t="shared" ref="BQ6:BX6" si="17">($BY$6-$BO$6)/10*(10-($BY$1-BQ1))+$BO$6</f>
        <v>18383.210520214579</v>
      </c>
      <c r="BR6">
        <f t="shared" si="17"/>
        <v>18649.714532231632</v>
      </c>
      <c r="BS6">
        <f t="shared" si="17"/>
        <v>18916.218544248688</v>
      </c>
      <c r="BT6">
        <f t="shared" si="17"/>
        <v>19182.72255626574</v>
      </c>
      <c r="BU6">
        <f t="shared" si="17"/>
        <v>19449.226568282793</v>
      </c>
      <c r="BV6">
        <f t="shared" si="17"/>
        <v>19715.730580299849</v>
      </c>
      <c r="BW6">
        <f t="shared" si="17"/>
        <v>19982.234592316901</v>
      </c>
      <c r="BX6">
        <f t="shared" si="17"/>
        <v>20248.738604333957</v>
      </c>
      <c r="BY6">
        <v>20515.24261635101</v>
      </c>
    </row>
    <row r="8" spans="1:77">
      <c r="AM8">
        <v>6600</v>
      </c>
    </row>
    <row r="9" spans="1:77">
      <c r="D9" t="s">
        <v>73</v>
      </c>
      <c r="AM9">
        <v>2407</v>
      </c>
    </row>
    <row r="10" spans="1:77">
      <c r="D10" t="s">
        <v>65</v>
      </c>
      <c r="E10">
        <v>0.88825235587471085</v>
      </c>
      <c r="AM10">
        <v>23</v>
      </c>
    </row>
    <row r="11" spans="1:77">
      <c r="D11" t="s">
        <v>67</v>
      </c>
      <c r="E11">
        <v>0.11174764412528915</v>
      </c>
      <c r="AM11">
        <v>4085.96</v>
      </c>
    </row>
    <row r="13" spans="1:77">
      <c r="C13" t="s">
        <v>66</v>
      </c>
      <c r="D13">
        <f>D4*$E$10</f>
        <v>463.0459531174867</v>
      </c>
      <c r="E13">
        <f t="shared" ref="E13:BP13" si="18">E4*$E$10</f>
        <v>647.98009361060156</v>
      </c>
      <c r="F13">
        <f t="shared" si="18"/>
        <v>1532.1287236011713</v>
      </c>
      <c r="G13">
        <f t="shared" si="18"/>
        <v>2327.5054131456227</v>
      </c>
      <c r="H13">
        <f t="shared" si="18"/>
        <v>2550.8298204596417</v>
      </c>
      <c r="I13">
        <f t="shared" si="18"/>
        <v>2835.8700014598367</v>
      </c>
      <c r="J13">
        <f t="shared" si="18"/>
        <v>3287.1554933855423</v>
      </c>
      <c r="K13">
        <f t="shared" si="18"/>
        <v>3748.6914174980425</v>
      </c>
      <c r="L13">
        <f t="shared" si="18"/>
        <v>4088.7144193268819</v>
      </c>
      <c r="M13">
        <f t="shared" si="18"/>
        <v>4360.2442819942216</v>
      </c>
      <c r="N13">
        <f t="shared" si="18"/>
        <v>4922.1616048441228</v>
      </c>
      <c r="O13">
        <f t="shared" si="18"/>
        <v>5278.7149830157905</v>
      </c>
      <c r="P13">
        <f t="shared" si="18"/>
        <v>5506.4895346327421</v>
      </c>
      <c r="Q13">
        <f t="shared" si="18"/>
        <v>5913.468999047418</v>
      </c>
      <c r="R13">
        <f t="shared" si="18"/>
        <v>6401.7057889775115</v>
      </c>
      <c r="S13">
        <f t="shared" si="18"/>
        <v>6933.5202394868184</v>
      </c>
      <c r="T13">
        <f t="shared" si="18"/>
        <v>6835.6348298694247</v>
      </c>
      <c r="U13">
        <f t="shared" si="18"/>
        <v>7770.7869101343204</v>
      </c>
      <c r="V13">
        <f t="shared" si="18"/>
        <v>8253.7119509762833</v>
      </c>
      <c r="W13">
        <f t="shared" si="18"/>
        <v>8998.7476488534194</v>
      </c>
      <c r="X13">
        <f t="shared" si="18"/>
        <v>10220.912718600908</v>
      </c>
      <c r="Y13">
        <f t="shared" si="18"/>
        <v>11081.938452088583</v>
      </c>
      <c r="Z13">
        <f t="shared" si="18"/>
        <v>12001.566190628913</v>
      </c>
      <c r="AA13">
        <f t="shared" si="18"/>
        <v>13342.271912626833</v>
      </c>
      <c r="AB13">
        <f t="shared" si="18"/>
        <v>14887.32852749111</v>
      </c>
      <c r="AC13">
        <f t="shared" si="18"/>
        <v>16403.841241724593</v>
      </c>
      <c r="AD13">
        <f t="shared" si="18"/>
        <v>9993.676625562086</v>
      </c>
      <c r="AE13">
        <f t="shared" si="18"/>
        <v>9767.8890944652267</v>
      </c>
      <c r="AF13">
        <f t="shared" si="18"/>
        <v>9542.1917209824878</v>
      </c>
      <c r="AG13">
        <f t="shared" si="18"/>
        <v>9085.6736707661767</v>
      </c>
      <c r="AH13">
        <f t="shared" si="18"/>
        <v>8673.9436431192898</v>
      </c>
      <c r="AI13">
        <f t="shared" si="18"/>
        <v>8242.6963834863582</v>
      </c>
      <c r="AJ13">
        <f>AJ4*$E$10</f>
        <v>7867.3399412179015</v>
      </c>
      <c r="AK13">
        <f t="shared" si="18"/>
        <v>45757.431860529854</v>
      </c>
      <c r="AL13">
        <f t="shared" si="18"/>
        <v>46447.39052089012</v>
      </c>
      <c r="AM13">
        <f t="shared" si="18"/>
        <v>47137.349181250378</v>
      </c>
      <c r="AN13">
        <f t="shared" si="18"/>
        <v>47827.307841610636</v>
      </c>
      <c r="AO13">
        <f t="shared" si="18"/>
        <v>48517.266501970895</v>
      </c>
      <c r="AP13">
        <f t="shared" si="18"/>
        <v>49207.225162331153</v>
      </c>
      <c r="AQ13">
        <f t="shared" si="18"/>
        <v>49897.183822691419</v>
      </c>
      <c r="AR13">
        <f t="shared" si="18"/>
        <v>50587.142483051677</v>
      </c>
      <c r="AS13">
        <f t="shared" si="18"/>
        <v>51277.101143411935</v>
      </c>
      <c r="AT13">
        <f t="shared" si="18"/>
        <v>51967.059803772194</v>
      </c>
      <c r="AU13">
        <f t="shared" si="18"/>
        <v>52657.018464132459</v>
      </c>
      <c r="AV13">
        <f t="shared" si="18"/>
        <v>52500.295919705306</v>
      </c>
      <c r="AW13">
        <f t="shared" si="18"/>
        <v>52343.573375278153</v>
      </c>
      <c r="AX13">
        <f t="shared" si="18"/>
        <v>52186.850830850999</v>
      </c>
      <c r="AY13">
        <f t="shared" si="18"/>
        <v>52030.128286423853</v>
      </c>
      <c r="AZ13">
        <f t="shared" si="18"/>
        <v>51873.405741996692</v>
      </c>
      <c r="BA13">
        <f t="shared" si="18"/>
        <v>51716.683197569539</v>
      </c>
      <c r="BB13">
        <f t="shared" si="18"/>
        <v>51559.960653142392</v>
      </c>
      <c r="BC13">
        <f t="shared" si="18"/>
        <v>51403.238108715239</v>
      </c>
      <c r="BD13">
        <f t="shared" si="18"/>
        <v>51246.515564288085</v>
      </c>
      <c r="BE13">
        <f t="shared" si="18"/>
        <v>51089.793019860932</v>
      </c>
      <c r="BF13">
        <f t="shared" si="18"/>
        <v>50643.374287124469</v>
      </c>
      <c r="BG13">
        <f t="shared" si="18"/>
        <v>50196.955554388005</v>
      </c>
      <c r="BH13">
        <f t="shared" si="18"/>
        <v>49750.536821651549</v>
      </c>
      <c r="BI13">
        <f t="shared" si="18"/>
        <v>49304.118088915086</v>
      </c>
      <c r="BJ13">
        <f t="shared" si="18"/>
        <v>48857.699356178622</v>
      </c>
      <c r="BK13">
        <f t="shared" si="18"/>
        <v>48411.280623442166</v>
      </c>
      <c r="BL13">
        <f t="shared" si="18"/>
        <v>47964.861890705703</v>
      </c>
      <c r="BM13">
        <f t="shared" si="18"/>
        <v>47518.443157969239</v>
      </c>
      <c r="BN13">
        <f t="shared" si="18"/>
        <v>47072.024425232783</v>
      </c>
      <c r="BO13">
        <f t="shared" si="18"/>
        <v>46625.60569249632</v>
      </c>
      <c r="BP13">
        <f t="shared" si="18"/>
        <v>45962.564353987822</v>
      </c>
      <c r="BQ13">
        <f t="shared" ref="BQ13:BY13" si="19">BQ4*$E$10</f>
        <v>45299.523015479332</v>
      </c>
      <c r="BR13">
        <f t="shared" si="19"/>
        <v>44636.481676970834</v>
      </c>
      <c r="BS13">
        <f t="shared" si="19"/>
        <v>43973.440338462344</v>
      </c>
      <c r="BT13">
        <f t="shared" si="19"/>
        <v>43310.398999953846</v>
      </c>
      <c r="BU13">
        <f t="shared" si="19"/>
        <v>42647.357661445356</v>
      </c>
      <c r="BV13">
        <f t="shared" si="19"/>
        <v>41984.316322936858</v>
      </c>
      <c r="BW13">
        <f t="shared" si="19"/>
        <v>41321.274984428361</v>
      </c>
      <c r="BX13">
        <f t="shared" si="19"/>
        <v>40658.23364591987</v>
      </c>
      <c r="BY13">
        <f t="shared" si="19"/>
        <v>39995.192307411373</v>
      </c>
    </row>
    <row r="14" spans="1:77">
      <c r="C14" t="s">
        <v>52</v>
      </c>
      <c r="D14">
        <f>D4*$E$11</f>
        <v>58.254046882513229</v>
      </c>
      <c r="E14">
        <f t="shared" ref="E14:BP14" si="20">E4*$E$11</f>
        <v>81.519906389398429</v>
      </c>
      <c r="F14">
        <f t="shared" si="20"/>
        <v>192.75127639882876</v>
      </c>
      <c r="G14">
        <f t="shared" si="20"/>
        <v>292.81458685437769</v>
      </c>
      <c r="H14">
        <f t="shared" si="20"/>
        <v>320.91017954035783</v>
      </c>
      <c r="I14">
        <f t="shared" si="20"/>
        <v>356.7699985401631</v>
      </c>
      <c r="J14">
        <f t="shared" si="20"/>
        <v>413.54450661445753</v>
      </c>
      <c r="K14">
        <f t="shared" si="20"/>
        <v>471.60858250195781</v>
      </c>
      <c r="L14">
        <f t="shared" si="20"/>
        <v>514.38558067311851</v>
      </c>
      <c r="M14">
        <f t="shared" si="20"/>
        <v>548.5457180057781</v>
      </c>
      <c r="N14">
        <f t="shared" si="20"/>
        <v>619.23839515587724</v>
      </c>
      <c r="O14">
        <f t="shared" si="20"/>
        <v>664.09501698420968</v>
      </c>
      <c r="P14">
        <f t="shared" si="20"/>
        <v>692.75046536725745</v>
      </c>
      <c r="Q14">
        <f t="shared" si="20"/>
        <v>743.95100095258249</v>
      </c>
      <c r="R14">
        <f t="shared" si="20"/>
        <v>805.37421102248891</v>
      </c>
      <c r="S14">
        <f t="shared" si="20"/>
        <v>872.27976051318205</v>
      </c>
      <c r="T14">
        <f t="shared" si="20"/>
        <v>859.96517013057519</v>
      </c>
      <c r="U14">
        <f t="shared" si="20"/>
        <v>977.61308986567951</v>
      </c>
      <c r="V14">
        <f t="shared" si="20"/>
        <v>1038.3680490237168</v>
      </c>
      <c r="W14">
        <f t="shared" si="20"/>
        <v>1132.0981511465802</v>
      </c>
      <c r="X14">
        <f t="shared" si="20"/>
        <v>1285.8540813990921</v>
      </c>
      <c r="Y14">
        <f t="shared" si="20"/>
        <v>1394.1764479114174</v>
      </c>
      <c r="Z14">
        <f t="shared" si="20"/>
        <v>1509.8713093710865</v>
      </c>
      <c r="AA14">
        <f t="shared" si="20"/>
        <v>1678.5403873731659</v>
      </c>
      <c r="AB14">
        <f t="shared" si="20"/>
        <v>1872.9180725088872</v>
      </c>
      <c r="AC14">
        <f t="shared" si="20"/>
        <v>2063.7047582754071</v>
      </c>
      <c r="AD14">
        <f t="shared" si="20"/>
        <v>1257.2663744379129</v>
      </c>
      <c r="AE14">
        <f t="shared" si="20"/>
        <v>1228.8609055347733</v>
      </c>
      <c r="AF14">
        <f t="shared" si="20"/>
        <v>1200.4667790175124</v>
      </c>
      <c r="AG14">
        <f t="shared" si="20"/>
        <v>1143.0339827238217</v>
      </c>
      <c r="AH14">
        <f t="shared" si="20"/>
        <v>1091.2357968807103</v>
      </c>
      <c r="AI14">
        <f t="shared" si="20"/>
        <v>1036.9822224536424</v>
      </c>
      <c r="AJ14">
        <f t="shared" si="20"/>
        <v>989.76005878209855</v>
      </c>
      <c r="AK14">
        <f t="shared" si="20"/>
        <v>5756.5681394701451</v>
      </c>
      <c r="AL14">
        <f t="shared" si="20"/>
        <v>5843.3692093791287</v>
      </c>
      <c r="AM14">
        <f t="shared" si="20"/>
        <v>5930.1702792881115</v>
      </c>
      <c r="AN14">
        <f t="shared" si="20"/>
        <v>6016.9713491970933</v>
      </c>
      <c r="AO14">
        <f t="shared" si="20"/>
        <v>6103.772419106077</v>
      </c>
      <c r="AP14">
        <f t="shared" si="20"/>
        <v>6190.5734890150597</v>
      </c>
      <c r="AQ14">
        <f t="shared" si="20"/>
        <v>6277.3745589240434</v>
      </c>
      <c r="AR14">
        <f t="shared" si="20"/>
        <v>6364.1756288330262</v>
      </c>
      <c r="AS14">
        <f t="shared" si="20"/>
        <v>6450.9766987420089</v>
      </c>
      <c r="AT14">
        <f t="shared" si="20"/>
        <v>6537.7777686509917</v>
      </c>
      <c r="AU14">
        <f t="shared" si="20"/>
        <v>6624.5788385599753</v>
      </c>
      <c r="AV14">
        <f t="shared" si="20"/>
        <v>6604.8621724512659</v>
      </c>
      <c r="AW14">
        <f t="shared" si="20"/>
        <v>6585.1455063425583</v>
      </c>
      <c r="AX14">
        <f t="shared" si="20"/>
        <v>6565.4288402338498</v>
      </c>
      <c r="AY14">
        <f t="shared" si="20"/>
        <v>6545.7121741251422</v>
      </c>
      <c r="AZ14">
        <f t="shared" si="20"/>
        <v>6525.9955080164336</v>
      </c>
      <c r="BA14">
        <f t="shared" si="20"/>
        <v>6506.2788419077242</v>
      </c>
      <c r="BB14">
        <f t="shared" si="20"/>
        <v>6486.5621757990166</v>
      </c>
      <c r="BC14">
        <f t="shared" si="20"/>
        <v>6466.8455096903081</v>
      </c>
      <c r="BD14">
        <f t="shared" si="20"/>
        <v>6447.1288435816004</v>
      </c>
      <c r="BE14">
        <f t="shared" si="20"/>
        <v>6427.4121774728919</v>
      </c>
      <c r="BF14">
        <f t="shared" si="20"/>
        <v>6371.2499378269622</v>
      </c>
      <c r="BG14">
        <f t="shared" si="20"/>
        <v>6315.0876981810334</v>
      </c>
      <c r="BH14">
        <f t="shared" si="20"/>
        <v>6258.9254585351036</v>
      </c>
      <c r="BI14">
        <f t="shared" si="20"/>
        <v>6202.7632188891748</v>
      </c>
      <c r="BJ14">
        <f t="shared" si="20"/>
        <v>6146.6009792432451</v>
      </c>
      <c r="BK14">
        <f t="shared" si="20"/>
        <v>6090.4387395973172</v>
      </c>
      <c r="BL14">
        <f t="shared" si="20"/>
        <v>6034.2764999513874</v>
      </c>
      <c r="BM14">
        <f t="shared" si="20"/>
        <v>5978.1142603054586</v>
      </c>
      <c r="BN14">
        <f t="shared" si="20"/>
        <v>5921.9520206595289</v>
      </c>
      <c r="BO14">
        <f t="shared" si="20"/>
        <v>5865.7897810136001</v>
      </c>
      <c r="BP14">
        <f t="shared" si="20"/>
        <v>5782.3750767958563</v>
      </c>
      <c r="BQ14">
        <f t="shared" ref="BQ14:BY14" si="21">BQ4*$E$11</f>
        <v>5698.9603725781135</v>
      </c>
      <c r="BR14">
        <f t="shared" si="21"/>
        <v>5615.5456683603697</v>
      </c>
      <c r="BS14">
        <f t="shared" si="21"/>
        <v>5532.1309641426269</v>
      </c>
      <c r="BT14">
        <f t="shared" si="21"/>
        <v>5448.7162599248841</v>
      </c>
      <c r="BU14">
        <f t="shared" si="21"/>
        <v>5365.3015557071412</v>
      </c>
      <c r="BV14">
        <f t="shared" si="21"/>
        <v>5281.8868514893975</v>
      </c>
      <c r="BW14">
        <f t="shared" si="21"/>
        <v>5198.4721472716537</v>
      </c>
      <c r="BX14">
        <f t="shared" si="21"/>
        <v>5115.0574430539109</v>
      </c>
      <c r="BY14">
        <f t="shared" si="21"/>
        <v>5031.6427388361681</v>
      </c>
    </row>
    <row r="15" spans="1:77">
      <c r="C15" t="s">
        <v>77</v>
      </c>
      <c r="D15">
        <v>27.91</v>
      </c>
      <c r="E15">
        <v>39.56</v>
      </c>
      <c r="F15">
        <v>115.7163</v>
      </c>
      <c r="G15">
        <v>230.48</v>
      </c>
      <c r="H15">
        <v>301.32</v>
      </c>
      <c r="I15">
        <v>406.12</v>
      </c>
      <c r="J15">
        <v>477.6</v>
      </c>
      <c r="K15">
        <v>551.58000000000004</v>
      </c>
      <c r="L15">
        <v>681.3</v>
      </c>
      <c r="M15">
        <v>747.84</v>
      </c>
      <c r="N15">
        <v>773.52</v>
      </c>
      <c r="O15">
        <v>800.24</v>
      </c>
      <c r="P15">
        <v>857.3</v>
      </c>
      <c r="Q15">
        <v>970.54</v>
      </c>
      <c r="R15">
        <v>1091.3499999999999</v>
      </c>
      <c r="S15">
        <v>1268.7</v>
      </c>
      <c r="T15">
        <v>1263.19</v>
      </c>
      <c r="U15">
        <v>1782.3</v>
      </c>
      <c r="V15">
        <v>2044.93</v>
      </c>
      <c r="W15">
        <v>2370.6600050000002</v>
      </c>
      <c r="X15">
        <v>2791.725758</v>
      </c>
      <c r="Y15">
        <v>2882.7993329999999</v>
      </c>
      <c r="Z15">
        <v>3375.2353619999999</v>
      </c>
      <c r="AA15">
        <v>4038.995958</v>
      </c>
      <c r="AB15">
        <v>4536.9629000000004</v>
      </c>
      <c r="AC15">
        <v>5025.7366140000004</v>
      </c>
      <c r="AD15">
        <v>5656.7595609999998</v>
      </c>
      <c r="AE15">
        <v>6334.1902770000006</v>
      </c>
      <c r="AF15">
        <v>7282.5513000000001</v>
      </c>
      <c r="AG15">
        <v>8378.1347750000004</v>
      </c>
      <c r="AH15">
        <v>9513.0357700000004</v>
      </c>
      <c r="AI15">
        <v>10712.316618999999</v>
      </c>
      <c r="AJ15">
        <v>11705.1</v>
      </c>
      <c r="AK15">
        <v>11641.188757268581</v>
      </c>
      <c r="AL15">
        <v>11577.27751453716</v>
      </c>
      <c r="AM15">
        <v>11513.36627180574</v>
      </c>
      <c r="AN15">
        <v>11449.455029074321</v>
      </c>
      <c r="AO15">
        <v>11385.5437863429</v>
      </c>
      <c r="AP15">
        <v>11321.63254361148</v>
      </c>
      <c r="AQ15">
        <v>11257.721300880059</v>
      </c>
      <c r="AR15">
        <v>11193.81005814864</v>
      </c>
      <c r="AS15">
        <v>11129.89881541722</v>
      </c>
      <c r="AT15">
        <v>11065.987572685799</v>
      </c>
      <c r="AU15">
        <v>11002.07632995438</v>
      </c>
      <c r="AV15">
        <v>11376.26175376241</v>
      </c>
      <c r="AW15">
        <v>11750.447177570439</v>
      </c>
      <c r="AX15">
        <v>12124.632601378469</v>
      </c>
      <c r="AY15">
        <v>12498.8180251865</v>
      </c>
      <c r="AZ15">
        <v>12873.003448994528</v>
      </c>
      <c r="BA15">
        <v>13247.188872802559</v>
      </c>
      <c r="BB15">
        <v>13621.374296610589</v>
      </c>
      <c r="BC15">
        <v>13995.55972041862</v>
      </c>
      <c r="BD15">
        <v>14369.745144226648</v>
      </c>
      <c r="BE15">
        <v>14743.930568034679</v>
      </c>
      <c r="BF15">
        <v>15054.557760849259</v>
      </c>
      <c r="BG15">
        <v>15365.184953663836</v>
      </c>
      <c r="BH15">
        <v>15675.812146478416</v>
      </c>
      <c r="BI15">
        <v>15986.439339292996</v>
      </c>
      <c r="BJ15">
        <v>16297.066532107576</v>
      </c>
      <c r="BK15">
        <v>16607.693724922156</v>
      </c>
      <c r="BL15">
        <v>16918.320917736732</v>
      </c>
      <c r="BM15">
        <v>17228.948110551311</v>
      </c>
      <c r="BN15">
        <v>17539.575303365891</v>
      </c>
      <c r="BO15">
        <v>17850.202496180471</v>
      </c>
      <c r="BP15">
        <v>18116.706508197523</v>
      </c>
      <c r="BQ15">
        <v>18383.210520214579</v>
      </c>
      <c r="BR15">
        <v>18649.714532231632</v>
      </c>
      <c r="BS15">
        <v>18916.218544248688</v>
      </c>
      <c r="BT15">
        <v>19182.72255626574</v>
      </c>
      <c r="BU15">
        <v>19449.226568282793</v>
      </c>
      <c r="BV15">
        <v>19715.730580299849</v>
      </c>
      <c r="BW15">
        <v>19982.234592316901</v>
      </c>
      <c r="BX15">
        <v>20248.738604333957</v>
      </c>
      <c r="BY15">
        <v>20515.24261635101</v>
      </c>
    </row>
    <row r="16" spans="1:77">
      <c r="C16" t="s">
        <v>11</v>
      </c>
      <c r="D16">
        <v>1093.22</v>
      </c>
      <c r="E16">
        <v>1383.16</v>
      </c>
      <c r="F16">
        <v>2416.14</v>
      </c>
      <c r="G16">
        <v>2612.63</v>
      </c>
      <c r="H16">
        <v>2828.1</v>
      </c>
      <c r="I16">
        <v>3152.24</v>
      </c>
      <c r="J16">
        <v>3483.3</v>
      </c>
      <c r="K16">
        <v>3636</v>
      </c>
      <c r="L16">
        <v>3545.7</v>
      </c>
      <c r="M16">
        <v>3347.6</v>
      </c>
      <c r="N16">
        <v>3584.86</v>
      </c>
      <c r="O16">
        <v>3773.42</v>
      </c>
      <c r="P16">
        <v>4135.8999999999996</v>
      </c>
      <c r="Q16">
        <v>4532.59</v>
      </c>
      <c r="R16">
        <v>4766.82</v>
      </c>
      <c r="S16">
        <v>4969.3999999999996</v>
      </c>
      <c r="T16">
        <v>4788.6099999999997</v>
      </c>
      <c r="U16">
        <v>5712.2</v>
      </c>
      <c r="V16">
        <v>6061.96</v>
      </c>
      <c r="W16">
        <v>6622.1222100000005</v>
      </c>
      <c r="X16">
        <v>7216.31</v>
      </c>
      <c r="Y16">
        <v>7778.6045560999992</v>
      </c>
      <c r="Z16">
        <v>7878.8885200000004</v>
      </c>
      <c r="AA16">
        <v>8762.1782600000006</v>
      </c>
      <c r="AB16">
        <v>9612.2935529999995</v>
      </c>
      <c r="AC16">
        <v>9812.3271799999984</v>
      </c>
      <c r="AD16">
        <v>10595.61858</v>
      </c>
      <c r="AE16">
        <v>11241.85</v>
      </c>
      <c r="AF16">
        <v>11960.604300000001</v>
      </c>
      <c r="AG16">
        <v>12579.29334</v>
      </c>
      <c r="AH16">
        <v>13456.92044</v>
      </c>
      <c r="AI16">
        <v>14146.582490000001</v>
      </c>
      <c r="AJ16">
        <v>14706.6</v>
      </c>
      <c r="AK16">
        <v>14713.2804</v>
      </c>
      <c r="AL16">
        <v>14527.128269641313</v>
      </c>
      <c r="AM16">
        <v>14437.392404461969</v>
      </c>
      <c r="AN16">
        <v>14347.656539282625</v>
      </c>
      <c r="AO16">
        <v>14257.920674103281</v>
      </c>
      <c r="AP16">
        <v>14168.184808923936</v>
      </c>
      <c r="AQ16">
        <v>14078.448943744592</v>
      </c>
      <c r="AR16">
        <v>13988.713078565248</v>
      </c>
      <c r="AS16">
        <v>13898.977213385904</v>
      </c>
      <c r="AT16">
        <v>13809.24134820656</v>
      </c>
      <c r="AU16">
        <v>13719.505483027217</v>
      </c>
      <c r="AV16">
        <v>13971.613551899054</v>
      </c>
      <c r="AW16">
        <v>14223.721620770892</v>
      </c>
      <c r="AX16">
        <v>14475.829689642727</v>
      </c>
      <c r="AY16">
        <v>14727.937758514565</v>
      </c>
      <c r="AZ16">
        <v>14980.045827386402</v>
      </c>
      <c r="BA16">
        <v>15232.15389625824</v>
      </c>
      <c r="BB16">
        <v>15484.261965130077</v>
      </c>
      <c r="BC16">
        <v>15736.370034001913</v>
      </c>
      <c r="BD16">
        <v>15988.478102873751</v>
      </c>
      <c r="BE16">
        <v>16240.586171745588</v>
      </c>
      <c r="BF16">
        <v>16432.398786491627</v>
      </c>
      <c r="BG16">
        <v>16624.21140123767</v>
      </c>
      <c r="BH16">
        <v>16816.024015983712</v>
      </c>
      <c r="BI16">
        <v>17007.836630729751</v>
      </c>
      <c r="BJ16">
        <v>17199.64924547579</v>
      </c>
      <c r="BK16">
        <v>17391.461860221832</v>
      </c>
      <c r="BL16">
        <v>17583.274474967875</v>
      </c>
      <c r="BM16">
        <v>17775.087089713914</v>
      </c>
      <c r="BN16">
        <v>17966.899704459953</v>
      </c>
      <c r="BO16">
        <v>18158.712319205995</v>
      </c>
      <c r="BP16">
        <v>18317.131254994703</v>
      </c>
      <c r="BQ16">
        <v>18475.550190783415</v>
      </c>
      <c r="BR16">
        <v>18633.969126572123</v>
      </c>
      <c r="BS16">
        <v>18792.388062360835</v>
      </c>
      <c r="BT16">
        <v>18950.806998149543</v>
      </c>
      <c r="BU16">
        <v>19109.225933938251</v>
      </c>
      <c r="BV16">
        <v>19267.644869726962</v>
      </c>
      <c r="BW16">
        <v>19426.063805515671</v>
      </c>
      <c r="BX16">
        <v>19584.482741304382</v>
      </c>
      <c r="BY16">
        <v>19742.90167709309</v>
      </c>
    </row>
    <row r="17" spans="3:77">
      <c r="C17" t="s">
        <v>12</v>
      </c>
      <c r="D17">
        <v>100.63</v>
      </c>
      <c r="E17">
        <v>129.12</v>
      </c>
      <c r="F17">
        <v>178.65</v>
      </c>
      <c r="G17">
        <v>164.91</v>
      </c>
      <c r="H17">
        <v>177.2</v>
      </c>
      <c r="I17">
        <v>198.35</v>
      </c>
      <c r="J17">
        <v>196.4</v>
      </c>
      <c r="K17">
        <v>183.5</v>
      </c>
      <c r="L17">
        <v>171.8</v>
      </c>
      <c r="M17">
        <v>160.57</v>
      </c>
      <c r="N17">
        <v>155.69999999999999</v>
      </c>
      <c r="O17">
        <v>120.27</v>
      </c>
      <c r="P17">
        <v>107.28</v>
      </c>
      <c r="Q17">
        <v>100.54</v>
      </c>
      <c r="R17">
        <v>89.88</v>
      </c>
      <c r="S17">
        <v>81.8</v>
      </c>
      <c r="T17">
        <v>63.1</v>
      </c>
      <c r="U17">
        <v>66.3</v>
      </c>
      <c r="V17">
        <v>67.77</v>
      </c>
      <c r="W17">
        <v>73.582499999999996</v>
      </c>
      <c r="X17">
        <v>77.778300000000002</v>
      </c>
      <c r="Y17">
        <v>59.179600000000001</v>
      </c>
      <c r="Z17">
        <v>69.380200000000002</v>
      </c>
      <c r="AA17">
        <v>72.270099999999999</v>
      </c>
      <c r="AB17">
        <v>74.528499999999994</v>
      </c>
      <c r="AC17">
        <v>77.479100000000003</v>
      </c>
      <c r="AD17">
        <v>68.332599999999999</v>
      </c>
      <c r="AE17">
        <v>74.34129320000001</v>
      </c>
      <c r="AF17">
        <v>73.084000000000003</v>
      </c>
      <c r="AG17">
        <v>72.326541910000003</v>
      </c>
      <c r="AH17">
        <v>77.664137310000001</v>
      </c>
      <c r="AI17">
        <v>79.574191299999995</v>
      </c>
      <c r="AJ17">
        <v>80.2</v>
      </c>
      <c r="AK17">
        <v>78.22574479575394</v>
      </c>
      <c r="AL17">
        <v>76.251489591507877</v>
      </c>
      <c r="AM17">
        <v>74.277234387261814</v>
      </c>
      <c r="AN17">
        <v>72.302979183015751</v>
      </c>
      <c r="AO17">
        <v>70.328723978769688</v>
      </c>
      <c r="AP17">
        <v>68.354468774523625</v>
      </c>
      <c r="AQ17">
        <v>66.380213570277562</v>
      </c>
      <c r="AR17">
        <v>64.405958366031498</v>
      </c>
      <c r="AS17">
        <v>62.431703161785443</v>
      </c>
      <c r="AT17">
        <v>60.45744795753938</v>
      </c>
      <c r="AU17">
        <v>58.483192753293316</v>
      </c>
      <c r="AV17">
        <v>57.940162117565471</v>
      </c>
      <c r="AW17">
        <v>57.397131481837626</v>
      </c>
      <c r="AX17">
        <v>56.854100846109787</v>
      </c>
      <c r="AY17">
        <v>56.311070210381942</v>
      </c>
      <c r="AZ17">
        <v>55.768039574654097</v>
      </c>
      <c r="BA17">
        <v>55.225008938926251</v>
      </c>
      <c r="BB17">
        <v>54.681978303198406</v>
      </c>
      <c r="BC17">
        <v>54.138947667470568</v>
      </c>
      <c r="BD17">
        <v>53.595917031742722</v>
      </c>
      <c r="BE17">
        <v>53.052886396014877</v>
      </c>
      <c r="BF17">
        <v>52.395831771681173</v>
      </c>
      <c r="BG17">
        <v>51.73877714734747</v>
      </c>
      <c r="BH17">
        <v>51.081722523013767</v>
      </c>
      <c r="BI17">
        <v>50.424667898680063</v>
      </c>
      <c r="BJ17">
        <v>49.76761327434636</v>
      </c>
      <c r="BK17">
        <v>49.110558650012663</v>
      </c>
      <c r="BL17">
        <v>48.45350402567896</v>
      </c>
      <c r="BM17">
        <v>47.796449401345257</v>
      </c>
      <c r="BN17">
        <v>47.139394777011553</v>
      </c>
      <c r="BO17">
        <v>46.48234015267785</v>
      </c>
      <c r="BP17">
        <v>45.846047477440194</v>
      </c>
      <c r="BQ17">
        <v>45.209754802202539</v>
      </c>
      <c r="BR17">
        <v>44.573462126964877</v>
      </c>
      <c r="BS17">
        <v>43.937169451727222</v>
      </c>
      <c r="BT17">
        <v>43.300876776489567</v>
      </c>
      <c r="BU17">
        <v>42.664584101251911</v>
      </c>
      <c r="BV17">
        <v>42.028291426014256</v>
      </c>
      <c r="BW17">
        <v>41.391998750776594</v>
      </c>
      <c r="BX17">
        <v>40.755706075538939</v>
      </c>
      <c r="BY17">
        <v>40.119413400301283</v>
      </c>
    </row>
    <row r="20" spans="3:77">
      <c r="C20" t="s">
        <v>78</v>
      </c>
    </row>
    <row r="21" spans="3:77">
      <c r="C21" t="s">
        <v>66</v>
      </c>
      <c r="D21">
        <f>D13/$AK$13</f>
        <v>1.0119579143533796E-2</v>
      </c>
      <c r="E21">
        <f t="shared" ref="E21:BP21" si="22">E13/$AK$13</f>
        <v>1.4161198897387118E-2</v>
      </c>
      <c r="F21">
        <f t="shared" si="22"/>
        <v>3.3483713165353111E-2</v>
      </c>
      <c r="G21">
        <f t="shared" si="22"/>
        <v>5.0866172302675011E-2</v>
      </c>
      <c r="H21">
        <f t="shared" si="22"/>
        <v>5.5746787281127454E-2</v>
      </c>
      <c r="I21">
        <f t="shared" si="22"/>
        <v>6.1976161820087743E-2</v>
      </c>
      <c r="J21">
        <f t="shared" si="22"/>
        <v>7.1838723453818379E-2</v>
      </c>
      <c r="K21">
        <f t="shared" si="22"/>
        <v>8.1925301859688632E-2</v>
      </c>
      <c r="L21">
        <f t="shared" si="22"/>
        <v>8.9356291493574574E-2</v>
      </c>
      <c r="M21">
        <f t="shared" si="22"/>
        <v>9.5290406491439217E-2</v>
      </c>
      <c r="N21">
        <f t="shared" si="22"/>
        <v>0.10757075746399038</v>
      </c>
      <c r="O21">
        <f t="shared" si="22"/>
        <v>0.11536300811429903</v>
      </c>
      <c r="P21">
        <f t="shared" si="22"/>
        <v>0.12034087820786582</v>
      </c>
      <c r="Q21">
        <f t="shared" si="22"/>
        <v>0.12923515937415073</v>
      </c>
      <c r="R21">
        <f t="shared" si="22"/>
        <v>0.139905268470707</v>
      </c>
      <c r="S21">
        <f t="shared" si="22"/>
        <v>0.15152774003183603</v>
      </c>
      <c r="T21">
        <f t="shared" si="22"/>
        <v>0.14938851574329309</v>
      </c>
      <c r="U21">
        <f t="shared" si="22"/>
        <v>0.16982567845634197</v>
      </c>
      <c r="V21">
        <f t="shared" si="22"/>
        <v>0.18037970260511707</v>
      </c>
      <c r="W21">
        <f t="shared" si="22"/>
        <v>0.19666199091509104</v>
      </c>
      <c r="X21">
        <f t="shared" si="22"/>
        <v>0.2233716426602477</v>
      </c>
      <c r="Y21">
        <f t="shared" si="22"/>
        <v>0.24218882051481153</v>
      </c>
      <c r="Z21">
        <f t="shared" si="22"/>
        <v>0.26228670846760105</v>
      </c>
      <c r="AA21">
        <f t="shared" si="22"/>
        <v>0.29158699188570097</v>
      </c>
      <c r="AB21">
        <f t="shared" si="22"/>
        <v>0.32535323601351085</v>
      </c>
      <c r="AC21">
        <f t="shared" si="22"/>
        <v>0.35849567107970648</v>
      </c>
      <c r="AD21">
        <f t="shared" si="22"/>
        <v>0.21840554024148773</v>
      </c>
      <c r="AE21">
        <f t="shared" si="22"/>
        <v>0.21347109523624647</v>
      </c>
      <c r="AF21">
        <f t="shared" si="22"/>
        <v>0.20853862056916567</v>
      </c>
      <c r="AG21">
        <f t="shared" si="22"/>
        <v>0.19856170465290987</v>
      </c>
      <c r="AH21">
        <f t="shared" si="22"/>
        <v>0.18956360290406493</v>
      </c>
      <c r="AI21">
        <f t="shared" si="22"/>
        <v>0.18013896428038981</v>
      </c>
      <c r="AJ21">
        <f t="shared" si="22"/>
        <v>0.17193578444694646</v>
      </c>
      <c r="AK21">
        <f t="shared" si="22"/>
        <v>1</v>
      </c>
      <c r="AL21">
        <f t="shared" si="22"/>
        <v>1.0150786141683668</v>
      </c>
      <c r="AM21">
        <f t="shared" si="22"/>
        <v>1.0301572283367335</v>
      </c>
      <c r="AN21">
        <f t="shared" si="22"/>
        <v>1.0452358425051003</v>
      </c>
      <c r="AO21">
        <f t="shared" si="22"/>
        <v>1.0603144566734668</v>
      </c>
      <c r="AP21">
        <f t="shared" si="22"/>
        <v>1.0753930708418336</v>
      </c>
      <c r="AQ21">
        <f t="shared" si="22"/>
        <v>1.0904716850102003</v>
      </c>
      <c r="AR21">
        <f t="shared" si="22"/>
        <v>1.1055502991785671</v>
      </c>
      <c r="AS21">
        <f t="shared" si="22"/>
        <v>1.1206289133469338</v>
      </c>
      <c r="AT21">
        <f t="shared" si="22"/>
        <v>1.1357075275153004</v>
      </c>
      <c r="AU21">
        <f t="shared" si="22"/>
        <v>1.1507861416836673</v>
      </c>
      <c r="AV21">
        <f t="shared" si="22"/>
        <v>1.1473610686833982</v>
      </c>
      <c r="AW21">
        <f t="shared" si="22"/>
        <v>1.143935995683129</v>
      </c>
      <c r="AX21">
        <f t="shared" si="22"/>
        <v>1.14051092268286</v>
      </c>
      <c r="AY21">
        <f t="shared" si="22"/>
        <v>1.1370858496825911</v>
      </c>
      <c r="AZ21">
        <f t="shared" si="22"/>
        <v>1.1336607766823219</v>
      </c>
      <c r="BA21">
        <f t="shared" si="22"/>
        <v>1.1302357036820527</v>
      </c>
      <c r="BB21">
        <f t="shared" si="22"/>
        <v>1.1268106306817838</v>
      </c>
      <c r="BC21">
        <f t="shared" si="22"/>
        <v>1.1233855576815146</v>
      </c>
      <c r="BD21">
        <f t="shared" si="22"/>
        <v>1.1199604846812456</v>
      </c>
      <c r="BE21">
        <f t="shared" si="22"/>
        <v>1.1165354116809765</v>
      </c>
      <c r="BF21">
        <f t="shared" si="22"/>
        <v>1.1067792100196341</v>
      </c>
      <c r="BG21">
        <f t="shared" si="22"/>
        <v>1.0970230083582917</v>
      </c>
      <c r="BH21">
        <f t="shared" si="22"/>
        <v>1.0872668066969495</v>
      </c>
      <c r="BI21">
        <f t="shared" si="22"/>
        <v>1.0775106050356071</v>
      </c>
      <c r="BJ21">
        <f t="shared" si="22"/>
        <v>1.0677544033742645</v>
      </c>
      <c r="BK21">
        <f t="shared" si="22"/>
        <v>1.0579982017129224</v>
      </c>
      <c r="BL21">
        <f t="shared" si="22"/>
        <v>1.04824200005158</v>
      </c>
      <c r="BM21">
        <f t="shared" si="22"/>
        <v>1.0384857983902376</v>
      </c>
      <c r="BN21">
        <f t="shared" si="22"/>
        <v>1.0287295967288954</v>
      </c>
      <c r="BO21">
        <f t="shared" si="22"/>
        <v>1.0189733950675528</v>
      </c>
      <c r="BP21">
        <f t="shared" si="22"/>
        <v>1.0044830421008595</v>
      </c>
      <c r="BQ21">
        <f t="shared" ref="BQ21:BY21" si="23">BQ13/$AK$13</f>
        <v>0.98999268913416638</v>
      </c>
      <c r="BR21">
        <f t="shared" si="23"/>
        <v>0.97550233616747306</v>
      </c>
      <c r="BS21">
        <f t="shared" si="23"/>
        <v>0.96101198320077985</v>
      </c>
      <c r="BT21">
        <f t="shared" si="23"/>
        <v>0.94652163023408653</v>
      </c>
      <c r="BU21">
        <f t="shared" si="23"/>
        <v>0.93203127726739332</v>
      </c>
      <c r="BV21">
        <f t="shared" si="23"/>
        <v>0.91754092430069989</v>
      </c>
      <c r="BW21">
        <f t="shared" si="23"/>
        <v>0.90305057133400657</v>
      </c>
      <c r="BX21">
        <f t="shared" si="23"/>
        <v>0.88856021836731336</v>
      </c>
      <c r="BY21">
        <f t="shared" si="23"/>
        <v>0.87406986540062004</v>
      </c>
    </row>
    <row r="22" spans="3:77">
      <c r="C22" t="s">
        <v>52</v>
      </c>
      <c r="D22">
        <f>D14/$AK$14</f>
        <v>1.0119579143533796E-2</v>
      </c>
      <c r="E22">
        <f t="shared" ref="E22:BP22" si="24">E14/$AK$14</f>
        <v>1.4161198897387118E-2</v>
      </c>
      <c r="F22">
        <f t="shared" si="24"/>
        <v>3.3483713165353111E-2</v>
      </c>
      <c r="G22">
        <f t="shared" si="24"/>
        <v>5.0866172302675004E-2</v>
      </c>
      <c r="H22">
        <f t="shared" si="24"/>
        <v>5.5746787281127454E-2</v>
      </c>
      <c r="I22">
        <f t="shared" si="24"/>
        <v>6.1976161820087736E-2</v>
      </c>
      <c r="J22">
        <f t="shared" si="24"/>
        <v>7.1838723453818379E-2</v>
      </c>
      <c r="K22">
        <f t="shared" si="24"/>
        <v>8.1925301859688632E-2</v>
      </c>
      <c r="L22">
        <f t="shared" si="24"/>
        <v>8.9356291493574574E-2</v>
      </c>
      <c r="M22">
        <f t="shared" si="24"/>
        <v>9.5290406491439217E-2</v>
      </c>
      <c r="N22">
        <f t="shared" si="24"/>
        <v>0.10757075746399036</v>
      </c>
      <c r="O22">
        <f t="shared" si="24"/>
        <v>0.11536300811429905</v>
      </c>
      <c r="P22">
        <f t="shared" si="24"/>
        <v>0.12034087820786582</v>
      </c>
      <c r="Q22">
        <f t="shared" si="24"/>
        <v>0.12923515937415073</v>
      </c>
      <c r="R22">
        <f t="shared" si="24"/>
        <v>0.139905268470707</v>
      </c>
      <c r="S22">
        <f t="shared" si="24"/>
        <v>0.151527740031836</v>
      </c>
      <c r="T22">
        <f t="shared" si="24"/>
        <v>0.14938851574329309</v>
      </c>
      <c r="U22">
        <f t="shared" si="24"/>
        <v>0.16982567845634194</v>
      </c>
      <c r="V22">
        <f t="shared" si="24"/>
        <v>0.18037970260511707</v>
      </c>
      <c r="W22">
        <f t="shared" si="24"/>
        <v>0.19666199091509104</v>
      </c>
      <c r="X22">
        <f t="shared" si="24"/>
        <v>0.2233716426602477</v>
      </c>
      <c r="Y22">
        <f t="shared" si="24"/>
        <v>0.24218882051481153</v>
      </c>
      <c r="Z22">
        <f t="shared" si="24"/>
        <v>0.26228670846760105</v>
      </c>
      <c r="AA22">
        <f t="shared" si="24"/>
        <v>0.29158699188570097</v>
      </c>
      <c r="AB22">
        <f t="shared" si="24"/>
        <v>0.32535323601351085</v>
      </c>
      <c r="AC22">
        <f t="shared" si="24"/>
        <v>0.35849567107970648</v>
      </c>
      <c r="AD22">
        <f t="shared" si="24"/>
        <v>0.21840554024148773</v>
      </c>
      <c r="AE22">
        <f t="shared" si="24"/>
        <v>0.21347109523624644</v>
      </c>
      <c r="AF22">
        <f t="shared" si="24"/>
        <v>0.20853862056916564</v>
      </c>
      <c r="AG22">
        <f t="shared" si="24"/>
        <v>0.19856170465290984</v>
      </c>
      <c r="AH22">
        <f t="shared" si="24"/>
        <v>0.1895636029040649</v>
      </c>
      <c r="AI22">
        <f t="shared" si="24"/>
        <v>0.18013896428038981</v>
      </c>
      <c r="AJ22">
        <f t="shared" si="24"/>
        <v>0.17193578444694646</v>
      </c>
      <c r="AK22">
        <f t="shared" si="24"/>
        <v>1</v>
      </c>
      <c r="AL22">
        <f t="shared" si="24"/>
        <v>1.0150786141683668</v>
      </c>
      <c r="AM22">
        <f t="shared" si="24"/>
        <v>1.0301572283367335</v>
      </c>
      <c r="AN22">
        <f t="shared" si="24"/>
        <v>1.0452358425051</v>
      </c>
      <c r="AO22">
        <f t="shared" si="24"/>
        <v>1.0603144566734668</v>
      </c>
      <c r="AP22">
        <f t="shared" si="24"/>
        <v>1.0753930708418336</v>
      </c>
      <c r="AQ22">
        <f t="shared" si="24"/>
        <v>1.0904716850102003</v>
      </c>
      <c r="AR22">
        <f t="shared" si="24"/>
        <v>1.1055502991785671</v>
      </c>
      <c r="AS22">
        <f t="shared" si="24"/>
        <v>1.1206289133469338</v>
      </c>
      <c r="AT22">
        <f t="shared" si="24"/>
        <v>1.1357075275153004</v>
      </c>
      <c r="AU22">
        <f t="shared" si="24"/>
        <v>1.1507861416836673</v>
      </c>
      <c r="AV22">
        <f t="shared" si="24"/>
        <v>1.1473610686833979</v>
      </c>
      <c r="AW22">
        <f t="shared" si="24"/>
        <v>1.143935995683129</v>
      </c>
      <c r="AX22">
        <f t="shared" si="24"/>
        <v>1.14051092268286</v>
      </c>
      <c r="AY22">
        <f t="shared" si="24"/>
        <v>1.1370858496825911</v>
      </c>
      <c r="AZ22">
        <f t="shared" si="24"/>
        <v>1.1336607766823219</v>
      </c>
      <c r="BA22">
        <f t="shared" si="24"/>
        <v>1.1302357036820527</v>
      </c>
      <c r="BB22">
        <f t="shared" si="24"/>
        <v>1.1268106306817838</v>
      </c>
      <c r="BC22">
        <f t="shared" si="24"/>
        <v>1.1233855576815146</v>
      </c>
      <c r="BD22">
        <f t="shared" si="24"/>
        <v>1.1199604846812456</v>
      </c>
      <c r="BE22">
        <f t="shared" si="24"/>
        <v>1.1165354116809767</v>
      </c>
      <c r="BF22">
        <f t="shared" si="24"/>
        <v>1.1067792100196341</v>
      </c>
      <c r="BG22">
        <f t="shared" si="24"/>
        <v>1.0970230083582919</v>
      </c>
      <c r="BH22">
        <f t="shared" si="24"/>
        <v>1.0872668066969493</v>
      </c>
      <c r="BI22">
        <f t="shared" si="24"/>
        <v>1.0775106050356071</v>
      </c>
      <c r="BJ22">
        <f t="shared" si="24"/>
        <v>1.0677544033742645</v>
      </c>
      <c r="BK22">
        <f t="shared" si="24"/>
        <v>1.0579982017129224</v>
      </c>
      <c r="BL22">
        <f t="shared" si="24"/>
        <v>1.04824200005158</v>
      </c>
      <c r="BM22">
        <f t="shared" si="24"/>
        <v>1.0384857983902376</v>
      </c>
      <c r="BN22">
        <f t="shared" si="24"/>
        <v>1.0287295967288952</v>
      </c>
      <c r="BO22">
        <f t="shared" si="24"/>
        <v>1.0189733950675528</v>
      </c>
      <c r="BP22">
        <f t="shared" si="24"/>
        <v>1.0044830421008595</v>
      </c>
      <c r="BQ22">
        <f t="shared" ref="BQ22:BY22" si="25">BQ14/$AK$14</f>
        <v>0.98999268913416627</v>
      </c>
      <c r="BR22">
        <f t="shared" si="25"/>
        <v>0.97550233616747295</v>
      </c>
      <c r="BS22">
        <f t="shared" si="25"/>
        <v>0.96101198320077974</v>
      </c>
      <c r="BT22">
        <f t="shared" si="25"/>
        <v>0.94652163023408653</v>
      </c>
      <c r="BU22">
        <f t="shared" si="25"/>
        <v>0.93203127726739332</v>
      </c>
      <c r="BV22">
        <f t="shared" si="25"/>
        <v>0.91754092430069989</v>
      </c>
      <c r="BW22">
        <f t="shared" si="25"/>
        <v>0.90305057133400657</v>
      </c>
      <c r="BX22">
        <f t="shared" si="25"/>
        <v>0.88856021836731336</v>
      </c>
      <c r="BY22">
        <f t="shared" si="25"/>
        <v>0.87406986540062015</v>
      </c>
    </row>
    <row r="23" spans="3:77">
      <c r="C23" t="s">
        <v>77</v>
      </c>
      <c r="D23">
        <f>D15/$AK$15</f>
        <v>2.3975214715570539E-3</v>
      </c>
      <c r="E23">
        <f t="shared" ref="E23:T23" si="26">E15/$AK$15</f>
        <v>3.3982783738730582E-3</v>
      </c>
      <c r="F23">
        <f t="shared" si="26"/>
        <v>9.9402477197827847E-3</v>
      </c>
      <c r="G23">
        <f t="shared" si="26"/>
        <v>1.9798665308651729E-2</v>
      </c>
      <c r="H23">
        <f t="shared" si="26"/>
        <v>2.5883954489773254E-2</v>
      </c>
      <c r="I23">
        <f t="shared" si="26"/>
        <v>3.4886471516615933E-2</v>
      </c>
      <c r="J23">
        <f t="shared" si="26"/>
        <v>4.1026737900954818E-2</v>
      </c>
      <c r="K23">
        <f t="shared" si="26"/>
        <v>4.7381758985361518E-2</v>
      </c>
      <c r="L23">
        <f t="shared" si="26"/>
        <v>5.8524950862480142E-2</v>
      </c>
      <c r="M23">
        <f t="shared" si="26"/>
        <v>6.4240861959485029E-2</v>
      </c>
      <c r="N23">
        <f t="shared" si="26"/>
        <v>6.6446822238581602E-2</v>
      </c>
      <c r="O23">
        <f t="shared" si="26"/>
        <v>6.8742120472906371E-2</v>
      </c>
      <c r="P23">
        <f t="shared" si="26"/>
        <v>7.3643681747254108E-2</v>
      </c>
      <c r="Q23">
        <f t="shared" si="26"/>
        <v>8.3371210641525723E-2</v>
      </c>
      <c r="R23">
        <f t="shared" si="26"/>
        <v>9.3749016767602666E-2</v>
      </c>
      <c r="S23">
        <f t="shared" si="26"/>
        <v>0.10898371519041328</v>
      </c>
      <c r="T23">
        <f t="shared" si="26"/>
        <v>0.10851039583146381</v>
      </c>
      <c r="U23">
        <f t="shared" ref="U23:BY23" si="27">U15/$AK$15</f>
        <v>0.15310292077234458</v>
      </c>
      <c r="V23">
        <f t="shared" si="27"/>
        <v>0.17566333152386837</v>
      </c>
      <c r="W23">
        <f t="shared" si="27"/>
        <v>0.20364415133461317</v>
      </c>
      <c r="X23">
        <f t="shared" si="27"/>
        <v>0.23981449113235012</v>
      </c>
      <c r="Y23">
        <f t="shared" si="27"/>
        <v>0.24763788244564147</v>
      </c>
      <c r="Z23">
        <f t="shared" si="27"/>
        <v>0.28993906312983325</v>
      </c>
      <c r="AA23">
        <f t="shared" si="27"/>
        <v>0.34695734621415808</v>
      </c>
      <c r="AB23">
        <f t="shared" si="27"/>
        <v>0.3897336427233164</v>
      </c>
      <c r="AC23">
        <f t="shared" si="27"/>
        <v>0.43172022366375656</v>
      </c>
      <c r="AD23">
        <f t="shared" si="27"/>
        <v>0.48592628115131331</v>
      </c>
      <c r="AE23">
        <f t="shared" si="27"/>
        <v>0.54411885324383458</v>
      </c>
      <c r="AF23">
        <f t="shared" si="27"/>
        <v>0.62558484806398196</v>
      </c>
      <c r="AG23">
        <f t="shared" si="27"/>
        <v>0.71969752829313249</v>
      </c>
      <c r="AH23">
        <f t="shared" si="27"/>
        <v>0.81718765740828714</v>
      </c>
      <c r="AI23">
        <f t="shared" si="27"/>
        <v>0.92020813701791337</v>
      </c>
      <c r="AJ23">
        <f t="shared" si="27"/>
        <v>1.0054900959054989</v>
      </c>
      <c r="AK23">
        <f t="shared" si="27"/>
        <v>1</v>
      </c>
      <c r="AL23">
        <f t="shared" si="27"/>
        <v>0.99450990409450102</v>
      </c>
      <c r="AM23">
        <f t="shared" si="27"/>
        <v>0.98901980818900215</v>
      </c>
      <c r="AN23">
        <f t="shared" si="27"/>
        <v>0.98352971228350328</v>
      </c>
      <c r="AO23">
        <f t="shared" si="27"/>
        <v>0.9780396163780043</v>
      </c>
      <c r="AP23">
        <f t="shared" si="27"/>
        <v>0.97254952047250542</v>
      </c>
      <c r="AQ23">
        <f t="shared" si="27"/>
        <v>0.96705942456700644</v>
      </c>
      <c r="AR23">
        <f t="shared" si="27"/>
        <v>0.96156932866150757</v>
      </c>
      <c r="AS23">
        <f t="shared" si="27"/>
        <v>0.95607923275600881</v>
      </c>
      <c r="AT23">
        <f t="shared" si="27"/>
        <v>0.95058913685050983</v>
      </c>
      <c r="AU23">
        <f t="shared" si="27"/>
        <v>0.94509904094501096</v>
      </c>
      <c r="AV23">
        <f t="shared" si="27"/>
        <v>0.97724227232886718</v>
      </c>
      <c r="AW23">
        <f t="shared" si="27"/>
        <v>1.0093855037127233</v>
      </c>
      <c r="AX23">
        <f t="shared" si="27"/>
        <v>1.0415287350965796</v>
      </c>
      <c r="AY23">
        <f t="shared" si="27"/>
        <v>1.0736719664804359</v>
      </c>
      <c r="AZ23">
        <f t="shared" si="27"/>
        <v>1.1058151978642921</v>
      </c>
      <c r="BA23">
        <f t="shared" si="27"/>
        <v>1.1379584292481484</v>
      </c>
      <c r="BB23">
        <f t="shared" si="27"/>
        <v>1.1701016606320047</v>
      </c>
      <c r="BC23">
        <f t="shared" si="27"/>
        <v>1.202244892015861</v>
      </c>
      <c r="BD23">
        <f t="shared" si="27"/>
        <v>1.2343881233997172</v>
      </c>
      <c r="BE23">
        <f t="shared" si="27"/>
        <v>1.2665313547835735</v>
      </c>
      <c r="BF23">
        <f t="shared" si="27"/>
        <v>1.293214814633894</v>
      </c>
      <c r="BG23">
        <f t="shared" si="27"/>
        <v>1.3198982744842145</v>
      </c>
      <c r="BH23">
        <f t="shared" si="27"/>
        <v>1.346581734334535</v>
      </c>
      <c r="BI23">
        <f t="shared" si="27"/>
        <v>1.3732651941848557</v>
      </c>
      <c r="BJ23">
        <f t="shared" si="27"/>
        <v>1.3999486540351762</v>
      </c>
      <c r="BK23">
        <f t="shared" si="27"/>
        <v>1.4266321138854969</v>
      </c>
      <c r="BL23">
        <f t="shared" si="27"/>
        <v>1.4533155737358172</v>
      </c>
      <c r="BM23">
        <f t="shared" si="27"/>
        <v>1.4799990335861377</v>
      </c>
      <c r="BN23">
        <f t="shared" si="27"/>
        <v>1.5066824934364582</v>
      </c>
      <c r="BO23">
        <f t="shared" si="27"/>
        <v>1.5333659532867789</v>
      </c>
      <c r="BP23">
        <f t="shared" si="27"/>
        <v>1.5562591489538151</v>
      </c>
      <c r="BQ23">
        <f t="shared" si="27"/>
        <v>1.5791523446208517</v>
      </c>
      <c r="BR23">
        <f t="shared" si="27"/>
        <v>1.6020455402878881</v>
      </c>
      <c r="BS23">
        <f t="shared" si="27"/>
        <v>1.6249387359549246</v>
      </c>
      <c r="BT23">
        <f t="shared" si="27"/>
        <v>1.647831931621961</v>
      </c>
      <c r="BU23">
        <f t="shared" si="27"/>
        <v>1.6707251272889971</v>
      </c>
      <c r="BV23">
        <f t="shared" si="27"/>
        <v>1.6936183229560338</v>
      </c>
      <c r="BW23">
        <f t="shared" si="27"/>
        <v>1.7165115186230699</v>
      </c>
      <c r="BX23">
        <f t="shared" si="27"/>
        <v>1.7394047142901066</v>
      </c>
      <c r="BY23">
        <f t="shared" si="27"/>
        <v>1.762297909957143</v>
      </c>
    </row>
    <row r="24" spans="3:77">
      <c r="C24" t="s">
        <v>11</v>
      </c>
      <c r="D24">
        <f>D16/$AK$16</f>
        <v>7.430158131153404E-2</v>
      </c>
      <c r="E24">
        <f t="shared" ref="E24:T24" si="28">E16/$AK$16</f>
        <v>9.4007587865993503E-2</v>
      </c>
      <c r="F24">
        <f t="shared" si="28"/>
        <v>0.16421490886559872</v>
      </c>
      <c r="G24">
        <f t="shared" si="28"/>
        <v>0.17756951060349535</v>
      </c>
      <c r="H24">
        <f t="shared" si="28"/>
        <v>0.19221410338920747</v>
      </c>
      <c r="I24">
        <f t="shared" si="28"/>
        <v>0.21424454059884565</v>
      </c>
      <c r="J24">
        <f t="shared" si="28"/>
        <v>0.23674530120421006</v>
      </c>
      <c r="K24">
        <f t="shared" si="28"/>
        <v>0.24712368018215708</v>
      </c>
      <c r="L24">
        <f t="shared" si="28"/>
        <v>0.2409863676627817</v>
      </c>
      <c r="M24">
        <f t="shared" si="28"/>
        <v>0.22752234097298926</v>
      </c>
      <c r="N24">
        <f t="shared" si="28"/>
        <v>0.24364790872876999</v>
      </c>
      <c r="O24">
        <f t="shared" si="28"/>
        <v>0.25646354160422308</v>
      </c>
      <c r="P24">
        <f t="shared" si="28"/>
        <v>0.28109978791677209</v>
      </c>
      <c r="Q24">
        <f t="shared" si="28"/>
        <v>0.30806114454258621</v>
      </c>
      <c r="R24">
        <f t="shared" si="28"/>
        <v>0.32398077589821506</v>
      </c>
      <c r="S24">
        <f t="shared" si="28"/>
        <v>0.33774928941067417</v>
      </c>
      <c r="T24">
        <f t="shared" si="28"/>
        <v>0.32546175086828361</v>
      </c>
      <c r="U24">
        <f t="shared" ref="U24:BY24" si="29">U16/$AK$16</f>
        <v>0.38823429206174853</v>
      </c>
      <c r="V24">
        <f t="shared" si="29"/>
        <v>0.41200601328851177</v>
      </c>
      <c r="W24">
        <f t="shared" si="29"/>
        <v>0.45007789085566535</v>
      </c>
      <c r="X24">
        <f t="shared" si="29"/>
        <v>0.49046234448165621</v>
      </c>
      <c r="Y24">
        <f t="shared" si="29"/>
        <v>0.52867914867577726</v>
      </c>
      <c r="Z24">
        <f t="shared" si="29"/>
        <v>0.53549502937495841</v>
      </c>
      <c r="AA24">
        <f t="shared" si="29"/>
        <v>0.59552853080948565</v>
      </c>
      <c r="AB24">
        <f t="shared" si="29"/>
        <v>0.65330730412777283</v>
      </c>
      <c r="AC24">
        <f t="shared" si="29"/>
        <v>0.66690275134021093</v>
      </c>
      <c r="AD24">
        <f t="shared" si="29"/>
        <v>0.72013978473488482</v>
      </c>
      <c r="AE24">
        <f t="shared" si="29"/>
        <v>0.76406142575791602</v>
      </c>
      <c r="AF24">
        <f t="shared" si="29"/>
        <v>0.81291214296439296</v>
      </c>
      <c r="AG24">
        <f t="shared" si="29"/>
        <v>0.85496184385910301</v>
      </c>
      <c r="AH24">
        <f t="shared" si="29"/>
        <v>0.9146104793870441</v>
      </c>
      <c r="AI24">
        <f t="shared" si="29"/>
        <v>0.96148391829737723</v>
      </c>
      <c r="AJ24">
        <f t="shared" si="29"/>
        <v>0.99954596121202177</v>
      </c>
      <c r="AK24">
        <f t="shared" si="29"/>
        <v>1</v>
      </c>
      <c r="AL24">
        <f t="shared" si="29"/>
        <v>0.98734801993179666</v>
      </c>
      <c r="AM24">
        <f t="shared" si="29"/>
        <v>0.98124904929168411</v>
      </c>
      <c r="AN24">
        <f t="shared" si="29"/>
        <v>0.97515007865157155</v>
      </c>
      <c r="AO24">
        <f t="shared" si="29"/>
        <v>0.96905110801145888</v>
      </c>
      <c r="AP24">
        <f t="shared" si="29"/>
        <v>0.96295213737134622</v>
      </c>
      <c r="AQ24">
        <f t="shared" si="29"/>
        <v>0.95685316673123366</v>
      </c>
      <c r="AR24">
        <f t="shared" si="29"/>
        <v>0.95075419609112111</v>
      </c>
      <c r="AS24">
        <f t="shared" si="29"/>
        <v>0.94465522545100855</v>
      </c>
      <c r="AT24">
        <f t="shared" si="29"/>
        <v>0.93855625481089588</v>
      </c>
      <c r="AU24">
        <f t="shared" si="29"/>
        <v>0.93245728417078333</v>
      </c>
      <c r="AV24">
        <f t="shared" si="29"/>
        <v>0.9495920129340466</v>
      </c>
      <c r="AW24">
        <f t="shared" si="29"/>
        <v>0.96672674169730988</v>
      </c>
      <c r="AX24">
        <f t="shared" si="29"/>
        <v>0.98386147046057304</v>
      </c>
      <c r="AY24">
        <f t="shared" si="29"/>
        <v>1.0009961992238363</v>
      </c>
      <c r="AZ24">
        <f t="shared" si="29"/>
        <v>1.0181309279870996</v>
      </c>
      <c r="BA24">
        <f t="shared" si="29"/>
        <v>1.0352656567503629</v>
      </c>
      <c r="BB24">
        <f t="shared" si="29"/>
        <v>1.0524003855136261</v>
      </c>
      <c r="BC24">
        <f t="shared" si="29"/>
        <v>1.0695351142768892</v>
      </c>
      <c r="BD24">
        <f t="shared" si="29"/>
        <v>1.0866698430401525</v>
      </c>
      <c r="BE24">
        <f t="shared" si="29"/>
        <v>1.1038045718034157</v>
      </c>
      <c r="BF24">
        <f t="shared" si="29"/>
        <v>1.1168412712702482</v>
      </c>
      <c r="BG24">
        <f t="shared" si="29"/>
        <v>1.1298779707370812</v>
      </c>
      <c r="BH24">
        <f t="shared" si="29"/>
        <v>1.1429146702039141</v>
      </c>
      <c r="BI24">
        <f t="shared" si="29"/>
        <v>1.1559513696707466</v>
      </c>
      <c r="BJ24">
        <f t="shared" si="29"/>
        <v>1.1689880691375794</v>
      </c>
      <c r="BK24">
        <f t="shared" si="29"/>
        <v>1.1820247686044121</v>
      </c>
      <c r="BL24">
        <f t="shared" si="29"/>
        <v>1.195061468071245</v>
      </c>
      <c r="BM24">
        <f t="shared" si="29"/>
        <v>1.2080981675380777</v>
      </c>
      <c r="BN24">
        <f t="shared" si="29"/>
        <v>1.2211348670049103</v>
      </c>
      <c r="BO24">
        <f t="shared" si="29"/>
        <v>1.2341715664717432</v>
      </c>
      <c r="BP24">
        <f t="shared" si="29"/>
        <v>1.2449386375450782</v>
      </c>
      <c r="BQ24">
        <f t="shared" si="29"/>
        <v>1.2557057086184136</v>
      </c>
      <c r="BR24">
        <f t="shared" si="29"/>
        <v>1.2664727796917488</v>
      </c>
      <c r="BS24">
        <f t="shared" si="29"/>
        <v>1.277239850765084</v>
      </c>
      <c r="BT24">
        <f t="shared" si="29"/>
        <v>1.2880069218384191</v>
      </c>
      <c r="BU24">
        <f t="shared" si="29"/>
        <v>1.2987739929117541</v>
      </c>
      <c r="BV24">
        <f t="shared" si="29"/>
        <v>1.3095410639850895</v>
      </c>
      <c r="BW24">
        <f t="shared" si="29"/>
        <v>1.3203081350584245</v>
      </c>
      <c r="BX24">
        <f t="shared" si="29"/>
        <v>1.3310752061317599</v>
      </c>
      <c r="BY24">
        <f t="shared" si="29"/>
        <v>1.3418422772050951</v>
      </c>
    </row>
    <row r="25" spans="3:77">
      <c r="C25" t="s">
        <v>12</v>
      </c>
      <c r="D25">
        <f>D17/$AK$17</f>
        <v>1.2864051376275569</v>
      </c>
      <c r="E25">
        <f t="shared" ref="E25:T25" si="30">E17/$AK$17</f>
        <v>1.6506074865395028</v>
      </c>
      <c r="F25">
        <f t="shared" si="30"/>
        <v>2.2837749958974767</v>
      </c>
      <c r="G25">
        <f t="shared" si="30"/>
        <v>2.1081294966328175</v>
      </c>
      <c r="H25">
        <f t="shared" si="30"/>
        <v>2.2652388988135059</v>
      </c>
      <c r="I25">
        <f t="shared" si="30"/>
        <v>2.5356102459348695</v>
      </c>
      <c r="J25">
        <f t="shared" si="30"/>
        <v>2.5106823912357368</v>
      </c>
      <c r="K25">
        <f t="shared" si="30"/>
        <v>2.3457750447645505</v>
      </c>
      <c r="L25">
        <f t="shared" si="30"/>
        <v>2.1962079165697537</v>
      </c>
      <c r="M25">
        <f t="shared" si="30"/>
        <v>2.052649040533209</v>
      </c>
      <c r="N25">
        <f t="shared" si="30"/>
        <v>1.9903933213615286</v>
      </c>
      <c r="O25">
        <f t="shared" si="30"/>
        <v>1.5374733767511306</v>
      </c>
      <c r="P25">
        <f t="shared" si="30"/>
        <v>1.3714155139092152</v>
      </c>
      <c r="Q25">
        <f t="shared" si="30"/>
        <v>1.2852546212568279</v>
      </c>
      <c r="R25">
        <f t="shared" si="30"/>
        <v>1.1489823489015683</v>
      </c>
      <c r="S25">
        <f t="shared" si="30"/>
        <v>1.0456915458405462</v>
      </c>
      <c r="T25">
        <f t="shared" si="30"/>
        <v>0.80663981103347759</v>
      </c>
      <c r="U25">
        <f t="shared" ref="U25:BY25" si="31">U17/$AK$17</f>
        <v>0.84754705977051603</v>
      </c>
      <c r="V25">
        <f t="shared" si="31"/>
        <v>0.86633882715909305</v>
      </c>
      <c r="W25">
        <f t="shared" si="31"/>
        <v>0.94064300943535439</v>
      </c>
      <c r="X25">
        <f t="shared" si="31"/>
        <v>0.99428008263875012</v>
      </c>
      <c r="Y25">
        <f t="shared" si="31"/>
        <v>0.75652331792451333</v>
      </c>
      <c r="Z25">
        <f t="shared" si="31"/>
        <v>0.88692284338296168</v>
      </c>
      <c r="AA25">
        <f t="shared" si="31"/>
        <v>0.92386592404707646</v>
      </c>
      <c r="AB25">
        <f t="shared" si="31"/>
        <v>0.95273621484324134</v>
      </c>
      <c r="AC25">
        <f t="shared" si="31"/>
        <v>0.99045525488183694</v>
      </c>
      <c r="AD25">
        <f t="shared" si="31"/>
        <v>0.87353083282767363</v>
      </c>
      <c r="AE25">
        <f t="shared" si="31"/>
        <v>0.95034305386422124</v>
      </c>
      <c r="AF25">
        <f t="shared" si="31"/>
        <v>0.93427042709303765</v>
      </c>
      <c r="AG25">
        <f t="shared" si="31"/>
        <v>0.92458745006319021</v>
      </c>
      <c r="AH25">
        <f t="shared" si="31"/>
        <v>0.99282068215240027</v>
      </c>
      <c r="AI25">
        <f t="shared" si="31"/>
        <v>1.0172378864243072</v>
      </c>
      <c r="AJ25">
        <f t="shared" si="31"/>
        <v>1.0252379214720271</v>
      </c>
      <c r="AK25">
        <f t="shared" si="31"/>
        <v>1</v>
      </c>
      <c r="AL25">
        <f t="shared" si="31"/>
        <v>0.97476207852797303</v>
      </c>
      <c r="AM25">
        <f t="shared" si="31"/>
        <v>0.94952415705594595</v>
      </c>
      <c r="AN25">
        <f t="shared" si="31"/>
        <v>0.92428623558391898</v>
      </c>
      <c r="AO25">
        <f t="shared" si="31"/>
        <v>0.89904831411189201</v>
      </c>
      <c r="AP25">
        <f t="shared" si="31"/>
        <v>0.87381039263986493</v>
      </c>
      <c r="AQ25">
        <f t="shared" si="31"/>
        <v>0.84857247116783796</v>
      </c>
      <c r="AR25">
        <f t="shared" si="31"/>
        <v>0.82333454969581099</v>
      </c>
      <c r="AS25">
        <f t="shared" si="31"/>
        <v>0.79809662822378402</v>
      </c>
      <c r="AT25">
        <f t="shared" si="31"/>
        <v>0.77285870675175705</v>
      </c>
      <c r="AU25">
        <f t="shared" si="31"/>
        <v>0.74762078527973008</v>
      </c>
      <c r="AV25">
        <f t="shared" si="31"/>
        <v>0.74067894487737029</v>
      </c>
      <c r="AW25">
        <f t="shared" si="31"/>
        <v>0.73373710447501062</v>
      </c>
      <c r="AX25">
        <f t="shared" si="31"/>
        <v>0.72679526407265094</v>
      </c>
      <c r="AY25">
        <f t="shared" si="31"/>
        <v>0.71985342367029126</v>
      </c>
      <c r="AZ25">
        <f t="shared" si="31"/>
        <v>0.71291158326793158</v>
      </c>
      <c r="BA25">
        <f t="shared" si="31"/>
        <v>0.70596974286557179</v>
      </c>
      <c r="BB25">
        <f t="shared" si="31"/>
        <v>0.69902790246321211</v>
      </c>
      <c r="BC25">
        <f t="shared" si="31"/>
        <v>0.69208606206085244</v>
      </c>
      <c r="BD25">
        <f t="shared" si="31"/>
        <v>0.68514422165849276</v>
      </c>
      <c r="BE25">
        <f t="shared" si="31"/>
        <v>0.67820238125613297</v>
      </c>
      <c r="BF25">
        <f t="shared" si="31"/>
        <v>0.66980291345880794</v>
      </c>
      <c r="BG25">
        <f t="shared" si="31"/>
        <v>0.6614034456614829</v>
      </c>
      <c r="BH25">
        <f t="shared" si="31"/>
        <v>0.65300397786415787</v>
      </c>
      <c r="BI25">
        <f t="shared" si="31"/>
        <v>0.64460451006683284</v>
      </c>
      <c r="BJ25">
        <f t="shared" si="31"/>
        <v>0.63620504226950769</v>
      </c>
      <c r="BK25">
        <f t="shared" si="31"/>
        <v>0.62780557447218277</v>
      </c>
      <c r="BL25">
        <f t="shared" si="31"/>
        <v>0.61940610667485774</v>
      </c>
      <c r="BM25">
        <f t="shared" si="31"/>
        <v>0.6110066388775327</v>
      </c>
      <c r="BN25">
        <f t="shared" si="31"/>
        <v>0.60260717108020756</v>
      </c>
      <c r="BO25">
        <f t="shared" si="31"/>
        <v>0.59420770328288253</v>
      </c>
      <c r="BP25">
        <f t="shared" si="31"/>
        <v>0.58607364617803803</v>
      </c>
      <c r="BQ25">
        <f t="shared" si="31"/>
        <v>0.57793958907319354</v>
      </c>
      <c r="BR25">
        <f t="shared" si="31"/>
        <v>0.56980553196834893</v>
      </c>
      <c r="BS25">
        <f t="shared" si="31"/>
        <v>0.56167147486350444</v>
      </c>
      <c r="BT25">
        <f t="shared" si="31"/>
        <v>0.55353741775865994</v>
      </c>
      <c r="BU25">
        <f t="shared" si="31"/>
        <v>0.54540336065381545</v>
      </c>
      <c r="BV25">
        <f t="shared" si="31"/>
        <v>0.53726930354897096</v>
      </c>
      <c r="BW25">
        <f t="shared" si="31"/>
        <v>0.52913524644412635</v>
      </c>
      <c r="BX25">
        <f t="shared" si="31"/>
        <v>0.52100118933928186</v>
      </c>
      <c r="BY25">
        <f t="shared" si="31"/>
        <v>0.51286713223443736</v>
      </c>
    </row>
    <row r="28" spans="3:77">
      <c r="E28">
        <v>2019</v>
      </c>
      <c r="F28">
        <v>2020</v>
      </c>
      <c r="G28">
        <v>2021</v>
      </c>
      <c r="H28">
        <v>2022</v>
      </c>
      <c r="I28">
        <v>2023</v>
      </c>
      <c r="J28">
        <v>2024</v>
      </c>
      <c r="K28">
        <v>2025</v>
      </c>
      <c r="L28">
        <v>2026</v>
      </c>
      <c r="M28">
        <v>2027</v>
      </c>
      <c r="N28">
        <v>2028</v>
      </c>
      <c r="O28">
        <v>2029</v>
      </c>
      <c r="P28">
        <v>2030</v>
      </c>
      <c r="Q28">
        <v>2031</v>
      </c>
      <c r="R28">
        <v>2032</v>
      </c>
      <c r="S28">
        <v>2033</v>
      </c>
      <c r="T28">
        <v>2034</v>
      </c>
      <c r="U28">
        <v>2035</v>
      </c>
      <c r="V28">
        <v>2036</v>
      </c>
      <c r="W28">
        <v>2037</v>
      </c>
      <c r="X28">
        <v>2038</v>
      </c>
      <c r="Y28">
        <v>2039</v>
      </c>
      <c r="Z28">
        <v>2040</v>
      </c>
      <c r="AA28">
        <v>2041</v>
      </c>
      <c r="AB28">
        <v>2042</v>
      </c>
      <c r="AC28">
        <v>2043</v>
      </c>
      <c r="AD28">
        <v>2044</v>
      </c>
      <c r="AE28">
        <v>2045</v>
      </c>
      <c r="AF28">
        <v>2046</v>
      </c>
      <c r="AG28">
        <v>2047</v>
      </c>
      <c r="AH28">
        <v>2048</v>
      </c>
      <c r="AI28">
        <v>2049</v>
      </c>
      <c r="AJ28">
        <v>2050</v>
      </c>
      <c r="AK28">
        <v>2051</v>
      </c>
      <c r="AL28">
        <v>2052</v>
      </c>
      <c r="AM28">
        <v>2053</v>
      </c>
      <c r="AN28">
        <v>2054</v>
      </c>
      <c r="AO28">
        <v>2055</v>
      </c>
      <c r="AP28">
        <v>2056</v>
      </c>
      <c r="AQ28">
        <v>2057</v>
      </c>
      <c r="AR28">
        <v>2058</v>
      </c>
      <c r="AS28">
        <v>2059</v>
      </c>
      <c r="AT28">
        <v>2060</v>
      </c>
    </row>
    <row r="29" spans="3:77">
      <c r="C29" t="s">
        <v>86</v>
      </c>
      <c r="D29" t="s">
        <v>84</v>
      </c>
      <c r="E29">
        <v>11705.3</v>
      </c>
      <c r="F29">
        <v>6311.3</v>
      </c>
      <c r="G29">
        <v>6529.7</v>
      </c>
      <c r="H29">
        <v>3913.9</v>
      </c>
      <c r="I29">
        <v>10309</v>
      </c>
      <c r="J29">
        <v>12914.7</v>
      </c>
      <c r="K29">
        <v>14626</v>
      </c>
      <c r="L29">
        <f>($P29/$K29)^(0.2)*K29</f>
        <v>15498.981006842399</v>
      </c>
      <c r="M29">
        <f t="shared" ref="M29:O29" si="32">($P$29/$K$29)^(0.2)*L29</f>
        <v>16424.067568061088</v>
      </c>
      <c r="N29">
        <f t="shared" si="32"/>
        <v>17404.369704121087</v>
      </c>
      <c r="O29">
        <f t="shared" si="32"/>
        <v>18443.183063054559</v>
      </c>
      <c r="P29">
        <v>19544</v>
      </c>
      <c r="Q29">
        <f>($U$29/$P$29)^(0.2)*P29</f>
        <v>20380.638027329063</v>
      </c>
      <c r="R29">
        <f t="shared" ref="R29:T29" si="33">($U$29/$P$29)^(0.2)*Q29</f>
        <v>21253.090790064034</v>
      </c>
      <c r="S29">
        <f t="shared" si="33"/>
        <v>22162.891442604181</v>
      </c>
      <c r="T29">
        <f t="shared" si="33"/>
        <v>23111.638770502694</v>
      </c>
      <c r="U29">
        <v>24101</v>
      </c>
      <c r="V29">
        <f>($Z$29/$U$29)^(0.2)*U29</f>
        <v>24179.4871313365</v>
      </c>
      <c r="W29">
        <f t="shared" ref="W29:Y29" si="34">($Z$29/$U$29)^(0.2)*V29</f>
        <v>24258.229863261582</v>
      </c>
      <c r="X29">
        <f t="shared" si="34"/>
        <v>24337.229028162157</v>
      </c>
      <c r="Y29">
        <f t="shared" si="34"/>
        <v>24416.485461135886</v>
      </c>
      <c r="Z29">
        <v>24496</v>
      </c>
      <c r="AA29">
        <f>($AE$29/$Z$29)^(0.2)*Z29</f>
        <v>24624.250031759726</v>
      </c>
      <c r="AB29">
        <f t="shared" ref="AB29:AD29" si="35">($AE$29/$Z$29)^(0.2)*AA29</f>
        <v>24753.171522967787</v>
      </c>
      <c r="AC29">
        <f t="shared" si="35"/>
        <v>24882.767989083666</v>
      </c>
      <c r="AD29">
        <f t="shared" si="35"/>
        <v>25013.042963972217</v>
      </c>
      <c r="AE29">
        <v>25144</v>
      </c>
      <c r="AF29">
        <f>($AJ$29/$AE$29)^(0.2)*AE29</f>
        <v>24979.665910972242</v>
      </c>
      <c r="AG29">
        <f t="shared" ref="AG29:AI29" si="36">($AJ$29/$AE$29)^(0.2)*AF29</f>
        <v>24816.405863179636</v>
      </c>
      <c r="AH29">
        <f t="shared" si="36"/>
        <v>24654.21283699173</v>
      </c>
      <c r="AI29">
        <f t="shared" si="36"/>
        <v>24493.079858656401</v>
      </c>
      <c r="AJ29">
        <v>24333</v>
      </c>
      <c r="AK29">
        <f>($AO$29/$AJ$29)^(0.2)*AJ29</f>
        <v>23785.073159983513</v>
      </c>
      <c r="AL29">
        <f t="shared" ref="AL29:AN29" si="37">($AO$29/$AJ$29)^(0.2)*AK29</f>
        <v>23249.484454270667</v>
      </c>
      <c r="AM29">
        <f t="shared" si="37"/>
        <v>22725.956054605977</v>
      </c>
      <c r="AN29">
        <f t="shared" si="37"/>
        <v>22214.216388828892</v>
      </c>
      <c r="AO29">
        <v>21714</v>
      </c>
      <c r="AP29">
        <f>($AT$29/$AO$29)^(0.2)*AO29</f>
        <v>21025.273795259374</v>
      </c>
      <c r="AQ29">
        <f t="shared" ref="AQ29:AS29" si="38">($AT$29/$AO$29)^(0.2)*AP29</f>
        <v>20358.39265753065</v>
      </c>
      <c r="AR29">
        <f t="shared" si="38"/>
        <v>19712.66370341623</v>
      </c>
      <c r="AS29">
        <f t="shared" si="38"/>
        <v>19087.416026443672</v>
      </c>
      <c r="AT29">
        <v>18482</v>
      </c>
    </row>
    <row r="30" spans="3:77">
      <c r="D30" s="57" t="s">
        <v>85</v>
      </c>
      <c r="E30" s="57">
        <f>E29/$E$29</f>
        <v>1</v>
      </c>
      <c r="F30" s="57">
        <f t="shared" ref="F30:K30" si="39">F29/$E$29</f>
        <v>0.53918310508914769</v>
      </c>
      <c r="G30" s="57">
        <f t="shared" si="39"/>
        <v>0.5578413197440476</v>
      </c>
      <c r="H30" s="57">
        <f t="shared" si="39"/>
        <v>0.33436990081416113</v>
      </c>
      <c r="I30" s="57">
        <f t="shared" si="39"/>
        <v>0.88071215603188302</v>
      </c>
      <c r="J30" s="57">
        <f t="shared" si="39"/>
        <v>1.1033207179653663</v>
      </c>
      <c r="K30" s="57">
        <f t="shared" si="39"/>
        <v>1.2495194484549734</v>
      </c>
      <c r="L30" s="57">
        <f t="shared" ref="L30" si="40">L29/$E$29</f>
        <v>1.3240994256313294</v>
      </c>
      <c r="M30" s="57">
        <f t="shared" ref="M30" si="41">M29/$E$29</f>
        <v>1.4031308525250177</v>
      </c>
      <c r="N30" s="57">
        <f t="shared" ref="N30" si="42">N29/$E$29</f>
        <v>1.4868794224941768</v>
      </c>
      <c r="O30" s="57">
        <f t="shared" ref="O30" si="43">O29/$E$29</f>
        <v>1.575626687317246</v>
      </c>
      <c r="P30" s="57">
        <f t="shared" ref="P30" si="44">P29/$E$29</f>
        <v>1.6696710037333518</v>
      </c>
      <c r="Q30" s="57">
        <f t="shared" ref="Q30" si="45">Q29/$E$29</f>
        <v>1.741146149806418</v>
      </c>
      <c r="R30" s="57">
        <f t="shared" ref="R30" si="46">R29/$E$29</f>
        <v>1.8156809983566449</v>
      </c>
      <c r="S30" s="57">
        <f t="shared" ref="S30" si="47">S29/$E$29</f>
        <v>1.8934065288889803</v>
      </c>
      <c r="T30" s="57">
        <f t="shared" ref="T30" si="48">T29/$E$29</f>
        <v>1.9744593278688025</v>
      </c>
      <c r="U30" s="57">
        <f t="shared" ref="U30" si="49">U29/$E$29</f>
        <v>2.0589818287442441</v>
      </c>
      <c r="V30" s="57">
        <f t="shared" ref="V30" si="50">V29/$E$29</f>
        <v>2.065687093140415</v>
      </c>
      <c r="W30" s="57">
        <f t="shared" ref="W30" si="51">W29/$E$29</f>
        <v>2.0724141938490757</v>
      </c>
      <c r="X30" s="57">
        <f t="shared" ref="X30" si="52">X29/$E$29</f>
        <v>2.0791632019821926</v>
      </c>
      <c r="Y30" s="57">
        <f t="shared" ref="Y30" si="53">Y29/$E$29</f>
        <v>2.0859341888833169</v>
      </c>
      <c r="Z30" s="57">
        <f t="shared" ref="Z30" si="54">Z29/$E$29</f>
        <v>2.0927272261283352</v>
      </c>
      <c r="AA30" s="57">
        <f t="shared" ref="AA30" si="55">AA29/$E$29</f>
        <v>2.1036838040682193</v>
      </c>
      <c r="AB30" s="57">
        <f t="shared" ref="AB30" si="56">AB29/$E$29</f>
        <v>2.1146977457192713</v>
      </c>
      <c r="AC30" s="57">
        <f t="shared" ref="AC30" si="57">AC29/$E$29</f>
        <v>2.125769351412067</v>
      </c>
      <c r="AD30" s="57">
        <f t="shared" ref="AD30" si="58">AD29/$E$29</f>
        <v>2.1368989230495776</v>
      </c>
      <c r="AE30" s="57">
        <f t="shared" ref="AE30" si="59">AE29/$E$29</f>
        <v>2.1480867641154009</v>
      </c>
      <c r="AF30" s="57">
        <f t="shared" ref="AF30" si="60">AF29/$E$29</f>
        <v>2.1340474751584533</v>
      </c>
      <c r="AG30" s="57">
        <f t="shared" ref="AG30" si="61">AG29/$E$29</f>
        <v>2.1200999430326122</v>
      </c>
      <c r="AH30" s="57">
        <f t="shared" ref="AH30" si="62">AH29/$E$29</f>
        <v>2.1062435680411209</v>
      </c>
      <c r="AI30" s="57">
        <f t="shared" ref="AI30" si="63">AI29/$E$29</f>
        <v>2.0924777544066706</v>
      </c>
      <c r="AJ30" s="57">
        <f t="shared" ref="AJ30" si="64">AJ29/$E$29</f>
        <v>2.0788019102457862</v>
      </c>
      <c r="AK30" s="57">
        <f t="shared" ref="AK30" si="65">AK29/$E$29</f>
        <v>2.0319917609957465</v>
      </c>
      <c r="AL30" s="57">
        <f t="shared" ref="AL30" si="66">AL29/$E$29</f>
        <v>1.9862356756572381</v>
      </c>
      <c r="AM30" s="57">
        <f t="shared" ref="AM30" si="67">AM29/$E$29</f>
        <v>1.9415099189773843</v>
      </c>
      <c r="AN30" s="57">
        <f t="shared" ref="AN30" si="68">AN29/$E$29</f>
        <v>1.8977912901701703</v>
      </c>
      <c r="AO30" s="57">
        <f t="shared" ref="AO30" si="69">AO29/$E$29</f>
        <v>1.8550571108813958</v>
      </c>
      <c r="AP30" s="57">
        <f t="shared" ref="AP30" si="70">AP29/$E$29</f>
        <v>1.7962182767856762</v>
      </c>
      <c r="AQ30" s="57">
        <f t="shared" ref="AQ30" si="71">AQ29/$E$29</f>
        <v>1.7392456970372951</v>
      </c>
      <c r="AR30" s="57">
        <f t="shared" ref="AR30" si="72">AR29/$E$29</f>
        <v>1.6840801776474104</v>
      </c>
      <c r="AS30" s="57">
        <f t="shared" ref="AS30" si="73">AS29/$E$29</f>
        <v>1.6306644021463503</v>
      </c>
      <c r="AT30" s="57">
        <f t="shared" ref="AT30" si="74">AT29/$E$29</f>
        <v>1.5789428720323273</v>
      </c>
    </row>
    <row r="31" spans="3:77">
      <c r="C31" t="s">
        <v>89</v>
      </c>
      <c r="D31" t="s">
        <v>84</v>
      </c>
      <c r="E31">
        <v>14706.6</v>
      </c>
      <c r="F31">
        <v>8266.2000000000007</v>
      </c>
      <c r="G31">
        <v>9567.7999999999993</v>
      </c>
      <c r="H31">
        <v>6577.5</v>
      </c>
      <c r="I31">
        <v>14729.4</v>
      </c>
      <c r="J31">
        <v>15799.1</v>
      </c>
      <c r="K31">
        <v>15603.503430179268</v>
      </c>
      <c r="L31">
        <v>16059.819247424719</v>
      </c>
      <c r="M31">
        <v>16529.479768056823</v>
      </c>
      <c r="N31">
        <v>17012.875250536385</v>
      </c>
      <c r="O31">
        <v>17510.407366216779</v>
      </c>
      <c r="P31">
        <v>18022.489533107691</v>
      </c>
      <c r="Q31">
        <v>18549.547259399558</v>
      </c>
      <c r="R31">
        <v>19092.01849703422</v>
      </c>
      <c r="S31">
        <v>19650.354005615536</v>
      </c>
      <c r="T31">
        <v>20225.017726962367</v>
      </c>
      <c r="U31">
        <v>20816.487170615161</v>
      </c>
      <c r="V31">
        <v>21232.816914027466</v>
      </c>
      <c r="W31">
        <v>21657.473252308017</v>
      </c>
      <c r="X31">
        <v>22090.622717354177</v>
      </c>
      <c r="Y31">
        <v>22532.435171701261</v>
      </c>
      <c r="Z31">
        <v>22983.083875135286</v>
      </c>
      <c r="AA31">
        <v>23442.745552637993</v>
      </c>
      <c r="AB31">
        <v>23911.600463690753</v>
      </c>
      <c r="AC31">
        <v>24389.832472964568</v>
      </c>
      <c r="AD31">
        <v>24877.629122423859</v>
      </c>
      <c r="AE31">
        <v>25375.181704872339</v>
      </c>
      <c r="AF31">
        <v>25628.933521921062</v>
      </c>
      <c r="AG31">
        <v>25885.222857140274</v>
      </c>
      <c r="AH31">
        <v>26144.075085711676</v>
      </c>
      <c r="AI31">
        <v>26405.515836568793</v>
      </c>
      <c r="AJ31">
        <v>26669.570994934482</v>
      </c>
      <c r="AK31">
        <v>26936.266704883827</v>
      </c>
      <c r="AL31">
        <v>27205.629371932664</v>
      </c>
      <c r="AM31">
        <v>27477.685665651992</v>
      </c>
      <c r="AN31">
        <v>27752.462522308513</v>
      </c>
      <c r="AO31">
        <v>27752.462522308513</v>
      </c>
      <c r="AP31">
        <v>27891.224834920053</v>
      </c>
      <c r="AQ31">
        <v>28030.68095909465</v>
      </c>
      <c r="AR31">
        <v>28170.834363890121</v>
      </c>
      <c r="AS31">
        <v>28311.688535709567</v>
      </c>
      <c r="AT31">
        <v>28453.246978388113</v>
      </c>
    </row>
    <row r="32" spans="3:77">
      <c r="D32" s="57" t="s">
        <v>85</v>
      </c>
      <c r="E32" s="57">
        <f>E31/$E31</f>
        <v>1</v>
      </c>
      <c r="F32" s="57">
        <f t="shared" ref="F32:J32" si="75">F31/$E$31</f>
        <v>0.56207417078046595</v>
      </c>
      <c r="G32" s="57">
        <f t="shared" si="75"/>
        <v>0.65057865176179397</v>
      </c>
      <c r="H32" s="57">
        <f t="shared" si="75"/>
        <v>0.44724817428909469</v>
      </c>
      <c r="I32" s="57">
        <f t="shared" si="75"/>
        <v>1.0015503243441719</v>
      </c>
      <c r="J32" s="57">
        <f t="shared" si="75"/>
        <v>1.0742863748249085</v>
      </c>
      <c r="K32" s="57">
        <f>K31/$E$31</f>
        <v>1.0609864571130831</v>
      </c>
      <c r="L32" s="57">
        <f t="shared" ref="L32" si="76">L31/$E$31</f>
        <v>1.092014418521257</v>
      </c>
      <c r="M32" s="57">
        <f t="shared" ref="M32" si="77">M31/$E$31</f>
        <v>1.1239497754788206</v>
      </c>
      <c r="N32" s="57">
        <f t="shared" ref="N32" si="78">N31/$E$31</f>
        <v>1.156819064266138</v>
      </c>
      <c r="O32" s="57">
        <f t="shared" ref="O32" si="79">O31/$E$31</f>
        <v>1.1906495972023974</v>
      </c>
      <c r="P32" s="57">
        <f t="shared" ref="P32" si="80">P31/$E$31</f>
        <v>1.2254694853404384</v>
      </c>
      <c r="Q32" s="57">
        <f t="shared" ref="Q32" si="81">Q31/$E$31</f>
        <v>1.2613076618252728</v>
      </c>
      <c r="R32" s="57">
        <f t="shared" ref="R32" si="82">R31/$E$31</f>
        <v>1.2981939059357173</v>
      </c>
      <c r="S32" s="57">
        <f t="shared" ref="S32" si="83">S31/$E$31</f>
        <v>1.3361588678291063</v>
      </c>
      <c r="T32" s="57">
        <f t="shared" ref="T32" si="84">T31/$E$31</f>
        <v>1.3752340940096532</v>
      </c>
      <c r="U32" s="57">
        <f t="shared" ref="U32" si="85">U31/$E$31</f>
        <v>1.415452053541618</v>
      </c>
      <c r="V32" s="57">
        <f t="shared" ref="V32" si="86">V31/$E$31</f>
        <v>1.4437610946124506</v>
      </c>
      <c r="W32" s="57">
        <f t="shared" ref="W32" si="87">W31/$E$31</f>
        <v>1.4726363165046996</v>
      </c>
      <c r="X32" s="57">
        <f t="shared" ref="X32" si="88">X31/$E$31</f>
        <v>1.5020890428347937</v>
      </c>
      <c r="Y32" s="57">
        <f t="shared" ref="Y32" si="89">Y31/$E$31</f>
        <v>1.5321308236914897</v>
      </c>
      <c r="Z32" s="57">
        <f t="shared" ref="Z32" si="90">Z31/$E$31</f>
        <v>1.5627734401653193</v>
      </c>
      <c r="AA32" s="57">
        <f t="shared" ref="AA32" si="91">AA31/$E$31</f>
        <v>1.5940289089686257</v>
      </c>
      <c r="AB32" s="57">
        <f t="shared" ref="AB32" si="92">AB31/$E$31</f>
        <v>1.6259094871479984</v>
      </c>
      <c r="AC32" s="57">
        <f t="shared" ref="AC32" si="93">AC31/$E$31</f>
        <v>1.6584276768909583</v>
      </c>
      <c r="AD32" s="57">
        <f t="shared" ref="AD32" si="94">AD31/$E$31</f>
        <v>1.6915962304287775</v>
      </c>
      <c r="AE32" s="57">
        <f t="shared" ref="AE32" si="95">AE31/$E$31</f>
        <v>1.7254281550373531</v>
      </c>
      <c r="AF32" s="57">
        <f t="shared" ref="AF32" si="96">AF31/$E$31</f>
        <v>1.7426824365877267</v>
      </c>
      <c r="AG32" s="57">
        <f t="shared" ref="AG32" si="97">AG31/$E$31</f>
        <v>1.760109260953604</v>
      </c>
      <c r="AH32" s="57">
        <f t="shared" ref="AH32" si="98">AH31/$E$31</f>
        <v>1.77771035356314</v>
      </c>
      <c r="AI32" s="57">
        <f t="shared" ref="AI32" si="99">AI31/$E$31</f>
        <v>1.7954874570987716</v>
      </c>
      <c r="AJ32" s="57">
        <f t="shared" ref="AJ32" si="100">AJ31/$E$31</f>
        <v>1.8134423316697592</v>
      </c>
      <c r="AK32" s="57">
        <f t="shared" ref="AK32" si="101">AK31/$E$31</f>
        <v>1.8315767549864568</v>
      </c>
      <c r="AL32" s="57">
        <f t="shared" ref="AL32" si="102">AL31/$E$31</f>
        <v>1.8498925225363214</v>
      </c>
      <c r="AM32" s="57">
        <f t="shared" ref="AM32" si="103">AM31/$E$31</f>
        <v>1.8683914477616848</v>
      </c>
      <c r="AN32" s="57">
        <f t="shared" ref="AN32" si="104">AN31/$E$31</f>
        <v>1.8870753622393015</v>
      </c>
      <c r="AO32" s="57">
        <f t="shared" ref="AO32" si="105">AO31/$E$31</f>
        <v>1.8870753622393015</v>
      </c>
      <c r="AP32" s="57">
        <f t="shared" ref="AP32" si="106">AP31/$E$31</f>
        <v>1.8965107390504978</v>
      </c>
      <c r="AQ32" s="57">
        <f t="shared" ref="AQ32" si="107">AQ31/$E$31</f>
        <v>1.9059932927457501</v>
      </c>
      <c r="AR32" s="57">
        <f t="shared" ref="AR32" si="108">AR31/$E$31</f>
        <v>1.9155232592094786</v>
      </c>
      <c r="AS32" s="57">
        <f t="shared" ref="AS32" si="109">AS31/$E$31</f>
        <v>1.9251008755055259</v>
      </c>
      <c r="AT32" s="57">
        <f t="shared" ref="AT32" si="110">AT31/$E$31</f>
        <v>1.9347263798830534</v>
      </c>
    </row>
    <row r="33" spans="3:46">
      <c r="C33" t="s">
        <v>109</v>
      </c>
      <c r="D33" t="s">
        <v>84</v>
      </c>
      <c r="E33">
        <v>80.2</v>
      </c>
      <c r="F33">
        <v>33</v>
      </c>
      <c r="G33">
        <v>33.1</v>
      </c>
      <c r="H33">
        <v>22.6</v>
      </c>
      <c r="I33">
        <v>53.8</v>
      </c>
      <c r="J33">
        <v>54.7</v>
      </c>
      <c r="K33">
        <v>55.973520000000001</v>
      </c>
      <c r="L33">
        <v>57.092990400000005</v>
      </c>
      <c r="M33">
        <v>58.234850208000005</v>
      </c>
      <c r="N33">
        <v>59.399547212160009</v>
      </c>
      <c r="O33">
        <v>60.587538156403212</v>
      </c>
      <c r="P33">
        <v>61.799288919531278</v>
      </c>
      <c r="Q33">
        <v>63.035274697921906</v>
      </c>
      <c r="R33">
        <v>64.295980191880346</v>
      </c>
      <c r="S33">
        <v>65.581899795717959</v>
      </c>
      <c r="T33">
        <v>66.893537791632326</v>
      </c>
      <c r="U33">
        <v>68.23140854746498</v>
      </c>
      <c r="V33">
        <v>68.572565590202302</v>
      </c>
      <c r="W33">
        <v>68.915428418153311</v>
      </c>
      <c r="X33">
        <v>69.260005560244068</v>
      </c>
      <c r="Y33">
        <v>69.606305588045274</v>
      </c>
      <c r="Z33">
        <v>69.954337115985496</v>
      </c>
      <c r="AA33">
        <v>70.30410880156542</v>
      </c>
      <c r="AB33">
        <v>70.655629345573246</v>
      </c>
      <c r="AC33">
        <v>71.008907492301105</v>
      </c>
      <c r="AD33">
        <v>71.363952029762601</v>
      </c>
      <c r="AE33">
        <v>71.72077178991141</v>
      </c>
      <c r="AF33">
        <v>71.864213333491236</v>
      </c>
      <c r="AG33">
        <v>72.007941760158218</v>
      </c>
      <c r="AH33">
        <v>72.151957643678529</v>
      </c>
      <c r="AI33">
        <v>72.296261558965881</v>
      </c>
      <c r="AJ33">
        <v>72.440854082083817</v>
      </c>
      <c r="AK33">
        <v>72.585735790247981</v>
      </c>
      <c r="AL33">
        <v>72.730907261828477</v>
      </c>
      <c r="AM33">
        <v>72.876369076352134</v>
      </c>
      <c r="AN33">
        <v>73.022121814504843</v>
      </c>
      <c r="AO33">
        <v>73.022121814504843</v>
      </c>
      <c r="AP33">
        <v>73.168166058133849</v>
      </c>
      <c r="AQ33">
        <v>73.314502390250112</v>
      </c>
      <c r="AR33">
        <v>73.46113139503062</v>
      </c>
      <c r="AS33">
        <v>73.608053657820676</v>
      </c>
      <c r="AT33">
        <v>73.755269765136319</v>
      </c>
    </row>
    <row r="34" spans="3:46">
      <c r="D34" s="57" t="s">
        <v>85</v>
      </c>
      <c r="E34" s="57">
        <f>E33/$E33</f>
        <v>1</v>
      </c>
      <c r="F34" s="57">
        <f t="shared" ref="F34:J34" si="111">F33/$E33</f>
        <v>0.41147132169576056</v>
      </c>
      <c r="G34" s="57">
        <f t="shared" si="111"/>
        <v>0.41271820448877805</v>
      </c>
      <c r="H34" s="57">
        <f t="shared" si="111"/>
        <v>0.28179551122194513</v>
      </c>
      <c r="I34" s="57">
        <f t="shared" si="111"/>
        <v>0.67082294264339148</v>
      </c>
      <c r="J34" s="57">
        <f t="shared" si="111"/>
        <v>0.68204488778054861</v>
      </c>
      <c r="K34" s="57">
        <f t="shared" ref="K34" si="112">K33/$E33</f>
        <v>0.69792418952618451</v>
      </c>
      <c r="L34" s="57">
        <f t="shared" ref="L34" si="113">L33/$E33</f>
        <v>0.71188267331670829</v>
      </c>
      <c r="M34" s="57">
        <f t="shared" ref="M34" si="114">M33/$E33</f>
        <v>0.72612032678304239</v>
      </c>
      <c r="N34" s="57">
        <f t="shared" ref="N34" si="115">N33/$E33</f>
        <v>0.74064273331870334</v>
      </c>
      <c r="O34" s="57">
        <f t="shared" ref="O34" si="116">O33/$E33</f>
        <v>0.75545558798507739</v>
      </c>
      <c r="P34" s="57">
        <f t="shared" ref="P34" si="117">P33/$E33</f>
        <v>0.77056469974477904</v>
      </c>
      <c r="Q34" s="57">
        <f t="shared" ref="Q34" si="118">Q33/$E33</f>
        <v>0.78597599373967464</v>
      </c>
      <c r="R34" s="57">
        <f t="shared" ref="R34" si="119">R33/$E33</f>
        <v>0.80169551361446811</v>
      </c>
      <c r="S34" s="57">
        <f t="shared" ref="S34" si="120">S33/$E33</f>
        <v>0.81772942388675751</v>
      </c>
      <c r="T34" s="57">
        <f t="shared" ref="T34" si="121">T33/$E33</f>
        <v>0.83408401236449281</v>
      </c>
      <c r="U34" s="57">
        <f t="shared" ref="U34" si="122">U33/$E33</f>
        <v>0.85076569261178281</v>
      </c>
      <c r="V34" s="57">
        <f t="shared" ref="V34" si="123">V33/$E33</f>
        <v>0.85501952107484169</v>
      </c>
      <c r="W34" s="57">
        <f t="shared" ref="W34" si="124">W33/$E33</f>
        <v>0.85929461868021584</v>
      </c>
      <c r="X34" s="57">
        <f t="shared" ref="X34" si="125">X33/$E33</f>
        <v>0.86359109177361681</v>
      </c>
      <c r="Y34" s="57">
        <f t="shared" ref="Y34" si="126">Y33/$E33</f>
        <v>0.86790904723248463</v>
      </c>
      <c r="Z34" s="57">
        <f t="shared" ref="Z34" si="127">Z33/$E33</f>
        <v>0.87224859246864705</v>
      </c>
      <c r="AA34" s="57">
        <f t="shared" ref="AA34" si="128">AA33/$E33</f>
        <v>0.87660983543099025</v>
      </c>
      <c r="AB34" s="57">
        <f t="shared" ref="AB34" si="129">AB33/$E33</f>
        <v>0.88099288460814518</v>
      </c>
      <c r="AC34" s="57">
        <f t="shared" ref="AC34" si="130">AC33/$E33</f>
        <v>0.88539784903118579</v>
      </c>
      <c r="AD34" s="57">
        <f t="shared" ref="AD34" si="131">AD33/$E33</f>
        <v>0.88982483827634162</v>
      </c>
      <c r="AE34" s="57">
        <f t="shared" ref="AE34" si="132">AE33/$E33</f>
        <v>0.89427396246772328</v>
      </c>
      <c r="AF34" s="57">
        <f t="shared" ref="AF34" si="133">AF33/$E33</f>
        <v>0.89606251039265872</v>
      </c>
      <c r="AG34" s="57">
        <f t="shared" ref="AG34" si="134">AG33/$E33</f>
        <v>0.89785463541344412</v>
      </c>
      <c r="AH34" s="57">
        <f t="shared" ref="AH34" si="135">AH33/$E33</f>
        <v>0.89965034468427085</v>
      </c>
      <c r="AI34" s="57">
        <f t="shared" ref="AI34" si="136">AI33/$E33</f>
        <v>0.90144964537363936</v>
      </c>
      <c r="AJ34" s="57">
        <f t="shared" ref="AJ34" si="137">AJ33/$E33</f>
        <v>0.90325254466438676</v>
      </c>
      <c r="AK34" s="57">
        <f t="shared" ref="AK34" si="138">AK33/$E33</f>
        <v>0.90505904975371543</v>
      </c>
      <c r="AL34" s="57">
        <f t="shared" ref="AL34" si="139">AL33/$E33</f>
        <v>0.90686916785322291</v>
      </c>
      <c r="AM34" s="57">
        <f t="shared" ref="AM34" si="140">AM33/$E33</f>
        <v>0.90868290618892933</v>
      </c>
      <c r="AN34" s="57">
        <f t="shared" ref="AN34" si="141">AN33/$E33</f>
        <v>0.91050027200130723</v>
      </c>
      <c r="AO34" s="57">
        <f t="shared" ref="AO34" si="142">AO33/$E33</f>
        <v>0.91050027200130723</v>
      </c>
      <c r="AP34" s="57">
        <f t="shared" ref="AP34" si="143">AP33/$E33</f>
        <v>0.91232127254530981</v>
      </c>
      <c r="AQ34" s="57">
        <f t="shared" ref="AQ34" si="144">AQ33/$E33</f>
        <v>0.91414591509040033</v>
      </c>
      <c r="AR34" s="57">
        <f t="shared" ref="AR34" si="145">AR33/$E33</f>
        <v>0.91597420692058129</v>
      </c>
      <c r="AS34" s="57">
        <f t="shared" ref="AS34" si="146">AS33/$E33</f>
        <v>0.91780615533442234</v>
      </c>
      <c r="AT34" s="57">
        <f t="shared" ref="AT34" si="147">AT33/$E33</f>
        <v>0.9196417676450912</v>
      </c>
    </row>
    <row r="35" spans="3:46">
      <c r="C35" t="s">
        <v>66</v>
      </c>
      <c r="D35" t="s">
        <v>84</v>
      </c>
      <c r="E35">
        <f>E41+E42</f>
        <v>40404.152501724369</v>
      </c>
      <c r="F35">
        <f t="shared" ref="F35:O35" si="148">F41+F42</f>
        <v>37647.358320109633</v>
      </c>
      <c r="G35">
        <f t="shared" si="148"/>
        <v>39816.103110580858</v>
      </c>
      <c r="H35">
        <f t="shared" si="148"/>
        <v>38580.837164949124</v>
      </c>
      <c r="I35">
        <f t="shared" si="148"/>
        <v>37514.213096250001</v>
      </c>
      <c r="J35">
        <f t="shared" si="148"/>
        <v>37015.327399328584</v>
      </c>
      <c r="K35">
        <f t="shared" si="148"/>
        <v>38945.826080989827</v>
      </c>
      <c r="L35">
        <f t="shared" si="148"/>
        <v>40714.742013766692</v>
      </c>
      <c r="M35">
        <f t="shared" si="148"/>
        <v>42064.826527197823</v>
      </c>
      <c r="N35">
        <f t="shared" si="148"/>
        <v>43127.57517350679</v>
      </c>
      <c r="O35">
        <f t="shared" si="148"/>
        <v>43982.299598038211</v>
      </c>
      <c r="P35">
        <f t="shared" ref="P35:AP35" si="149">P41+P42</f>
        <v>44726.149946288126</v>
      </c>
      <c r="Q35">
        <f t="shared" si="149"/>
        <v>45343.781535297574</v>
      </c>
      <c r="R35">
        <f t="shared" si="149"/>
        <v>45902.018979910885</v>
      </c>
      <c r="S35">
        <f t="shared" si="149"/>
        <v>46372.122266823113</v>
      </c>
      <c r="T35">
        <f t="shared" si="149"/>
        <v>46754.478376104664</v>
      </c>
      <c r="U35">
        <f t="shared" si="149"/>
        <v>47034.894997192525</v>
      </c>
      <c r="V35">
        <f t="shared" si="149"/>
        <v>47255.584808148706</v>
      </c>
      <c r="W35">
        <f t="shared" si="149"/>
        <v>47390.819739572122</v>
      </c>
      <c r="X35">
        <f t="shared" si="149"/>
        <v>47452.39710058221</v>
      </c>
      <c r="Y35">
        <f t="shared" si="149"/>
        <v>47446.810391801555</v>
      </c>
      <c r="Z35">
        <f t="shared" si="149"/>
        <v>47379.722838498863</v>
      </c>
      <c r="AA35">
        <f t="shared" si="149"/>
        <v>47260.872531611429</v>
      </c>
      <c r="AB35">
        <f t="shared" si="149"/>
        <v>47089.335408015497</v>
      </c>
      <c r="AC35">
        <f t="shared" si="149"/>
        <v>46869.683008907472</v>
      </c>
      <c r="AD35">
        <f t="shared" si="149"/>
        <v>46606.582742589482</v>
      </c>
      <c r="AE35">
        <f t="shared" si="149"/>
        <v>46303.661195475586</v>
      </c>
      <c r="AF35">
        <f t="shared" si="149"/>
        <v>45966.789291628986</v>
      </c>
      <c r="AG35">
        <f t="shared" si="149"/>
        <v>45596.470469612585</v>
      </c>
      <c r="AH35">
        <f t="shared" si="149"/>
        <v>45196.028947519459</v>
      </c>
      <c r="AI35">
        <f t="shared" si="149"/>
        <v>44769.525627499424</v>
      </c>
      <c r="AJ35">
        <f t="shared" si="149"/>
        <v>44320.156820994103</v>
      </c>
      <c r="AK35">
        <f t="shared" si="149"/>
        <v>43858.102802805799</v>
      </c>
      <c r="AL35">
        <f t="shared" si="149"/>
        <v>43370.869247706942</v>
      </c>
      <c r="AM35">
        <f t="shared" si="149"/>
        <v>42858.864539594484</v>
      </c>
      <c r="AN35">
        <f t="shared" si="149"/>
        <v>42322.193625002896</v>
      </c>
      <c r="AO35">
        <f t="shared" si="149"/>
        <v>41760.707547394813</v>
      </c>
      <c r="AP35">
        <f t="shared" si="149"/>
        <v>41173.903256058285</v>
      </c>
      <c r="AQ35">
        <f>AQ41+AQ42</f>
        <v>40561.26036433519</v>
      </c>
      <c r="AR35">
        <f t="shared" ref="AR35:AT35" si="150">AR41+AR42</f>
        <v>39922.126435311853</v>
      </c>
      <c r="AS35">
        <f t="shared" si="150"/>
        <v>39255.711187499692</v>
      </c>
      <c r="AT35">
        <f t="shared" si="150"/>
        <v>38561.535692607569</v>
      </c>
    </row>
    <row r="36" spans="3:46">
      <c r="D36" s="57" t="s">
        <v>85</v>
      </c>
      <c r="E36" s="57">
        <f>E35/$E35</f>
        <v>1</v>
      </c>
      <c r="F36" s="57">
        <f t="shared" ref="F36:O36" si="151">F35/$E35</f>
        <v>0.93176953330484824</v>
      </c>
      <c r="G36" s="57">
        <f t="shared" si="151"/>
        <v>0.98544581794857811</v>
      </c>
      <c r="H36" s="57">
        <f t="shared" si="151"/>
        <v>0.95487307061576332</v>
      </c>
      <c r="I36" s="57">
        <f t="shared" si="151"/>
        <v>0.92847419815695842</v>
      </c>
      <c r="J36" s="57">
        <f t="shared" si="151"/>
        <v>0.91612681141496144</v>
      </c>
      <c r="K36" s="57">
        <f t="shared" si="151"/>
        <v>0.9639065212252057</v>
      </c>
      <c r="L36" s="57">
        <f t="shared" si="151"/>
        <v>1.007687069095907</v>
      </c>
      <c r="M36" s="57">
        <f t="shared" si="151"/>
        <v>1.0411015680975508</v>
      </c>
      <c r="N36" s="57">
        <f t="shared" si="151"/>
        <v>1.0674045241183117</v>
      </c>
      <c r="O36" s="57">
        <f t="shared" si="151"/>
        <v>1.0885588949344038</v>
      </c>
      <c r="P36" s="57">
        <f t="shared" ref="P36" si="152">P35/$E35</f>
        <v>1.1069691399758801</v>
      </c>
      <c r="Q36" s="57">
        <f t="shared" ref="Q36" si="153">Q35/$E35</f>
        <v>1.1222554793931736</v>
      </c>
      <c r="R36" s="57">
        <f t="shared" ref="R36" si="154">R35/$E35</f>
        <v>1.1360718178150595</v>
      </c>
      <c r="S36" s="57">
        <f t="shared" ref="S36" si="155">S35/$E35</f>
        <v>1.1477068418857206</v>
      </c>
      <c r="T36" s="57">
        <f t="shared" ref="T36" si="156">T35/$E35</f>
        <v>1.1571701293353269</v>
      </c>
      <c r="U36" s="57">
        <f t="shared" ref="U36" si="157">U35/$E35</f>
        <v>1.1641104214519824</v>
      </c>
      <c r="V36" s="57">
        <f t="shared" ref="V36" si="158">V35/$E35</f>
        <v>1.1695724791191184</v>
      </c>
      <c r="W36" s="57">
        <f t="shared" ref="W36" si="159">W35/$E35</f>
        <v>1.1729195343857188</v>
      </c>
      <c r="X36" s="57">
        <f t="shared" ref="X36:Y36" si="160">X35/$E35</f>
        <v>1.1744435698424076</v>
      </c>
      <c r="Y36" s="57">
        <f t="shared" si="160"/>
        <v>1.1743052991837069</v>
      </c>
      <c r="Z36" s="57">
        <f t="shared" ref="Z36" si="161">Z35/$E35</f>
        <v>1.1726448868461425</v>
      </c>
      <c r="AA36" s="57">
        <f t="shared" ref="AA36" si="162">AA35/$E35</f>
        <v>1.1697033499117306</v>
      </c>
      <c r="AB36" s="57">
        <f t="shared" ref="AB36" si="163">AB35/$E35</f>
        <v>1.1654578178816104</v>
      </c>
      <c r="AC36" s="57">
        <f t="shared" ref="AC36" si="164">AC35/$E35</f>
        <v>1.1600214360864807</v>
      </c>
      <c r="AD36" s="57">
        <f t="shared" ref="AD36" si="165">AD35/$E35</f>
        <v>1.1535097225613236</v>
      </c>
      <c r="AE36" s="57">
        <f t="shared" ref="AE36" si="166">AE35/$E35</f>
        <v>1.1460124350708616</v>
      </c>
      <c r="AF36" s="57">
        <f t="shared" ref="AF36" si="167">AF35/$E35</f>
        <v>1.1376748785825224</v>
      </c>
      <c r="AG36" s="57">
        <f t="shared" ref="AG36" si="168">AG35/$E35</f>
        <v>1.1285095131661682</v>
      </c>
      <c r="AH36" s="57">
        <f t="shared" ref="AH36:AI36" si="169">AH35/$E35</f>
        <v>1.1185986129913399</v>
      </c>
      <c r="AI36" s="57">
        <f t="shared" si="169"/>
        <v>1.108042685107397</v>
      </c>
      <c r="AJ36" s="57">
        <f t="shared" ref="AJ36" si="170">AJ35/$E35</f>
        <v>1.0969208380030395</v>
      </c>
      <c r="AK36" s="57">
        <f t="shared" ref="AK36" si="171">AK35/$E35</f>
        <v>1.0854850327805792</v>
      </c>
      <c r="AL36" s="57">
        <f t="shared" ref="AL36" si="172">AL35/$E35</f>
        <v>1.073426035748577</v>
      </c>
      <c r="AM36" s="57">
        <f t="shared" ref="AM36" si="173">AM35/$E35</f>
        <v>1.0607539543804403</v>
      </c>
      <c r="AN36" s="57">
        <f t="shared" ref="AN36" si="174">AN35/$E35</f>
        <v>1.0474713860956908</v>
      </c>
      <c r="AO36" s="57">
        <f t="shared" ref="AO36" si="175">AO35/$E35</f>
        <v>1.0335746442302569</v>
      </c>
      <c r="AP36" s="57">
        <f t="shared" ref="AP36" si="176">AP35/$E35</f>
        <v>1.019051278313561</v>
      </c>
      <c r="AQ36" s="57">
        <f>AQ35/$E35</f>
        <v>1.0038884088115476</v>
      </c>
      <c r="AR36" s="57">
        <f t="shared" ref="AR36" si="177">AR35/$E35</f>
        <v>0.98806988795540396</v>
      </c>
      <c r="AS36" s="57">
        <f t="shared" ref="AS36" si="178">AS35/$E35</f>
        <v>0.97157615633255356</v>
      </c>
      <c r="AT36" s="57">
        <f t="shared" ref="AT36" si="179">AT35/$E35</f>
        <v>0.95439536050067719</v>
      </c>
    </row>
    <row r="37" spans="3:46">
      <c r="C37" t="s">
        <v>52</v>
      </c>
      <c r="D37" t="s">
        <v>84</v>
      </c>
      <c r="E37">
        <f>E43+E44</f>
        <v>20683.626500000006</v>
      </c>
      <c r="F37">
        <f t="shared" ref="F37:O37" si="180">F43+F44</f>
        <v>15024.313599999992</v>
      </c>
      <c r="G37">
        <f t="shared" si="180"/>
        <v>14677.074724999997</v>
      </c>
      <c r="H37">
        <f t="shared" si="180"/>
        <v>13325.719208313925</v>
      </c>
      <c r="I37">
        <f t="shared" si="180"/>
        <v>15802.422465132951</v>
      </c>
      <c r="J37">
        <f t="shared" si="180"/>
        <v>15742.833551444439</v>
      </c>
      <c r="K37">
        <f t="shared" si="180"/>
        <v>15674.562723964056</v>
      </c>
      <c r="L37">
        <f t="shared" si="180"/>
        <v>15608.444391811085</v>
      </c>
      <c r="M37">
        <f t="shared" si="180"/>
        <v>15554.390665093806</v>
      </c>
      <c r="N37">
        <f t="shared" si="180"/>
        <v>15508.219462685473</v>
      </c>
      <c r="O37">
        <f t="shared" si="180"/>
        <v>15467.436256218141</v>
      </c>
      <c r="P37">
        <f t="shared" ref="P37:AP37" si="181">P43+P44</f>
        <v>15428.064352163685</v>
      </c>
      <c r="Q37">
        <f t="shared" si="181"/>
        <v>15391.125952468414</v>
      </c>
      <c r="R37">
        <f t="shared" si="181"/>
        <v>15353.11281919395</v>
      </c>
      <c r="S37">
        <f t="shared" si="181"/>
        <v>15315.559839093825</v>
      </c>
      <c r="T37">
        <f t="shared" si="181"/>
        <v>15278.611440056833</v>
      </c>
      <c r="U37">
        <f t="shared" si="181"/>
        <v>15250.708910089512</v>
      </c>
      <c r="V37">
        <f t="shared" si="181"/>
        <v>15221.896240112357</v>
      </c>
      <c r="W37">
        <f t="shared" si="181"/>
        <v>15194.279919421642</v>
      </c>
      <c r="X37">
        <f t="shared" si="181"/>
        <v>15167.532473271567</v>
      </c>
      <c r="Y37">
        <f t="shared" si="181"/>
        <v>15141.70607993106</v>
      </c>
      <c r="Z37">
        <f t="shared" si="181"/>
        <v>15116.869261943189</v>
      </c>
      <c r="AA37">
        <f t="shared" si="181"/>
        <v>15092.351872963813</v>
      </c>
      <c r="AB37">
        <f t="shared" si="181"/>
        <v>15068.971571339904</v>
      </c>
      <c r="AC37">
        <f t="shared" si="181"/>
        <v>15046.809166834548</v>
      </c>
      <c r="AD37">
        <f t="shared" si="181"/>
        <v>15025.93571491392</v>
      </c>
      <c r="AE37">
        <f t="shared" si="181"/>
        <v>15006.433316051523</v>
      </c>
      <c r="AF37">
        <f t="shared" si="181"/>
        <v>14987.169238631526</v>
      </c>
      <c r="AG37">
        <f t="shared" si="181"/>
        <v>14969.407679608492</v>
      </c>
      <c r="AH37">
        <f t="shared" si="181"/>
        <v>14953.21600605495</v>
      </c>
      <c r="AI37">
        <f t="shared" si="181"/>
        <v>14938.638750124421</v>
      </c>
      <c r="AJ37">
        <f t="shared" si="181"/>
        <v>14925.728680348129</v>
      </c>
      <c r="AK37">
        <f t="shared" si="181"/>
        <v>14913.012428254826</v>
      </c>
      <c r="AL37">
        <f t="shared" si="181"/>
        <v>14902.197453446139</v>
      </c>
      <c r="AM37">
        <f t="shared" si="181"/>
        <v>14893.377776086205</v>
      </c>
      <c r="AN37">
        <f t="shared" si="181"/>
        <v>14886.649517233964</v>
      </c>
      <c r="AO37">
        <f t="shared" si="181"/>
        <v>14882.111220567127</v>
      </c>
      <c r="AP37">
        <f t="shared" si="181"/>
        <v>14878.770476658083</v>
      </c>
      <c r="AQ37">
        <f>AQ43+AQ44</f>
        <v>14877.809725644393</v>
      </c>
      <c r="AR37">
        <f t="shared" ref="AR37:AT37" si="182">AR43+AR44</f>
        <v>14879.333857683061</v>
      </c>
      <c r="AS37">
        <f t="shared" si="182"/>
        <v>14883.450474555724</v>
      </c>
      <c r="AT37">
        <f t="shared" si="182"/>
        <v>14891.740640924232</v>
      </c>
    </row>
    <row r="38" spans="3:46">
      <c r="D38" s="57" t="s">
        <v>85</v>
      </c>
      <c r="E38" s="57">
        <f>E37/$E37</f>
        <v>1</v>
      </c>
      <c r="F38" s="57">
        <f t="shared" ref="F38:O38" si="183">F37/$E37</f>
        <v>0.72638681616108225</v>
      </c>
      <c r="G38" s="57">
        <f t="shared" si="183"/>
        <v>0.70959871205371039</v>
      </c>
      <c r="H38" s="57">
        <f t="shared" si="183"/>
        <v>0.64426415785036162</v>
      </c>
      <c r="I38" s="57">
        <f t="shared" si="183"/>
        <v>0.76400637311512787</v>
      </c>
      <c r="J38" s="57">
        <f t="shared" si="183"/>
        <v>0.76112540281291752</v>
      </c>
      <c r="K38" s="57">
        <f t="shared" si="183"/>
        <v>0.75782468436877115</v>
      </c>
      <c r="L38" s="57">
        <f t="shared" si="183"/>
        <v>0.75462803352260688</v>
      </c>
      <c r="M38" s="57">
        <f t="shared" si="183"/>
        <v>0.75201467523568954</v>
      </c>
      <c r="N38" s="57">
        <f t="shared" si="183"/>
        <v>0.74978241667076462</v>
      </c>
      <c r="O38" s="57">
        <f t="shared" si="183"/>
        <v>0.74781065381441392</v>
      </c>
      <c r="P38" s="57">
        <f t="shared" ref="P38" si="184">P37/$E37</f>
        <v>0.74590712379009938</v>
      </c>
      <c r="Q38" s="57">
        <f t="shared" ref="Q38" si="185">Q37/$E37</f>
        <v>0.74412124742575536</v>
      </c>
      <c r="R38" s="57">
        <f t="shared" ref="R38" si="186">R37/$E37</f>
        <v>0.74228341046450175</v>
      </c>
      <c r="S38" s="57">
        <f t="shared" ref="S38" si="187">S37/$E37</f>
        <v>0.74046782072253237</v>
      </c>
      <c r="T38" s="57">
        <f t="shared" ref="T38" si="188">T37/$E37</f>
        <v>0.73868146091580356</v>
      </c>
      <c r="U38" s="57">
        <f t="shared" ref="U38" si="189">U37/$E37</f>
        <v>0.73733244555008315</v>
      </c>
      <c r="V38" s="57">
        <f t="shared" ref="V38" si="190">V37/$E37</f>
        <v>0.7359394272620593</v>
      </c>
      <c r="W38" s="57">
        <f t="shared" ref="W38" si="191">W37/$E37</f>
        <v>0.73460424937675406</v>
      </c>
      <c r="X38" s="57">
        <f t="shared" ref="X38:Y38" si="192">X37/$E37</f>
        <v>0.73331107933473672</v>
      </c>
      <c r="Y38" s="57">
        <f t="shared" si="192"/>
        <v>0.73206243982074692</v>
      </c>
      <c r="Z38" s="57">
        <f t="shared" ref="Z38" si="193">Z37/$E37</f>
        <v>0.7308616437230282</v>
      </c>
      <c r="AA38" s="57">
        <f t="shared" ref="AA38" si="194">AA37/$E37</f>
        <v>0.72967629119409061</v>
      </c>
      <c r="AB38" s="57">
        <f t="shared" ref="AB38" si="195">AB37/$E37</f>
        <v>0.72854591390634038</v>
      </c>
      <c r="AC38" s="57">
        <f t="shared" ref="AC38" si="196">AC37/$E37</f>
        <v>0.72747441880342134</v>
      </c>
      <c r="AD38" s="57">
        <f t="shared" ref="AD38" si="197">AD37/$E37</f>
        <v>0.72646524123387723</v>
      </c>
      <c r="AE38" s="57">
        <f t="shared" ref="AE38" si="198">AE37/$E37</f>
        <v>0.72552235054387193</v>
      </c>
      <c r="AF38" s="57">
        <f t="shared" ref="AF38" si="199">AF37/$E37</f>
        <v>0.72459098208099637</v>
      </c>
      <c r="AG38" s="57">
        <f t="shared" ref="AG38" si="200">AG37/$E37</f>
        <v>0.72373225650774964</v>
      </c>
      <c r="AH38" s="57">
        <f t="shared" ref="AH38:AI38" si="201">AH37/$E37</f>
        <v>0.72294943084835472</v>
      </c>
      <c r="AI38" s="57">
        <f t="shared" si="201"/>
        <v>0.72224465811758964</v>
      </c>
      <c r="AJ38" s="57">
        <f t="shared" ref="AJ38" si="202">AJ37/$E37</f>
        <v>0.72162048953785374</v>
      </c>
      <c r="AK38" s="57">
        <f t="shared" ref="AK38" si="203">AK37/$E37</f>
        <v>0.72100569154325145</v>
      </c>
      <c r="AL38" s="57">
        <f t="shared" ref="AL38" si="204">AL37/$E37</f>
        <v>0.72048281540213144</v>
      </c>
      <c r="AM38" s="57">
        <f t="shared" ref="AM38" si="205">AM37/$E37</f>
        <v>0.72005640674696003</v>
      </c>
      <c r="AN38" s="57">
        <f t="shared" ref="AN38" si="206">AN37/$E37</f>
        <v>0.71973111278304891</v>
      </c>
      <c r="AO38" s="57">
        <f t="shared" ref="AO38" si="207">AO37/$E37</f>
        <v>0.71951169784308</v>
      </c>
      <c r="AP38" s="57">
        <f t="shared" ref="AP38" si="208">AP37/$E37</f>
        <v>0.71935018149056595</v>
      </c>
      <c r="AQ38" s="57">
        <f>AQ37/$E37</f>
        <v>0.71930373165674732</v>
      </c>
      <c r="AR38" s="57">
        <f t="shared" ref="AR38" si="209">AR37/$E37</f>
        <v>0.71937741951021295</v>
      </c>
      <c r="AS38" s="57">
        <f t="shared" ref="AS38" si="210">AS37/$E37</f>
        <v>0.71957644731960901</v>
      </c>
      <c r="AT38" s="57">
        <f t="shared" ref="AT38" si="211">AT37/$E37</f>
        <v>0.7199772554839079</v>
      </c>
    </row>
    <row r="39" spans="3:46">
      <c r="C39" t="s">
        <v>117</v>
      </c>
    </row>
    <row r="40" spans="3:46">
      <c r="C40" t="s">
        <v>112</v>
      </c>
      <c r="E40">
        <v>2019</v>
      </c>
      <c r="F40">
        <v>2020</v>
      </c>
      <c r="G40">
        <v>2021</v>
      </c>
      <c r="H40">
        <v>2022</v>
      </c>
      <c r="I40">
        <v>2023</v>
      </c>
      <c r="J40">
        <v>2024</v>
      </c>
      <c r="K40">
        <v>2025</v>
      </c>
      <c r="L40">
        <v>2026</v>
      </c>
      <c r="M40">
        <v>2027</v>
      </c>
      <c r="N40">
        <v>2028</v>
      </c>
      <c r="O40">
        <v>2029</v>
      </c>
      <c r="P40">
        <v>2030</v>
      </c>
      <c r="Q40">
        <v>2031</v>
      </c>
      <c r="R40">
        <v>2032</v>
      </c>
      <c r="S40">
        <v>2033</v>
      </c>
      <c r="T40">
        <v>2034</v>
      </c>
      <c r="U40">
        <v>2035</v>
      </c>
      <c r="V40">
        <v>2036</v>
      </c>
      <c r="W40">
        <v>2037</v>
      </c>
      <c r="X40">
        <v>2038</v>
      </c>
      <c r="Y40">
        <v>2039</v>
      </c>
      <c r="Z40">
        <v>2040</v>
      </c>
      <c r="AA40">
        <v>2041</v>
      </c>
      <c r="AB40">
        <v>2042</v>
      </c>
      <c r="AC40">
        <v>2043</v>
      </c>
      <c r="AD40">
        <v>2044</v>
      </c>
      <c r="AE40">
        <v>2045</v>
      </c>
      <c r="AF40">
        <v>2046</v>
      </c>
      <c r="AG40">
        <v>2047</v>
      </c>
      <c r="AH40">
        <v>2048</v>
      </c>
      <c r="AI40">
        <v>2049</v>
      </c>
      <c r="AJ40">
        <v>2050</v>
      </c>
      <c r="AK40">
        <v>2051</v>
      </c>
      <c r="AL40">
        <v>2052</v>
      </c>
      <c r="AM40">
        <v>2053</v>
      </c>
      <c r="AN40">
        <v>2054</v>
      </c>
      <c r="AO40">
        <v>2055</v>
      </c>
      <c r="AP40">
        <v>2056</v>
      </c>
      <c r="AQ40">
        <v>2057</v>
      </c>
      <c r="AR40">
        <v>2058</v>
      </c>
      <c r="AS40">
        <v>2059</v>
      </c>
      <c r="AT40">
        <v>2060</v>
      </c>
    </row>
    <row r="41" spans="3:46">
      <c r="C41" t="s">
        <v>113</v>
      </c>
      <c r="E41">
        <f>22241.62*1.25*1.11111235721358/0.873698773342676</f>
        <v>35356.777960068117</v>
      </c>
      <c r="F41">
        <f>23940.89*1.25*0.965899928884944/0.873698773342676</f>
        <v>33084.205698221434</v>
      </c>
      <c r="G41">
        <f>25797.39*1.25*0.93/0.873698773342676</f>
        <v>34324.720132390234</v>
      </c>
      <c r="H41">
        <v>33421.896764949124</v>
      </c>
      <c r="I41">
        <v>32306.333096250004</v>
      </c>
      <c r="J41">
        <v>31815.000839346354</v>
      </c>
      <c r="K41">
        <v>33754.177712075383</v>
      </c>
      <c r="L41">
        <v>35531.525305294148</v>
      </c>
      <c r="M41">
        <v>36888.524550128219</v>
      </c>
      <c r="N41">
        <v>37957.194742992702</v>
      </c>
      <c r="O41">
        <v>38817.161201446776</v>
      </c>
      <c r="P41">
        <v>39566.082041562615</v>
      </c>
      <c r="Q41">
        <v>40188.479692148983</v>
      </c>
      <c r="R41">
        <v>40751.630561520811</v>
      </c>
      <c r="S41">
        <v>41226.596669548861</v>
      </c>
      <c r="T41">
        <v>41613.745972010729</v>
      </c>
      <c r="U41">
        <v>41909.000957969482</v>
      </c>
      <c r="V41">
        <v>42145.008001976254</v>
      </c>
      <c r="W41">
        <v>42294.919049328026</v>
      </c>
      <c r="X41">
        <v>42370.70599432318</v>
      </c>
      <c r="Y41">
        <v>42378.835053498842</v>
      </c>
      <c r="Z41">
        <v>42324.933516896555</v>
      </c>
      <c r="AA41">
        <v>42219.095616444436</v>
      </c>
      <c r="AB41">
        <v>42059.963588797778</v>
      </c>
      <c r="AC41">
        <v>41852.066630146815</v>
      </c>
      <c r="AD41">
        <v>41600.035003880235</v>
      </c>
      <c r="AE41">
        <v>41307.452311610839</v>
      </c>
      <c r="AF41">
        <v>40980.790368191672</v>
      </c>
      <c r="AG41">
        <v>40619.882836204597</v>
      </c>
      <c r="AH41">
        <v>40228.018799175035</v>
      </c>
      <c r="AI41">
        <v>39809.23610648152</v>
      </c>
      <c r="AJ41">
        <v>39366.703625992799</v>
      </c>
      <c r="AK41">
        <v>38911.382162007598</v>
      </c>
      <c r="AL41">
        <v>38429.873582758519</v>
      </c>
      <c r="AM41">
        <v>37922.536961461454</v>
      </c>
      <c r="AN41">
        <v>37389.426770696671</v>
      </c>
      <c r="AO41">
        <v>36830.342232842981</v>
      </c>
      <c r="AP41">
        <v>36245.305663395011</v>
      </c>
      <c r="AQ41">
        <v>35633.171121101412</v>
      </c>
      <c r="AR41">
        <v>34993.230758620215</v>
      </c>
      <c r="AS41">
        <v>34324.637323667681</v>
      </c>
      <c r="AT41">
        <v>33626.075090494181</v>
      </c>
    </row>
    <row r="42" spans="3:46">
      <c r="C42" t="s">
        <v>114</v>
      </c>
      <c r="E42">
        <f>9.6*1.25*330.741*1.11111235721358/0.873698773342676</f>
        <v>5047.3745416562524</v>
      </c>
      <c r="F42">
        <f>9.6*1.25*343.964277*0.965899928884944/0.873698773342676</f>
        <v>4563.1526218881972</v>
      </c>
      <c r="G42">
        <f>9.6*1.25*429.9117*0.93/0.873698773342676</f>
        <v>5491.3829781906252</v>
      </c>
      <c r="H42">
        <v>5158.9403999999995</v>
      </c>
      <c r="I42">
        <v>5207.88</v>
      </c>
      <c r="J42">
        <v>5200.3265599822298</v>
      </c>
      <c r="K42">
        <v>5191.6483689144434</v>
      </c>
      <c r="L42">
        <v>5183.2167084725406</v>
      </c>
      <c r="M42">
        <v>5176.3019770696055</v>
      </c>
      <c r="N42">
        <v>5170.3804305140839</v>
      </c>
      <c r="O42">
        <v>5165.1383965914365</v>
      </c>
      <c r="P42">
        <v>5160.0679047255126</v>
      </c>
      <c r="Q42">
        <v>5155.3018431485925</v>
      </c>
      <c r="R42">
        <v>5150.3884183900755</v>
      </c>
      <c r="S42">
        <v>5145.5255972742507</v>
      </c>
      <c r="T42">
        <v>5140.7324040939366</v>
      </c>
      <c r="U42">
        <v>5125.8940392230443</v>
      </c>
      <c r="V42">
        <v>5110.5768061724502</v>
      </c>
      <c r="W42">
        <v>5095.9006902440969</v>
      </c>
      <c r="X42">
        <v>5081.6911062590298</v>
      </c>
      <c r="Y42">
        <v>5067.9753383027091</v>
      </c>
      <c r="Z42">
        <v>5054.7893216023103</v>
      </c>
      <c r="AA42">
        <v>5041.7769151669918</v>
      </c>
      <c r="AB42">
        <v>5029.3718192177148</v>
      </c>
      <c r="AC42">
        <v>5017.6163787606583</v>
      </c>
      <c r="AD42">
        <v>5006.5477387092496</v>
      </c>
      <c r="AE42">
        <v>4996.2088838647496</v>
      </c>
      <c r="AF42">
        <v>4985.9989234373134</v>
      </c>
      <c r="AG42">
        <v>4976.5876334079849</v>
      </c>
      <c r="AH42">
        <v>4968.0101483444232</v>
      </c>
      <c r="AI42">
        <v>4960.2895210179058</v>
      </c>
      <c r="AJ42">
        <v>4953.4531950013034</v>
      </c>
      <c r="AK42">
        <v>4946.7206407982003</v>
      </c>
      <c r="AL42">
        <v>4940.9956649484229</v>
      </c>
      <c r="AM42">
        <v>4936.3275781330321</v>
      </c>
      <c r="AN42">
        <v>4932.7668543062218</v>
      </c>
      <c r="AO42">
        <v>4930.365314551831</v>
      </c>
      <c r="AP42">
        <v>4928.5975926632736</v>
      </c>
      <c r="AQ42">
        <v>4928.0892432337805</v>
      </c>
      <c r="AR42">
        <v>4928.8956766916353</v>
      </c>
      <c r="AS42">
        <v>4931.0738638320072</v>
      </c>
      <c r="AT42">
        <v>4935.4606021133877</v>
      </c>
    </row>
    <row r="43" spans="3:46">
      <c r="C43" t="s">
        <v>115</v>
      </c>
      <c r="E43">
        <f>(47701.5602677324+536324.439732268)*45000*45/10^8</f>
        <v>11826.526500000007</v>
      </c>
      <c r="F43">
        <f>(48186.3139605286+541774.686039471)*4.4*40/10^4</f>
        <v>10383.313599999992</v>
      </c>
      <c r="G43">
        <f>(57945.2593223947+651497.740677605)*4.45*35/10^4</f>
        <v>11049.574724999997</v>
      </c>
      <c r="H43">
        <v>10918.219208313925</v>
      </c>
      <c r="I43">
        <v>11062.422465132951</v>
      </c>
      <c r="J43">
        <v>11030.332883751809</v>
      </c>
      <c r="K43">
        <v>10993.518527883047</v>
      </c>
      <c r="L43">
        <v>10957.80978618787</v>
      </c>
      <c r="M43">
        <v>10928.572995330915</v>
      </c>
      <c r="N43">
        <v>10903.569023745047</v>
      </c>
      <c r="O43">
        <v>10881.459672424167</v>
      </c>
      <c r="P43">
        <v>10860.095539066264</v>
      </c>
      <c r="Q43">
        <v>10840.033832504996</v>
      </c>
      <c r="R43">
        <v>10819.370952915671</v>
      </c>
      <c r="S43">
        <v>10798.940390691694</v>
      </c>
      <c r="T43">
        <v>10778.821393533197</v>
      </c>
      <c r="U43">
        <v>10767.154275493647</v>
      </c>
      <c r="V43">
        <v>10755.088842853938</v>
      </c>
      <c r="W43">
        <v>10743.506764891123</v>
      </c>
      <c r="X43">
        <v>10732.272679082544</v>
      </c>
      <c r="Y43">
        <v>10721.410052943511</v>
      </c>
      <c r="Z43">
        <v>10710.949315476408</v>
      </c>
      <c r="AA43">
        <v>10700.609476098329</v>
      </c>
      <c r="AB43">
        <v>10690.736313607684</v>
      </c>
      <c r="AC43">
        <v>10681.365785933394</v>
      </c>
      <c r="AD43">
        <v>10672.529803051983</v>
      </c>
      <c r="AE43">
        <v>10664.264995977121</v>
      </c>
      <c r="AF43">
        <v>10656.092670260197</v>
      </c>
      <c r="AG43">
        <v>10648.549980702961</v>
      </c>
      <c r="AH43">
        <v>10641.6674199151</v>
      </c>
      <c r="AI43">
        <v>10635.465715472938</v>
      </c>
      <c r="AJ43">
        <v>10629.968996683037</v>
      </c>
      <c r="AK43">
        <v>10624.551045839193</v>
      </c>
      <c r="AL43">
        <v>10619.940013912519</v>
      </c>
      <c r="AM43">
        <v>10616.177502873181</v>
      </c>
      <c r="AN43">
        <v>10613.305837987762</v>
      </c>
      <c r="AO43">
        <v>10611.368162086363</v>
      </c>
      <c r="AP43">
        <v>10609.941446221699</v>
      </c>
      <c r="AQ43">
        <v>10609.531069011466</v>
      </c>
      <c r="AR43">
        <v>10610.182123639634</v>
      </c>
      <c r="AS43">
        <v>10611.940450740776</v>
      </c>
      <c r="AT43">
        <v>10615.480638438765</v>
      </c>
    </row>
    <row r="44" spans="3:46">
      <c r="C44" t="s">
        <v>116</v>
      </c>
      <c r="E44">
        <v>8857.1</v>
      </c>
      <c r="F44">
        <v>4641</v>
      </c>
      <c r="G44">
        <v>3627.5</v>
      </c>
      <c r="H44">
        <v>2407.5</v>
      </c>
      <c r="I44">
        <v>4740</v>
      </c>
      <c r="J44">
        <v>4712.5006676926296</v>
      </c>
      <c r="K44">
        <v>4681.0441960810103</v>
      </c>
      <c r="L44">
        <v>4650.6346056232142</v>
      </c>
      <c r="M44">
        <v>4625.8176697628915</v>
      </c>
      <c r="N44">
        <v>4604.6504389404245</v>
      </c>
      <c r="O44">
        <v>4585.976583793974</v>
      </c>
      <c r="P44">
        <v>4567.9688130974209</v>
      </c>
      <c r="Q44">
        <v>4551.0921199634186</v>
      </c>
      <c r="R44">
        <v>4533.7418662782793</v>
      </c>
      <c r="S44">
        <v>4516.6194484021307</v>
      </c>
      <c r="T44">
        <v>4499.7900465236362</v>
      </c>
      <c r="U44">
        <v>4483.5546345958646</v>
      </c>
      <c r="V44">
        <v>4466.807397258418</v>
      </c>
      <c r="W44">
        <v>4450.7731545305196</v>
      </c>
      <c r="X44">
        <v>4435.2597941890244</v>
      </c>
      <c r="Y44">
        <v>4420.2960269875493</v>
      </c>
      <c r="Z44">
        <v>4405.9199464667818</v>
      </c>
      <c r="AA44">
        <v>4391.742396865483</v>
      </c>
      <c r="AB44">
        <v>4378.2352577322199</v>
      </c>
      <c r="AC44">
        <v>4365.4433809011534</v>
      </c>
      <c r="AD44">
        <v>4353.4059118619371</v>
      </c>
      <c r="AE44">
        <v>4342.1683200744037</v>
      </c>
      <c r="AF44">
        <v>4331.076568371328</v>
      </c>
      <c r="AG44">
        <v>4320.85769890553</v>
      </c>
      <c r="AH44">
        <v>4311.5485861398502</v>
      </c>
      <c r="AI44">
        <v>4303.1730346514823</v>
      </c>
      <c r="AJ44">
        <v>4295.7596836650928</v>
      </c>
      <c r="AK44">
        <v>4288.4613824156331</v>
      </c>
      <c r="AL44">
        <v>4282.2574395336196</v>
      </c>
      <c r="AM44">
        <v>4277.200273213024</v>
      </c>
      <c r="AN44">
        <v>4273.3436792462007</v>
      </c>
      <c r="AO44">
        <v>4270.7430584807653</v>
      </c>
      <c r="AP44">
        <v>4268.8290304363845</v>
      </c>
      <c r="AQ44">
        <v>4268.2786566329269</v>
      </c>
      <c r="AR44">
        <v>4269.1517340434266</v>
      </c>
      <c r="AS44">
        <v>4271.510023814948</v>
      </c>
      <c r="AT44">
        <v>4276.2600024854682</v>
      </c>
    </row>
  </sheetData>
  <mergeCells count="5">
    <mergeCell ref="A3:B3"/>
    <mergeCell ref="A4:B4"/>
    <mergeCell ref="A5:B5"/>
    <mergeCell ref="A1:B1"/>
    <mergeCell ref="A2:B2"/>
  </mergeCells>
  <phoneticPr fontId="40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525320-127B-42E6-B371-C564E43981B5}">
  <dimension ref="A1:P10"/>
  <sheetViews>
    <sheetView workbookViewId="0">
      <selection activeCell="A5" sqref="A5:XFD5"/>
    </sheetView>
  </sheetViews>
  <sheetFormatPr defaultRowHeight="12.9"/>
  <sheetData>
    <row r="1" spans="1:16" ht="59.8">
      <c r="A1" s="58"/>
      <c r="B1" s="59" t="s">
        <v>91</v>
      </c>
      <c r="C1" s="59" t="s">
        <v>92</v>
      </c>
      <c r="D1" s="59" t="s">
        <v>93</v>
      </c>
      <c r="E1" s="59" t="s">
        <v>94</v>
      </c>
      <c r="F1" s="59" t="s">
        <v>95</v>
      </c>
      <c r="G1" s="59" t="s">
        <v>96</v>
      </c>
      <c r="H1" s="59" t="s">
        <v>97</v>
      </c>
      <c r="I1" s="59" t="s">
        <v>98</v>
      </c>
      <c r="J1" s="59" t="s">
        <v>99</v>
      </c>
      <c r="K1" s="59" t="s">
        <v>100</v>
      </c>
      <c r="L1" s="59" t="s">
        <v>101</v>
      </c>
      <c r="M1" s="59" t="s">
        <v>102</v>
      </c>
      <c r="N1" s="59" t="s">
        <v>103</v>
      </c>
      <c r="O1" s="59" t="s">
        <v>104</v>
      </c>
      <c r="P1" s="64" t="s">
        <v>111</v>
      </c>
    </row>
    <row r="2" spans="1:16" ht="14.3">
      <c r="A2" s="60">
        <v>2020</v>
      </c>
      <c r="B2" s="61" t="s">
        <v>105</v>
      </c>
      <c r="C2" s="61" t="s">
        <v>106</v>
      </c>
      <c r="D2" s="60" t="s">
        <v>107</v>
      </c>
      <c r="E2" s="60" t="s">
        <v>108</v>
      </c>
      <c r="F2" s="60">
        <v>442</v>
      </c>
      <c r="G2" s="60">
        <v>176</v>
      </c>
      <c r="H2" s="60">
        <v>320</v>
      </c>
      <c r="I2" s="60">
        <v>379</v>
      </c>
      <c r="J2" s="60">
        <v>249</v>
      </c>
      <c r="K2" s="62">
        <v>30515</v>
      </c>
      <c r="L2" s="62">
        <v>83282</v>
      </c>
      <c r="M2" s="63">
        <v>16764</v>
      </c>
      <c r="N2" s="63">
        <v>34036</v>
      </c>
      <c r="O2" s="63">
        <v>67</v>
      </c>
    </row>
    <row r="3" spans="1:16" ht="14.3">
      <c r="A3" s="60">
        <v>2025</v>
      </c>
      <c r="B3" s="60">
        <v>19740</v>
      </c>
      <c r="C3" s="60">
        <v>8515</v>
      </c>
      <c r="D3" s="60">
        <v>90</v>
      </c>
      <c r="E3" s="60">
        <v>14626</v>
      </c>
      <c r="F3" s="60">
        <v>676</v>
      </c>
      <c r="G3" s="60">
        <v>357</v>
      </c>
      <c r="H3" s="60">
        <v>304</v>
      </c>
      <c r="I3" s="60">
        <v>409</v>
      </c>
      <c r="J3" s="60">
        <v>1664</v>
      </c>
      <c r="K3" s="63">
        <v>38622</v>
      </c>
      <c r="L3" s="63">
        <v>93599</v>
      </c>
      <c r="M3" s="63">
        <v>19278</v>
      </c>
      <c r="N3" s="63">
        <v>37672</v>
      </c>
      <c r="O3" s="63">
        <v>95</v>
      </c>
      <c r="P3">
        <v>88108.832370196193</v>
      </c>
    </row>
    <row r="4" spans="1:16" ht="14.3">
      <c r="A4" s="60">
        <v>2030</v>
      </c>
      <c r="B4" s="60">
        <v>26143</v>
      </c>
      <c r="C4" s="60">
        <v>8467</v>
      </c>
      <c r="D4" s="60">
        <v>98</v>
      </c>
      <c r="E4" s="60">
        <v>19544</v>
      </c>
      <c r="F4" s="60">
        <v>670</v>
      </c>
      <c r="G4" s="60">
        <v>591</v>
      </c>
      <c r="H4" s="60">
        <v>289</v>
      </c>
      <c r="I4" s="60">
        <v>429</v>
      </c>
      <c r="J4" s="60">
        <v>2393</v>
      </c>
      <c r="K4" s="63">
        <v>41810</v>
      </c>
      <c r="L4" s="63">
        <v>109910</v>
      </c>
      <c r="M4" s="63">
        <v>21364</v>
      </c>
      <c r="N4" s="63">
        <v>41580</v>
      </c>
      <c r="O4" s="63">
        <v>112</v>
      </c>
      <c r="P4">
        <v>95744.316855708224</v>
      </c>
    </row>
    <row r="5" spans="1:16" ht="14.3">
      <c r="A5" s="60">
        <v>2035</v>
      </c>
      <c r="B5" s="60">
        <v>32149</v>
      </c>
      <c r="C5" s="60">
        <v>7079</v>
      </c>
      <c r="D5" s="60">
        <v>97</v>
      </c>
      <c r="E5" s="60">
        <v>24101</v>
      </c>
      <c r="F5" s="60">
        <v>644</v>
      </c>
      <c r="G5" s="60">
        <v>920</v>
      </c>
      <c r="H5" s="60">
        <v>266</v>
      </c>
      <c r="I5" s="60">
        <v>447</v>
      </c>
      <c r="J5" s="60">
        <v>2724</v>
      </c>
      <c r="K5" s="63">
        <v>44461</v>
      </c>
      <c r="L5" s="63">
        <v>127932</v>
      </c>
      <c r="M5" s="63">
        <v>23726</v>
      </c>
      <c r="N5" s="63">
        <v>45505</v>
      </c>
      <c r="O5" s="63">
        <v>127</v>
      </c>
      <c r="P5">
        <v>100761.26274628937</v>
      </c>
    </row>
    <row r="6" spans="1:16" ht="14.3">
      <c r="A6" s="60">
        <v>2040</v>
      </c>
      <c r="B6" s="60">
        <v>39395</v>
      </c>
      <c r="C6" s="60">
        <v>8496</v>
      </c>
      <c r="D6" s="60">
        <v>89</v>
      </c>
      <c r="E6" s="60">
        <v>24496</v>
      </c>
      <c r="F6" s="60">
        <v>606</v>
      </c>
      <c r="G6" s="60">
        <v>1117</v>
      </c>
      <c r="H6" s="60">
        <v>239</v>
      </c>
      <c r="I6" s="60">
        <v>461</v>
      </c>
      <c r="J6" s="60">
        <v>3337</v>
      </c>
      <c r="K6" s="63">
        <v>48066</v>
      </c>
      <c r="L6" s="63">
        <v>143831</v>
      </c>
      <c r="M6" s="63">
        <v>26279</v>
      </c>
      <c r="N6" s="63">
        <v>49367</v>
      </c>
      <c r="O6" s="63">
        <v>139</v>
      </c>
      <c r="P6">
        <v>105362.26286788104</v>
      </c>
    </row>
    <row r="7" spans="1:16" ht="14.3">
      <c r="A7" s="60">
        <v>2045</v>
      </c>
      <c r="B7" s="60">
        <v>47081</v>
      </c>
      <c r="C7" s="60">
        <v>8035</v>
      </c>
      <c r="D7" s="60">
        <v>76</v>
      </c>
      <c r="E7" s="60">
        <v>25144</v>
      </c>
      <c r="F7" s="60">
        <v>551</v>
      </c>
      <c r="G7" s="60">
        <v>1133</v>
      </c>
      <c r="H7" s="60">
        <v>227</v>
      </c>
      <c r="I7" s="60">
        <v>472</v>
      </c>
      <c r="J7" s="60">
        <v>4062</v>
      </c>
      <c r="K7" s="63">
        <v>49671</v>
      </c>
      <c r="L7" s="63">
        <v>162610</v>
      </c>
      <c r="M7" s="63">
        <v>26388</v>
      </c>
      <c r="N7" s="63">
        <v>50374</v>
      </c>
      <c r="O7" s="63">
        <v>143</v>
      </c>
      <c r="P7">
        <v>109254.23543248748</v>
      </c>
    </row>
    <row r="8" spans="1:16" ht="14.3">
      <c r="A8" s="60">
        <v>2050</v>
      </c>
      <c r="B8" s="60">
        <v>53109</v>
      </c>
      <c r="C8" s="60">
        <v>6996</v>
      </c>
      <c r="D8" s="60">
        <v>56</v>
      </c>
      <c r="E8" s="60">
        <v>24333</v>
      </c>
      <c r="F8" s="60">
        <v>498</v>
      </c>
      <c r="G8" s="60">
        <v>1091</v>
      </c>
      <c r="H8" s="60">
        <v>215</v>
      </c>
      <c r="I8" s="60">
        <v>484</v>
      </c>
      <c r="J8" s="60">
        <v>4585</v>
      </c>
      <c r="K8" s="63">
        <v>51277</v>
      </c>
      <c r="L8" s="63">
        <v>181928</v>
      </c>
      <c r="M8" s="63">
        <v>26498</v>
      </c>
      <c r="N8" s="63">
        <v>51381</v>
      </c>
      <c r="O8" s="63">
        <v>146</v>
      </c>
      <c r="P8">
        <v>112762.25805648824</v>
      </c>
    </row>
    <row r="9" spans="1:16" ht="14.3">
      <c r="A9" s="60">
        <v>2055</v>
      </c>
      <c r="B9" s="60">
        <v>60948</v>
      </c>
      <c r="C9" s="60">
        <v>4853</v>
      </c>
      <c r="D9" s="60">
        <v>48</v>
      </c>
      <c r="E9" s="60">
        <v>21714</v>
      </c>
      <c r="F9" s="60">
        <v>412</v>
      </c>
      <c r="G9" s="60">
        <v>989</v>
      </c>
      <c r="H9" s="60">
        <v>194</v>
      </c>
      <c r="I9" s="60">
        <v>489</v>
      </c>
      <c r="J9" s="60">
        <v>4790</v>
      </c>
      <c r="K9" s="63">
        <v>53097</v>
      </c>
      <c r="L9" s="63">
        <v>197391</v>
      </c>
      <c r="M9" s="63">
        <v>26625</v>
      </c>
      <c r="N9" s="63">
        <v>51704</v>
      </c>
      <c r="O9" s="63">
        <v>148</v>
      </c>
      <c r="P9">
        <v>113973.62011909923</v>
      </c>
    </row>
    <row r="10" spans="1:16" ht="14.3">
      <c r="A10" s="60">
        <v>2060</v>
      </c>
      <c r="B10" s="60">
        <v>67849</v>
      </c>
      <c r="C10" s="60">
        <v>2481</v>
      </c>
      <c r="D10" s="60">
        <v>48</v>
      </c>
      <c r="E10" s="60">
        <v>18482</v>
      </c>
      <c r="F10" s="60">
        <v>332</v>
      </c>
      <c r="G10" s="60">
        <v>901</v>
      </c>
      <c r="H10" s="60">
        <v>172</v>
      </c>
      <c r="I10" s="60">
        <v>494</v>
      </c>
      <c r="J10" s="60">
        <v>4720</v>
      </c>
      <c r="K10" s="63">
        <v>54917</v>
      </c>
      <c r="L10" s="63">
        <v>204943</v>
      </c>
      <c r="M10" s="63">
        <v>26752</v>
      </c>
      <c r="N10" s="63">
        <v>52026</v>
      </c>
      <c r="O10" s="63">
        <v>150</v>
      </c>
      <c r="P10">
        <v>115184.98218171023</v>
      </c>
    </row>
  </sheetData>
  <phoneticPr fontId="40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11421F-6DD2-4FF2-A470-FE271B7BD140}">
  <dimension ref="A1:BY47"/>
  <sheetViews>
    <sheetView topLeftCell="A22" workbookViewId="0">
      <selection activeCell="H47" sqref="H47"/>
    </sheetView>
  </sheetViews>
  <sheetFormatPr defaultRowHeight="12.9"/>
  <cols>
    <col min="3" max="3" width="18.375" bestFit="1" customWidth="1"/>
    <col min="4" max="4" width="11.625" bestFit="1" customWidth="1"/>
    <col min="38" max="38" width="12.875" bestFit="1" customWidth="1"/>
    <col min="46" max="46" width="9.5" bestFit="1" customWidth="1"/>
    <col min="47" max="47" width="8.875" style="38"/>
    <col min="57" max="57" width="8.875" style="38"/>
    <col min="67" max="67" width="8.875" style="38"/>
    <col min="77" max="77" width="8.875" style="38"/>
  </cols>
  <sheetData>
    <row r="1" spans="1:77" ht="14.95" thickBot="1">
      <c r="A1" s="76" t="s">
        <v>48</v>
      </c>
      <c r="B1" s="73"/>
      <c r="C1" s="74"/>
      <c r="D1" s="22" t="s">
        <v>27</v>
      </c>
      <c r="E1" s="22" t="s">
        <v>28</v>
      </c>
      <c r="F1" s="22" t="s">
        <v>29</v>
      </c>
      <c r="G1" s="22" t="s">
        <v>30</v>
      </c>
      <c r="H1" s="22" t="s">
        <v>31</v>
      </c>
      <c r="I1" s="22" t="s">
        <v>32</v>
      </c>
      <c r="J1" s="22" t="s">
        <v>33</v>
      </c>
      <c r="K1" s="22" t="s">
        <v>34</v>
      </c>
      <c r="L1" s="22" t="s">
        <v>35</v>
      </c>
      <c r="M1" s="22" t="s">
        <v>36</v>
      </c>
      <c r="N1" s="22" t="s">
        <v>37</v>
      </c>
      <c r="O1" s="22" t="s">
        <v>38</v>
      </c>
      <c r="P1" s="22" t="s">
        <v>39</v>
      </c>
      <c r="Q1" s="22" t="s">
        <v>40</v>
      </c>
      <c r="R1" s="22" t="s">
        <v>41</v>
      </c>
      <c r="S1" s="22" t="s">
        <v>42</v>
      </c>
      <c r="T1" s="22" t="s">
        <v>43</v>
      </c>
      <c r="U1" s="22" t="s">
        <v>44</v>
      </c>
      <c r="V1" s="22" t="s">
        <v>45</v>
      </c>
      <c r="W1" s="22" t="s">
        <v>46</v>
      </c>
      <c r="X1" s="22" t="s">
        <v>47</v>
      </c>
      <c r="Y1" s="22">
        <v>2008</v>
      </c>
      <c r="Z1" s="22">
        <v>2009</v>
      </c>
      <c r="AA1" s="22">
        <v>2010</v>
      </c>
      <c r="AB1" s="22">
        <v>2011</v>
      </c>
      <c r="AC1" s="22">
        <v>2012</v>
      </c>
      <c r="AD1" s="22">
        <v>2013</v>
      </c>
      <c r="AE1" s="22">
        <v>2014</v>
      </c>
      <c r="AF1" s="22">
        <v>2015</v>
      </c>
      <c r="AG1" s="22">
        <v>2016</v>
      </c>
      <c r="AH1" s="22">
        <v>2017</v>
      </c>
      <c r="AI1" s="22">
        <v>2018</v>
      </c>
      <c r="AJ1" s="23">
        <v>2019</v>
      </c>
      <c r="AK1" s="23">
        <v>2020</v>
      </c>
      <c r="AL1" s="23">
        <v>2021</v>
      </c>
      <c r="AM1" s="23">
        <v>2022</v>
      </c>
      <c r="AN1" s="23">
        <v>2023</v>
      </c>
      <c r="AO1" s="23">
        <v>2024</v>
      </c>
      <c r="AP1" s="23">
        <v>2025</v>
      </c>
      <c r="AQ1" s="23">
        <v>2026</v>
      </c>
      <c r="AR1" s="23">
        <v>2027</v>
      </c>
      <c r="AS1" s="23">
        <v>2028</v>
      </c>
      <c r="AT1" s="23">
        <v>2029</v>
      </c>
      <c r="AU1" s="37">
        <v>2030</v>
      </c>
      <c r="AV1" s="23">
        <v>2031</v>
      </c>
      <c r="AW1" s="23">
        <v>2032</v>
      </c>
      <c r="AX1" s="23">
        <v>2033</v>
      </c>
      <c r="AY1" s="23">
        <v>2034</v>
      </c>
      <c r="AZ1" s="23">
        <v>2035</v>
      </c>
      <c r="BA1" s="23">
        <v>2036</v>
      </c>
      <c r="BB1" s="23">
        <v>2037</v>
      </c>
      <c r="BC1" s="23">
        <v>2038</v>
      </c>
      <c r="BD1" s="23">
        <v>2039</v>
      </c>
      <c r="BE1" s="37">
        <v>2040</v>
      </c>
      <c r="BF1" s="23">
        <v>2041</v>
      </c>
      <c r="BG1" s="23">
        <v>2042</v>
      </c>
      <c r="BH1" s="23">
        <v>2043</v>
      </c>
      <c r="BI1" s="23">
        <v>2044</v>
      </c>
      <c r="BJ1" s="23">
        <v>2045</v>
      </c>
      <c r="BK1" s="23">
        <v>2046</v>
      </c>
      <c r="BL1" s="23">
        <v>2047</v>
      </c>
      <c r="BM1" s="23">
        <v>2048</v>
      </c>
      <c r="BN1" s="23">
        <v>2049</v>
      </c>
      <c r="BO1" s="37">
        <v>2050</v>
      </c>
      <c r="BP1" s="23">
        <v>2051</v>
      </c>
      <c r="BQ1" s="23">
        <v>2052</v>
      </c>
      <c r="BR1" s="23">
        <v>2053</v>
      </c>
      <c r="BS1" s="23">
        <v>2054</v>
      </c>
      <c r="BT1" s="23">
        <v>2055</v>
      </c>
      <c r="BU1" s="23">
        <v>2056</v>
      </c>
      <c r="BV1" s="23">
        <v>2057</v>
      </c>
      <c r="BW1" s="23">
        <v>2058</v>
      </c>
      <c r="BX1" s="23">
        <v>2059</v>
      </c>
      <c r="BY1" s="37">
        <v>2060</v>
      </c>
    </row>
    <row r="2" spans="1:77" ht="15.65" customHeight="1" thickBot="1">
      <c r="A2" s="77" t="s">
        <v>26</v>
      </c>
      <c r="B2" s="71"/>
      <c r="C2" s="72"/>
      <c r="D2" s="13">
        <v>9928</v>
      </c>
      <c r="E2" s="13">
        <v>11629</v>
      </c>
      <c r="F2" s="13">
        <v>18365</v>
      </c>
      <c r="G2" s="13">
        <v>26208</v>
      </c>
      <c r="H2" s="13">
        <v>27987</v>
      </c>
      <c r="I2" s="13">
        <v>29218</v>
      </c>
      <c r="J2" s="13">
        <v>30646.81</v>
      </c>
      <c r="K2" s="13">
        <v>33435.480000000003</v>
      </c>
      <c r="L2" s="13">
        <v>35908.9</v>
      </c>
      <c r="M2" s="13">
        <v>36589.800000000003</v>
      </c>
      <c r="N2" s="13">
        <v>38384.699999999997</v>
      </c>
      <c r="O2" s="13">
        <v>38088.699999999997</v>
      </c>
      <c r="P2" s="13">
        <v>40567.800000000003</v>
      </c>
      <c r="Q2" s="13">
        <v>44320.5</v>
      </c>
      <c r="R2" s="13">
        <v>47709.9</v>
      </c>
      <c r="S2" s="13">
        <v>50685.9</v>
      </c>
      <c r="T2" s="13">
        <v>53859.199999999997</v>
      </c>
      <c r="U2" s="13">
        <v>69445</v>
      </c>
      <c r="V2" s="13">
        <v>80258.100000000006</v>
      </c>
      <c r="W2" s="13">
        <v>88839.850695310888</v>
      </c>
      <c r="X2" s="13">
        <v>101418.81119221887</v>
      </c>
      <c r="Y2" s="13">
        <v>110300</v>
      </c>
      <c r="Z2" s="13">
        <v>122133.31260377038</v>
      </c>
      <c r="AA2" s="13">
        <v>141837.42298932042</v>
      </c>
      <c r="AB2" s="13">
        <v>159323.6</v>
      </c>
      <c r="AC2" s="13">
        <v>173804.46088564664</v>
      </c>
      <c r="AD2" s="13">
        <v>168013.80016386535</v>
      </c>
      <c r="AE2" s="13">
        <v>181667.69256484584</v>
      </c>
      <c r="AF2" s="13">
        <v>178355.90140000003</v>
      </c>
      <c r="AG2" s="13">
        <v>186629.47582635999</v>
      </c>
      <c r="AH2" s="13">
        <v>197372.64934682401</v>
      </c>
      <c r="AI2" s="13">
        <v>204686.23705353271</v>
      </c>
      <c r="AJ2" s="29">
        <f>SUM(AJ3:AJ7)</f>
        <v>248101.58000000002</v>
      </c>
      <c r="AK2" s="33">
        <f>SUM(AK3:AK7)</f>
        <v>286657.95</v>
      </c>
      <c r="AL2" s="33">
        <f>SUM(AL3:AL7)</f>
        <v>302296.95500000002</v>
      </c>
    </row>
    <row r="3" spans="1:77" ht="16.3" thickBot="1">
      <c r="A3" s="77" t="s">
        <v>20</v>
      </c>
      <c r="B3" s="71"/>
      <c r="C3" s="72"/>
      <c r="D3" s="9">
        <v>5345.19</v>
      </c>
      <c r="E3" s="9">
        <v>5717.5</v>
      </c>
      <c r="F3" s="9">
        <v>8125.66</v>
      </c>
      <c r="G3" s="9">
        <v>10622.38</v>
      </c>
      <c r="H3" s="9">
        <v>10972</v>
      </c>
      <c r="I3" s="9">
        <v>11575.55</v>
      </c>
      <c r="J3" s="9">
        <v>12090.9</v>
      </c>
      <c r="K3" s="9">
        <v>12632</v>
      </c>
      <c r="L3" s="9">
        <v>13049.48</v>
      </c>
      <c r="M3" s="9">
        <v>13106.2</v>
      </c>
      <c r="N3" s="9">
        <v>13269.9</v>
      </c>
      <c r="O3" s="9">
        <v>12560.1</v>
      </c>
      <c r="P3" s="9">
        <v>12910.3</v>
      </c>
      <c r="Q3" s="9">
        <v>13770.49</v>
      </c>
      <c r="R3" s="9">
        <v>14694.1</v>
      </c>
      <c r="S3" s="9">
        <v>15658.4</v>
      </c>
      <c r="T3" s="9">
        <v>17246.7</v>
      </c>
      <c r="U3" s="9">
        <v>19288.8</v>
      </c>
      <c r="V3" s="9">
        <v>20726</v>
      </c>
      <c r="W3" s="9">
        <v>21954.41</v>
      </c>
      <c r="X3" s="9">
        <v>23797</v>
      </c>
      <c r="Y3" s="9">
        <v>25106.281709408857</v>
      </c>
      <c r="Z3" s="9">
        <v>25239.169239999999</v>
      </c>
      <c r="AA3" s="9">
        <v>27644.133169999997</v>
      </c>
      <c r="AB3" s="9">
        <v>29465.785199999998</v>
      </c>
      <c r="AC3" s="9">
        <v>29187.085950000001</v>
      </c>
      <c r="AD3" s="9">
        <v>29173.890587900001</v>
      </c>
      <c r="AE3" s="9">
        <v>27530.190435086311</v>
      </c>
      <c r="AF3" s="9">
        <v>23754.307799999999</v>
      </c>
      <c r="AG3" s="9">
        <v>23792.26195</v>
      </c>
      <c r="AH3" s="9">
        <v>26962.20392</v>
      </c>
      <c r="AI3" s="9">
        <v>28820.985710000001</v>
      </c>
      <c r="AJ3" s="36">
        <v>30181.95</v>
      </c>
      <c r="AK3" s="34">
        <v>30514.46</v>
      </c>
      <c r="AL3" s="35">
        <f>($AU$3-$AK$3)/10*(10-($AU$1-AL1))+$AK$3</f>
        <v>33223.013999999996</v>
      </c>
      <c r="AM3" s="35">
        <f t="shared" ref="AM3:AT3" si="0">($AU$3-$AK$3)/10*(10-($AU$1-AM1))+$AK$3</f>
        <v>35931.567999999999</v>
      </c>
      <c r="AN3" s="35">
        <f t="shared" si="0"/>
        <v>38640.122000000003</v>
      </c>
      <c r="AO3" s="35">
        <f t="shared" si="0"/>
        <v>41348.675999999999</v>
      </c>
      <c r="AP3" s="35">
        <f t="shared" si="0"/>
        <v>44057.229999999996</v>
      </c>
      <c r="AQ3" s="35">
        <f t="shared" si="0"/>
        <v>46765.784</v>
      </c>
      <c r="AR3" s="35">
        <f t="shared" si="0"/>
        <v>49474.338000000003</v>
      </c>
      <c r="AS3" s="35">
        <f t="shared" si="0"/>
        <v>52182.892</v>
      </c>
      <c r="AT3" s="35">
        <f t="shared" si="0"/>
        <v>54891.445999999996</v>
      </c>
      <c r="AU3" s="38">
        <v>57600</v>
      </c>
      <c r="AV3">
        <f>($BE$3-$AU$3)/10*1+$AU$3</f>
        <v>60520</v>
      </c>
      <c r="AW3">
        <f>($BE$3-$AU$3)/10*2+$AU$3</f>
        <v>63440</v>
      </c>
      <c r="AX3">
        <f>($BE$3-$AU$3)/10*3+$AU$3</f>
        <v>66360</v>
      </c>
      <c r="AY3">
        <f>($BE$3-$AU$3)/10*4+$AU$3</f>
        <v>69280</v>
      </c>
      <c r="AZ3">
        <f>($BE$3-$AU$3)/10*5+$AU$3</f>
        <v>72200</v>
      </c>
      <c r="BA3">
        <f>($BE$3-$AU$3)/10*6+$AU$3</f>
        <v>75120</v>
      </c>
      <c r="BB3">
        <f>($BE$3-$AU$3)/10*7+$AU$3</f>
        <v>78040</v>
      </c>
      <c r="BC3">
        <f>($BE$3-$AU$3)/10*8+$AU$3</f>
        <v>80960</v>
      </c>
      <c r="BD3">
        <f>($BE$3-$AU$3)/10*9+$AU$3</f>
        <v>83880</v>
      </c>
      <c r="BE3" s="38">
        <v>86800</v>
      </c>
      <c r="BF3">
        <f>($BO$3-$BE$3)/10*(10-($BO$1-BF1))+$BE$3</f>
        <v>90020</v>
      </c>
      <c r="BG3">
        <f t="shared" ref="BG3:BN3" si="1">($BO$3-$BE$3)/10*(10-($BO$1-BG1))+$BE$3</f>
        <v>93240</v>
      </c>
      <c r="BH3">
        <f t="shared" si="1"/>
        <v>96460</v>
      </c>
      <c r="BI3">
        <f t="shared" si="1"/>
        <v>99680</v>
      </c>
      <c r="BJ3">
        <f t="shared" si="1"/>
        <v>102900</v>
      </c>
      <c r="BK3">
        <f t="shared" si="1"/>
        <v>106120</v>
      </c>
      <c r="BL3">
        <f t="shared" si="1"/>
        <v>109340</v>
      </c>
      <c r="BM3">
        <f t="shared" si="1"/>
        <v>112560</v>
      </c>
      <c r="BN3">
        <f t="shared" si="1"/>
        <v>115780</v>
      </c>
      <c r="BO3" s="38">
        <v>119000</v>
      </c>
      <c r="BP3">
        <f>($BY$3-$BO$3)/10*(10-($BY$1-BP1))+$BO$3</f>
        <v>121200</v>
      </c>
      <c r="BQ3">
        <f t="shared" ref="BQ3:BX3" si="2">($BY$3-$BO$3)/10*(10-($BY$1-BQ1))+$BO$3</f>
        <v>123400</v>
      </c>
      <c r="BR3">
        <f t="shared" si="2"/>
        <v>125600</v>
      </c>
      <c r="BS3">
        <f t="shared" si="2"/>
        <v>127800</v>
      </c>
      <c r="BT3">
        <f t="shared" si="2"/>
        <v>130000</v>
      </c>
      <c r="BU3">
        <f t="shared" si="2"/>
        <v>132200</v>
      </c>
      <c r="BV3">
        <f t="shared" si="2"/>
        <v>134400</v>
      </c>
      <c r="BW3">
        <f t="shared" si="2"/>
        <v>136600</v>
      </c>
      <c r="BX3">
        <f t="shared" si="2"/>
        <v>138800</v>
      </c>
      <c r="BY3" s="38">
        <v>141000</v>
      </c>
    </row>
    <row r="4" spans="1:77" ht="16.3" thickBot="1">
      <c r="A4" s="77" t="s">
        <v>21</v>
      </c>
      <c r="B4" s="71"/>
      <c r="C4" s="72"/>
      <c r="D4" s="9">
        <v>350.3</v>
      </c>
      <c r="E4" s="9">
        <v>342.9</v>
      </c>
      <c r="F4" s="9">
        <v>1903</v>
      </c>
      <c r="G4" s="9">
        <v>3358.1</v>
      </c>
      <c r="H4" s="9">
        <v>3428</v>
      </c>
      <c r="I4" s="9">
        <v>3755.39</v>
      </c>
      <c r="J4" s="9">
        <v>4070.5</v>
      </c>
      <c r="K4" s="9">
        <v>4486.3</v>
      </c>
      <c r="L4" s="9">
        <v>4694.8999999999996</v>
      </c>
      <c r="M4" s="9">
        <v>5011.2</v>
      </c>
      <c r="N4" s="9">
        <v>5271.5</v>
      </c>
      <c r="O4" s="9">
        <v>5483.38</v>
      </c>
      <c r="P4" s="9">
        <v>5724.3</v>
      </c>
      <c r="Q4" s="9">
        <v>6129.4</v>
      </c>
      <c r="R4" s="9">
        <v>6330.4</v>
      </c>
      <c r="S4" s="9">
        <v>6782.5</v>
      </c>
      <c r="T4" s="9">
        <v>7099.4755999999998</v>
      </c>
      <c r="U4" s="9">
        <v>7840.9</v>
      </c>
      <c r="V4" s="9">
        <v>8693.2000000000007</v>
      </c>
      <c r="W4" s="9">
        <v>9754.2476000000006</v>
      </c>
      <c r="X4" s="9">
        <v>11354.6872</v>
      </c>
      <c r="Y4" s="9">
        <v>32868.186099999999</v>
      </c>
      <c r="Z4" s="9">
        <v>37188.820500000002</v>
      </c>
      <c r="AA4" s="9">
        <v>43389.672100000003</v>
      </c>
      <c r="AB4" s="9">
        <v>51374.740599999997</v>
      </c>
      <c r="AC4" s="9">
        <v>59534.864699999998</v>
      </c>
      <c r="AD4" s="9">
        <v>55738.077499999999</v>
      </c>
      <c r="AE4" s="9">
        <v>56846.9</v>
      </c>
      <c r="AF4" s="9">
        <v>57955.724499999997</v>
      </c>
      <c r="AG4" s="9">
        <v>61080.096779</v>
      </c>
      <c r="AH4" s="9">
        <v>66771.515937040007</v>
      </c>
      <c r="AI4" s="9">
        <v>71249.211932699996</v>
      </c>
      <c r="AJ4" s="36">
        <v>59636.39</v>
      </c>
      <c r="AK4" s="35">
        <v>60171.85</v>
      </c>
      <c r="AL4" s="34">
        <f>($AU$4-$AK$4)/10*(10-($AU$1-AL1))+$AK$4</f>
        <v>61904.665000000001</v>
      </c>
      <c r="AM4" s="34">
        <f t="shared" ref="AM4:AT4" si="3">($AU$4-$AK$4)/10*(10-($AU$1-AM1))+$AK$4</f>
        <v>63637.479999999996</v>
      </c>
      <c r="AN4" s="34">
        <f t="shared" si="3"/>
        <v>65370.294999999998</v>
      </c>
      <c r="AO4" s="34">
        <f t="shared" si="3"/>
        <v>67103.11</v>
      </c>
      <c r="AP4" s="34">
        <f t="shared" si="3"/>
        <v>68835.925000000003</v>
      </c>
      <c r="AQ4" s="34">
        <f t="shared" si="3"/>
        <v>70568.739999999991</v>
      </c>
      <c r="AR4" s="34">
        <f t="shared" si="3"/>
        <v>72301.554999999993</v>
      </c>
      <c r="AS4" s="34">
        <f t="shared" si="3"/>
        <v>74034.37</v>
      </c>
      <c r="AT4" s="34">
        <f t="shared" si="3"/>
        <v>75767.184999999998</v>
      </c>
      <c r="AU4" s="38">
        <v>77500</v>
      </c>
      <c r="AV4">
        <f>($BE$4-$AU$4)/10*(10-($BE$1-AV1))+$AU$4</f>
        <v>78580</v>
      </c>
      <c r="AW4">
        <f t="shared" ref="AW4:BD4" si="4">($BE$4-$AU$4)/10*(10-($BE$1-AW1))+$AU$4</f>
        <v>79660</v>
      </c>
      <c r="AX4">
        <f t="shared" si="4"/>
        <v>80740</v>
      </c>
      <c r="AY4">
        <f t="shared" si="4"/>
        <v>81820</v>
      </c>
      <c r="AZ4">
        <f t="shared" si="4"/>
        <v>82900</v>
      </c>
      <c r="BA4">
        <f t="shared" si="4"/>
        <v>83980</v>
      </c>
      <c r="BB4">
        <f t="shared" si="4"/>
        <v>85060</v>
      </c>
      <c r="BC4">
        <f t="shared" si="4"/>
        <v>86140</v>
      </c>
      <c r="BD4">
        <f t="shared" si="4"/>
        <v>87220</v>
      </c>
      <c r="BE4" s="38">
        <v>88300</v>
      </c>
      <c r="BF4">
        <f>($BO$4-$BE$4)/10*(10-($BO$1-BF1))+$BE$4</f>
        <v>89060</v>
      </c>
      <c r="BG4">
        <f t="shared" ref="BG4:BN4" si="5">($BO$4-$BE$4)/10*(10-($BO$1-BG1))+$BE$4</f>
        <v>89820</v>
      </c>
      <c r="BH4">
        <f t="shared" si="5"/>
        <v>90580</v>
      </c>
      <c r="BI4">
        <f t="shared" si="5"/>
        <v>91340</v>
      </c>
      <c r="BJ4">
        <f t="shared" si="5"/>
        <v>92100</v>
      </c>
      <c r="BK4">
        <f t="shared" si="5"/>
        <v>92860</v>
      </c>
      <c r="BL4">
        <f t="shared" si="5"/>
        <v>93620</v>
      </c>
      <c r="BM4">
        <f t="shared" si="5"/>
        <v>94380</v>
      </c>
      <c r="BN4">
        <f t="shared" si="5"/>
        <v>95140</v>
      </c>
      <c r="BO4" s="38">
        <v>95900</v>
      </c>
      <c r="BP4">
        <f>($BY$4-$BO$4)/10*(10-($BY$1-BP1))+$BO$4</f>
        <v>96110</v>
      </c>
      <c r="BQ4">
        <f t="shared" ref="BQ4:BX4" si="6">($BY$4-$BO$4)/10*(10-($BY$1-BQ1))+$BO$4</f>
        <v>96320</v>
      </c>
      <c r="BR4">
        <f t="shared" si="6"/>
        <v>96530</v>
      </c>
      <c r="BS4">
        <f t="shared" si="6"/>
        <v>96740</v>
      </c>
      <c r="BT4">
        <f t="shared" si="6"/>
        <v>96950</v>
      </c>
      <c r="BU4">
        <f t="shared" si="6"/>
        <v>97160</v>
      </c>
      <c r="BV4">
        <f t="shared" si="6"/>
        <v>97370</v>
      </c>
      <c r="BW4">
        <f t="shared" si="6"/>
        <v>97580</v>
      </c>
      <c r="BX4">
        <f t="shared" si="6"/>
        <v>97790</v>
      </c>
      <c r="BY4" s="38">
        <v>98000</v>
      </c>
    </row>
    <row r="5" spans="1:77" ht="16.3" thickBot="1">
      <c r="A5" s="78" t="s">
        <v>22</v>
      </c>
      <c r="B5" s="79"/>
      <c r="C5" s="80"/>
      <c r="D5" s="9">
        <v>3801.8</v>
      </c>
      <c r="E5" s="9">
        <v>5076.5</v>
      </c>
      <c r="F5" s="9">
        <v>7729.3</v>
      </c>
      <c r="G5" s="9">
        <v>11591.9</v>
      </c>
      <c r="H5" s="9">
        <v>12955.4</v>
      </c>
      <c r="I5" s="9">
        <v>13256.2</v>
      </c>
      <c r="J5" s="9">
        <v>13860.8</v>
      </c>
      <c r="K5" s="9">
        <v>15686.6</v>
      </c>
      <c r="L5" s="9">
        <v>17552.2</v>
      </c>
      <c r="M5" s="9">
        <v>17862.5</v>
      </c>
      <c r="N5" s="9">
        <v>19235</v>
      </c>
      <c r="O5" s="9">
        <v>19405.8</v>
      </c>
      <c r="P5" s="9">
        <v>21262.799999999999</v>
      </c>
      <c r="Q5" s="9">
        <v>23734.2</v>
      </c>
      <c r="R5" s="9">
        <v>25988.9</v>
      </c>
      <c r="S5" s="9">
        <v>27510.6</v>
      </c>
      <c r="T5" s="9">
        <v>28715.8</v>
      </c>
      <c r="U5" s="9">
        <v>41428.699999999997</v>
      </c>
      <c r="V5" s="9">
        <v>49672.3</v>
      </c>
      <c r="W5" s="9">
        <v>55485.749499999998</v>
      </c>
      <c r="X5" s="9">
        <v>64284.845999999998</v>
      </c>
      <c r="Y5" s="9">
        <v>50262.704499999985</v>
      </c>
      <c r="Z5" s="9">
        <v>57556.672200000001</v>
      </c>
      <c r="AA5" s="9">
        <v>68427.526400000002</v>
      </c>
      <c r="AB5" s="9">
        <v>75423.835800000001</v>
      </c>
      <c r="AC5" s="9">
        <v>81707.578899999993</v>
      </c>
      <c r="AD5" s="9">
        <v>79435.650699999998</v>
      </c>
      <c r="AE5" s="9">
        <v>92774.555574499987</v>
      </c>
      <c r="AF5" s="9">
        <v>91772.450700000001</v>
      </c>
      <c r="AG5" s="9">
        <v>97338.802260359997</v>
      </c>
      <c r="AH5" s="9">
        <v>98611.245935739993</v>
      </c>
      <c r="AI5" s="9">
        <v>99052.815451589995</v>
      </c>
      <c r="AJ5" s="30">
        <v>103963.04</v>
      </c>
      <c r="AK5" s="35">
        <v>105834.44</v>
      </c>
      <c r="AL5" s="35">
        <f>($AU$5-$AK$5)/10*(10-($AU$1-AL1))+$AK$5</f>
        <v>109050.996</v>
      </c>
      <c r="AM5" s="35">
        <f t="shared" ref="AM5:AT5" si="7">($AU$5-$AK$5)/10*(10-($AU$1-AM1))+$AK$5</f>
        <v>112267.552</v>
      </c>
      <c r="AN5" s="35">
        <f t="shared" si="7"/>
        <v>115484.10800000001</v>
      </c>
      <c r="AO5" s="35">
        <f t="shared" si="7"/>
        <v>118700.664</v>
      </c>
      <c r="AP5" s="35">
        <f t="shared" si="7"/>
        <v>121917.22</v>
      </c>
      <c r="AQ5" s="35">
        <f t="shared" si="7"/>
        <v>125133.776</v>
      </c>
      <c r="AR5" s="35">
        <f t="shared" si="7"/>
        <v>128350.33199999999</v>
      </c>
      <c r="AS5" s="35">
        <f t="shared" si="7"/>
        <v>131566.88800000001</v>
      </c>
      <c r="AT5" s="35">
        <f t="shared" si="7"/>
        <v>134783.44399999999</v>
      </c>
      <c r="AU5" s="38">
        <v>138000</v>
      </c>
      <c r="AV5">
        <f>($BE$5-$AU$5)/10*(10-($BE$1-AV1))+$AU$5</f>
        <v>140800</v>
      </c>
      <c r="AW5">
        <f t="shared" ref="AW5:BD5" si="8">($BE$5-$AU$5)/10*(10-($BE$1-AW1))+$AU$5</f>
        <v>143600</v>
      </c>
      <c r="AX5">
        <f t="shared" si="8"/>
        <v>146400</v>
      </c>
      <c r="AY5">
        <f t="shared" si="8"/>
        <v>149200</v>
      </c>
      <c r="AZ5">
        <f t="shared" si="8"/>
        <v>152000</v>
      </c>
      <c r="BA5">
        <f t="shared" si="8"/>
        <v>154800</v>
      </c>
      <c r="BB5">
        <f t="shared" si="8"/>
        <v>157600</v>
      </c>
      <c r="BC5">
        <f t="shared" si="8"/>
        <v>160400</v>
      </c>
      <c r="BD5">
        <f t="shared" si="8"/>
        <v>163200</v>
      </c>
      <c r="BE5" s="38">
        <v>166000</v>
      </c>
      <c r="BF5">
        <f>($BO$5-$BE$5)/10*(10-($BO$1-BF1))+$BE$5</f>
        <v>167800</v>
      </c>
      <c r="BG5">
        <f t="shared" ref="BG5:BN5" si="9">($BO$5-$BE$5)/10*(10-($BO$1-BG1))+$BE$5</f>
        <v>169600</v>
      </c>
      <c r="BH5">
        <f t="shared" si="9"/>
        <v>171400</v>
      </c>
      <c r="BI5">
        <f t="shared" si="9"/>
        <v>173200</v>
      </c>
      <c r="BJ5">
        <f t="shared" si="9"/>
        <v>175000</v>
      </c>
      <c r="BK5">
        <f t="shared" si="9"/>
        <v>176800</v>
      </c>
      <c r="BL5">
        <f t="shared" si="9"/>
        <v>178600</v>
      </c>
      <c r="BM5">
        <f t="shared" si="9"/>
        <v>180400</v>
      </c>
      <c r="BN5">
        <f t="shared" si="9"/>
        <v>182200</v>
      </c>
      <c r="BO5" s="38">
        <v>184000</v>
      </c>
      <c r="BP5">
        <f>($BY$5-$BO$5)/10*(10-($BY$1-BP1))+$BO$5</f>
        <v>185900</v>
      </c>
      <c r="BQ5">
        <f t="shared" ref="BQ5:BX5" si="10">($BY$5-$BO$5)/10*(10-($BY$1-BQ1))+$BO$5</f>
        <v>187800</v>
      </c>
      <c r="BR5">
        <f t="shared" si="10"/>
        <v>189700</v>
      </c>
      <c r="BS5">
        <f t="shared" si="10"/>
        <v>191600</v>
      </c>
      <c r="BT5">
        <f t="shared" si="10"/>
        <v>193500</v>
      </c>
      <c r="BU5">
        <f t="shared" si="10"/>
        <v>195400</v>
      </c>
      <c r="BV5">
        <f t="shared" si="10"/>
        <v>197300</v>
      </c>
      <c r="BW5">
        <f t="shared" si="10"/>
        <v>199200</v>
      </c>
      <c r="BX5">
        <f t="shared" si="10"/>
        <v>201100</v>
      </c>
      <c r="BY5" s="38">
        <v>203000</v>
      </c>
    </row>
    <row r="6" spans="1:77" ht="16.3" thickBot="1">
      <c r="A6" s="27"/>
      <c r="B6" s="75" t="s">
        <v>49</v>
      </c>
      <c r="C6" s="72"/>
      <c r="D6" s="14">
        <v>2487</v>
      </c>
      <c r="E6" s="14">
        <v>3532</v>
      </c>
      <c r="F6" s="14">
        <v>5329</v>
      </c>
      <c r="G6" s="14">
        <v>8140.86</v>
      </c>
      <c r="H6" s="14">
        <v>8990.4</v>
      </c>
      <c r="I6" s="14">
        <v>9034</v>
      </c>
      <c r="J6" s="14">
        <v>9133.9</v>
      </c>
      <c r="K6" s="14">
        <v>10267.700000000001</v>
      </c>
      <c r="L6" s="14">
        <v>11938</v>
      </c>
      <c r="M6" s="14">
        <v>11254</v>
      </c>
      <c r="N6" s="14">
        <v>14874.7</v>
      </c>
      <c r="O6" s="14">
        <v>14920.28</v>
      </c>
      <c r="P6" s="14">
        <v>17014.400000000001</v>
      </c>
      <c r="Q6" s="14">
        <v>17073</v>
      </c>
      <c r="R6" s="14">
        <v>20873</v>
      </c>
      <c r="S6" s="14">
        <v>21733</v>
      </c>
      <c r="T6" s="14">
        <v>22304.77</v>
      </c>
      <c r="U6" s="14">
        <v>32255</v>
      </c>
      <c r="V6" s="14">
        <v>38552</v>
      </c>
      <c r="W6" s="14">
        <v>42577.299599999998</v>
      </c>
      <c r="X6" s="14">
        <v>48685.894099999998</v>
      </c>
      <c r="Y6" s="16">
        <v>32851</v>
      </c>
      <c r="Z6" s="16">
        <v>39524</v>
      </c>
      <c r="AA6" s="16">
        <v>45999</v>
      </c>
      <c r="AB6" s="16">
        <v>49355</v>
      </c>
      <c r="AC6" s="18">
        <v>53412.1005</v>
      </c>
      <c r="AD6" s="18">
        <v>48705.3681</v>
      </c>
      <c r="AE6" s="18">
        <v>55935.0625</v>
      </c>
      <c r="AF6" s="18">
        <v>54236.093500000003</v>
      </c>
      <c r="AG6" s="18">
        <v>58074.6</v>
      </c>
      <c r="AH6" s="18">
        <v>55083.857495930002</v>
      </c>
      <c r="AI6" s="18">
        <v>51926.58</v>
      </c>
      <c r="AJ6" s="30">
        <v>54057</v>
      </c>
      <c r="AK6" s="35">
        <v>89897</v>
      </c>
      <c r="AL6" s="35">
        <v>97842</v>
      </c>
    </row>
    <row r="7" spans="1:77" ht="15.65">
      <c r="A7" s="26" t="s">
        <v>23</v>
      </c>
      <c r="B7" s="24" t="s">
        <v>24</v>
      </c>
      <c r="C7" s="25"/>
      <c r="D7" s="15">
        <v>0.97</v>
      </c>
      <c r="E7" s="15">
        <v>1.41</v>
      </c>
      <c r="F7" s="15">
        <v>4.1500000000000004</v>
      </c>
      <c r="G7" s="15">
        <v>8.18</v>
      </c>
      <c r="H7" s="15">
        <v>10.1</v>
      </c>
      <c r="I7" s="15">
        <v>13.42</v>
      </c>
      <c r="J7" s="15">
        <v>16.61</v>
      </c>
      <c r="K7" s="15">
        <v>18.579999999999998</v>
      </c>
      <c r="L7" s="15">
        <v>22.3</v>
      </c>
      <c r="M7" s="15">
        <v>24.93</v>
      </c>
      <c r="N7" s="15">
        <v>29.1</v>
      </c>
      <c r="O7" s="15">
        <v>33.450000000000003</v>
      </c>
      <c r="P7" s="15">
        <v>42.34</v>
      </c>
      <c r="Q7" s="15">
        <v>50.27</v>
      </c>
      <c r="R7" s="15">
        <v>43.72</v>
      </c>
      <c r="S7" s="15">
        <v>51.55</v>
      </c>
      <c r="T7" s="15">
        <v>57.9</v>
      </c>
      <c r="U7" s="15">
        <v>71.8</v>
      </c>
      <c r="V7" s="15">
        <v>78.900000000000006</v>
      </c>
      <c r="W7" s="15">
        <v>94.275260000000003</v>
      </c>
      <c r="X7" s="15">
        <v>116.386674</v>
      </c>
      <c r="Y7" s="17">
        <v>119.602272</v>
      </c>
      <c r="Z7" s="17">
        <v>126.23070199999999</v>
      </c>
      <c r="AA7" s="17">
        <v>178.89815999999999</v>
      </c>
      <c r="AB7" s="17">
        <v>173.91</v>
      </c>
      <c r="AC7" s="17">
        <v>163.88936200000001</v>
      </c>
      <c r="AD7" s="17">
        <v>170.29181</v>
      </c>
      <c r="AE7" s="17">
        <v>187.771491</v>
      </c>
      <c r="AF7" s="17">
        <v>208.06829999999999</v>
      </c>
      <c r="AG7" s="17">
        <v>222.44933700000001</v>
      </c>
      <c r="AH7" s="17">
        <v>243.55229499999999</v>
      </c>
      <c r="AI7" s="17">
        <v>262.49910699999998</v>
      </c>
      <c r="AJ7" s="30">
        <v>263.2</v>
      </c>
      <c r="AK7" s="35">
        <v>240.2</v>
      </c>
      <c r="AL7" s="35">
        <f>($AU$7-$AK$7)/10*(10-($AU$1-AL1))+$AK$7</f>
        <v>276.27999999999997</v>
      </c>
      <c r="AM7" s="35">
        <f t="shared" ref="AM7:AT7" si="11">($AU$7-$AK$7)/10*(10-($AU$1-AM1))+$AK$7</f>
        <v>312.36</v>
      </c>
      <c r="AN7" s="35">
        <f t="shared" si="11"/>
        <v>348.44</v>
      </c>
      <c r="AO7" s="35">
        <f t="shared" si="11"/>
        <v>384.52</v>
      </c>
      <c r="AP7" s="35">
        <f t="shared" si="11"/>
        <v>420.59999999999997</v>
      </c>
      <c r="AQ7" s="35">
        <f t="shared" si="11"/>
        <v>456.67999999999995</v>
      </c>
      <c r="AR7" s="35">
        <f t="shared" si="11"/>
        <v>492.76</v>
      </c>
      <c r="AS7" s="35">
        <f t="shared" si="11"/>
        <v>528.83999999999992</v>
      </c>
      <c r="AT7" s="35">
        <f t="shared" si="11"/>
        <v>564.91999999999996</v>
      </c>
      <c r="AU7" s="38">
        <v>601</v>
      </c>
      <c r="AV7">
        <f>($BE$7-$AU$7)/10*(10-($BE$1-AV1))+$AU$7</f>
        <v>633.20000000000005</v>
      </c>
      <c r="AW7">
        <f t="shared" ref="AW7:BD7" si="12">($BE$7-$AU$7)/10*(10-($BE$1-AW1))+$AU$7</f>
        <v>665.4</v>
      </c>
      <c r="AX7">
        <f t="shared" si="12"/>
        <v>697.6</v>
      </c>
      <c r="AY7">
        <f t="shared" si="12"/>
        <v>729.8</v>
      </c>
      <c r="AZ7">
        <f t="shared" si="12"/>
        <v>762</v>
      </c>
      <c r="BA7">
        <f t="shared" si="12"/>
        <v>794.2</v>
      </c>
      <c r="BB7">
        <f t="shared" si="12"/>
        <v>826.40000000000009</v>
      </c>
      <c r="BC7">
        <f t="shared" si="12"/>
        <v>858.6</v>
      </c>
      <c r="BD7">
        <f t="shared" si="12"/>
        <v>890.8</v>
      </c>
      <c r="BE7" s="38">
        <v>923</v>
      </c>
      <c r="BF7">
        <f>($BO$7-$BE$7)/10*(10-($BO$1-BF1))+$BE$7</f>
        <v>947.7</v>
      </c>
      <c r="BG7">
        <f t="shared" ref="BG7:BN7" si="13">($BO$7-$BE$7)/10*(10-($BO$1-BG1))+$BE$7</f>
        <v>972.4</v>
      </c>
      <c r="BH7">
        <f t="shared" si="13"/>
        <v>997.1</v>
      </c>
      <c r="BI7">
        <f t="shared" si="13"/>
        <v>1021.8</v>
      </c>
      <c r="BJ7">
        <f t="shared" si="13"/>
        <v>1046.5</v>
      </c>
      <c r="BK7">
        <f t="shared" si="13"/>
        <v>1071.2</v>
      </c>
      <c r="BL7">
        <f t="shared" si="13"/>
        <v>1095.9000000000001</v>
      </c>
      <c r="BM7">
        <f t="shared" si="13"/>
        <v>1120.5999999999999</v>
      </c>
      <c r="BN7">
        <f t="shared" si="13"/>
        <v>1145.3</v>
      </c>
      <c r="BO7" s="38">
        <v>1170</v>
      </c>
      <c r="BP7">
        <f>($BY$7-$BO$7)/10*(10-($BY$1-BP1))+$BO$7</f>
        <v>1211</v>
      </c>
      <c r="BQ7">
        <f t="shared" ref="BQ7:BX7" si="14">($BY$7-$BO$7)/10*(10-($BY$1-BQ1))+$BO$7</f>
        <v>1252</v>
      </c>
      <c r="BR7">
        <f t="shared" si="14"/>
        <v>1293</v>
      </c>
      <c r="BS7">
        <f t="shared" si="14"/>
        <v>1334</v>
      </c>
      <c r="BT7">
        <f t="shared" si="14"/>
        <v>1375</v>
      </c>
      <c r="BU7">
        <f t="shared" si="14"/>
        <v>1416</v>
      </c>
      <c r="BV7">
        <f t="shared" si="14"/>
        <v>1457</v>
      </c>
      <c r="BW7">
        <f t="shared" si="14"/>
        <v>1498</v>
      </c>
      <c r="BX7">
        <f t="shared" si="14"/>
        <v>1539</v>
      </c>
      <c r="BY7" s="38">
        <v>1580</v>
      </c>
    </row>
    <row r="8" spans="1:77">
      <c r="AM8">
        <v>35900</v>
      </c>
    </row>
    <row r="9" spans="1:77">
      <c r="AM9">
        <v>66896.354999999996</v>
      </c>
    </row>
    <row r="10" spans="1:77">
      <c r="AM10">
        <v>116571.429</v>
      </c>
    </row>
    <row r="11" spans="1:77">
      <c r="A11" t="s">
        <v>75</v>
      </c>
      <c r="AM11">
        <v>599.29999999999995</v>
      </c>
    </row>
    <row r="12" spans="1:77">
      <c r="A12" t="s">
        <v>65</v>
      </c>
      <c r="B12">
        <v>0.21888727151535026</v>
      </c>
    </row>
    <row r="13" spans="1:77">
      <c r="A13" t="s">
        <v>67</v>
      </c>
      <c r="B13">
        <v>0.78111272848464974</v>
      </c>
    </row>
    <row r="14" spans="1:77">
      <c r="C14" t="s">
        <v>66</v>
      </c>
      <c r="D14">
        <f>D4*$B$12</f>
        <v>76.676211211827194</v>
      </c>
      <c r="E14">
        <f t="shared" ref="E14:BP14" si="15">E4*$B$12</f>
        <v>75.056445402613605</v>
      </c>
      <c r="F14">
        <f t="shared" si="15"/>
        <v>416.54247769371153</v>
      </c>
      <c r="G14">
        <f t="shared" si="15"/>
        <v>735.04534647569767</v>
      </c>
      <c r="H14">
        <f t="shared" si="15"/>
        <v>750.34556675462068</v>
      </c>
      <c r="I14">
        <f t="shared" si="15"/>
        <v>822.0070705760312</v>
      </c>
      <c r="J14">
        <f t="shared" si="15"/>
        <v>890.98063870323324</v>
      </c>
      <c r="K14">
        <f t="shared" si="15"/>
        <v>981.99396619931588</v>
      </c>
      <c r="L14">
        <f t="shared" si="15"/>
        <v>1027.6538510374178</v>
      </c>
      <c r="M14">
        <f t="shared" si="15"/>
        <v>1096.8878950177232</v>
      </c>
      <c r="N14">
        <f t="shared" si="15"/>
        <v>1153.8642517931689</v>
      </c>
      <c r="O14">
        <f t="shared" si="15"/>
        <v>1200.2420868818413</v>
      </c>
      <c r="P14">
        <f t="shared" si="15"/>
        <v>1252.9764083353195</v>
      </c>
      <c r="Q14">
        <f t="shared" si="15"/>
        <v>1341.6476420261879</v>
      </c>
      <c r="R14">
        <f t="shared" si="15"/>
        <v>1385.6439836007733</v>
      </c>
      <c r="S14">
        <f t="shared" si="15"/>
        <v>1484.6029190528632</v>
      </c>
      <c r="T14">
        <f t="shared" si="15"/>
        <v>1553.984843273804</v>
      </c>
      <c r="U14">
        <f t="shared" si="15"/>
        <v>1716.2732072247097</v>
      </c>
      <c r="V14">
        <f t="shared" si="15"/>
        <v>1902.8308287372431</v>
      </c>
      <c r="W14">
        <f t="shared" si="15"/>
        <v>2135.0806428491537</v>
      </c>
      <c r="X14">
        <f t="shared" si="15"/>
        <v>2485.3965001182723</v>
      </c>
      <c r="Y14">
        <f t="shared" si="15"/>
        <v>7194.4275750877614</v>
      </c>
      <c r="Z14">
        <f t="shared" si="15"/>
        <v>8140.1594501191239</v>
      </c>
      <c r="AA14">
        <f t="shared" si="15"/>
        <v>9497.4469379147176</v>
      </c>
      <c r="AB14">
        <f t="shared" si="15"/>
        <v>11245.276794742887</v>
      </c>
      <c r="AC14">
        <f t="shared" si="15"/>
        <v>13031.424094218541</v>
      </c>
      <c r="AD14">
        <f t="shared" si="15"/>
        <v>12200.355703486135</v>
      </c>
      <c r="AE14">
        <f t="shared" si="15"/>
        <v>12443.062835105964</v>
      </c>
      <c r="AF14">
        <f t="shared" si="15"/>
        <v>12685.770404500336</v>
      </c>
      <c r="AG14">
        <f t="shared" si="15"/>
        <v>13369.655727848844</v>
      </c>
      <c r="AH14">
        <f t="shared" si="15"/>
        <v>14615.434938402414</v>
      </c>
      <c r="AI14">
        <f t="shared" si="15"/>
        <v>15595.545597567638</v>
      </c>
      <c r="AJ14">
        <f t="shared" si="15"/>
        <v>13053.646690125319</v>
      </c>
      <c r="AK14">
        <f t="shared" si="15"/>
        <v>13170.852068530929</v>
      </c>
      <c r="AL14">
        <f t="shared" si="15"/>
        <v>13550.1432159218</v>
      </c>
      <c r="AM14">
        <f t="shared" si="15"/>
        <v>13929.43436331267</v>
      </c>
      <c r="AN14">
        <f t="shared" si="15"/>
        <v>14308.725510703543</v>
      </c>
      <c r="AO14">
        <f t="shared" si="15"/>
        <v>14688.016658094415</v>
      </c>
      <c r="AP14">
        <f t="shared" si="15"/>
        <v>15067.307805485287</v>
      </c>
      <c r="AQ14">
        <f t="shared" si="15"/>
        <v>15446.598952876157</v>
      </c>
      <c r="AR14">
        <f t="shared" si="15"/>
        <v>15825.890100267028</v>
      </c>
      <c r="AS14">
        <f t="shared" si="15"/>
        <v>16205.1812476579</v>
      </c>
      <c r="AT14">
        <f t="shared" si="15"/>
        <v>16584.472395048771</v>
      </c>
      <c r="AU14" s="38">
        <f t="shared" si="15"/>
        <v>16963.763542439647</v>
      </c>
      <c r="AV14">
        <f t="shared" si="15"/>
        <v>17200.161795676224</v>
      </c>
      <c r="AW14">
        <f t="shared" si="15"/>
        <v>17436.560048912801</v>
      </c>
      <c r="AX14">
        <f t="shared" si="15"/>
        <v>17672.958302149378</v>
      </c>
      <c r="AY14">
        <f t="shared" si="15"/>
        <v>17909.356555385959</v>
      </c>
      <c r="AZ14">
        <f t="shared" si="15"/>
        <v>18145.754808622536</v>
      </c>
      <c r="BA14">
        <f t="shared" si="15"/>
        <v>18382.153061859113</v>
      </c>
      <c r="BB14">
        <f t="shared" si="15"/>
        <v>18618.551315095694</v>
      </c>
      <c r="BC14">
        <f t="shared" si="15"/>
        <v>18854.949568332271</v>
      </c>
      <c r="BD14">
        <f t="shared" si="15"/>
        <v>19091.347821568848</v>
      </c>
      <c r="BE14" s="38">
        <f t="shared" si="15"/>
        <v>19327.746074805429</v>
      </c>
      <c r="BF14">
        <f t="shared" si="15"/>
        <v>19494.100401157095</v>
      </c>
      <c r="BG14">
        <f t="shared" si="15"/>
        <v>19660.454727508761</v>
      </c>
      <c r="BH14">
        <f t="shared" si="15"/>
        <v>19826.809053860427</v>
      </c>
      <c r="BI14">
        <f t="shared" si="15"/>
        <v>19993.163380212092</v>
      </c>
      <c r="BJ14">
        <f t="shared" si="15"/>
        <v>20159.517706563758</v>
      </c>
      <c r="BK14">
        <f t="shared" si="15"/>
        <v>20325.872032915424</v>
      </c>
      <c r="BL14">
        <f t="shared" si="15"/>
        <v>20492.22635926709</v>
      </c>
      <c r="BM14">
        <f t="shared" si="15"/>
        <v>20658.580685618756</v>
      </c>
      <c r="BN14">
        <f t="shared" si="15"/>
        <v>20824.935011970425</v>
      </c>
      <c r="BO14" s="38">
        <f t="shared" si="15"/>
        <v>20991.289338322091</v>
      </c>
      <c r="BP14">
        <f t="shared" si="15"/>
        <v>21037.255665340312</v>
      </c>
      <c r="BQ14">
        <f t="shared" ref="BQ14:BY14" si="16">BQ4*$B$12</f>
        <v>21083.221992358536</v>
      </c>
      <c r="BR14">
        <f t="shared" si="16"/>
        <v>21129.188319376761</v>
      </c>
      <c r="BS14">
        <f t="shared" si="16"/>
        <v>21175.154646394985</v>
      </c>
      <c r="BT14">
        <f t="shared" si="16"/>
        <v>21221.120973413206</v>
      </c>
      <c r="BU14">
        <f t="shared" si="16"/>
        <v>21267.087300431431</v>
      </c>
      <c r="BV14">
        <f t="shared" si="16"/>
        <v>21313.053627449655</v>
      </c>
      <c r="BW14">
        <f t="shared" si="16"/>
        <v>21359.01995446788</v>
      </c>
      <c r="BX14">
        <f t="shared" si="16"/>
        <v>21404.986281486101</v>
      </c>
      <c r="BY14" s="38">
        <f t="shared" si="16"/>
        <v>21450.952608504325</v>
      </c>
    </row>
    <row r="15" spans="1:77">
      <c r="C15" t="s">
        <v>52</v>
      </c>
      <c r="D15">
        <f>D4*$B$13</f>
        <v>273.62378878817282</v>
      </c>
      <c r="E15">
        <f t="shared" ref="E15:BP15" si="17">E4*$B$13</f>
        <v>267.8435545973864</v>
      </c>
      <c r="F15">
        <f t="shared" si="17"/>
        <v>1486.4575223062884</v>
      </c>
      <c r="G15">
        <f t="shared" si="17"/>
        <v>2623.054653524302</v>
      </c>
      <c r="H15">
        <f t="shared" si="17"/>
        <v>2677.6544332453791</v>
      </c>
      <c r="I15">
        <f t="shared" si="17"/>
        <v>2933.3829294239686</v>
      </c>
      <c r="J15">
        <f t="shared" si="17"/>
        <v>3179.5193612967669</v>
      </c>
      <c r="K15">
        <f t="shared" si="17"/>
        <v>3504.3060338006844</v>
      </c>
      <c r="L15">
        <f t="shared" si="17"/>
        <v>3667.2461489625816</v>
      </c>
      <c r="M15">
        <f t="shared" si="17"/>
        <v>3914.3121049822767</v>
      </c>
      <c r="N15">
        <f t="shared" si="17"/>
        <v>4117.6357482068315</v>
      </c>
      <c r="O15">
        <f t="shared" si="17"/>
        <v>4283.1379131181584</v>
      </c>
      <c r="P15">
        <f t="shared" si="17"/>
        <v>4471.3235916646809</v>
      </c>
      <c r="Q15">
        <f t="shared" si="17"/>
        <v>4787.7523579738117</v>
      </c>
      <c r="R15">
        <f t="shared" si="17"/>
        <v>4944.7560163992266</v>
      </c>
      <c r="S15">
        <f t="shared" si="17"/>
        <v>5297.8970809471366</v>
      </c>
      <c r="T15">
        <f t="shared" si="17"/>
        <v>5545.4907567261953</v>
      </c>
      <c r="U15">
        <f t="shared" si="17"/>
        <v>6124.6267927752897</v>
      </c>
      <c r="V15">
        <f t="shared" si="17"/>
        <v>6790.3691712627578</v>
      </c>
      <c r="W15">
        <f t="shared" si="17"/>
        <v>7619.1669571508464</v>
      </c>
      <c r="X15">
        <f t="shared" si="17"/>
        <v>8869.2906998817289</v>
      </c>
      <c r="Y15">
        <f t="shared" si="17"/>
        <v>25673.758524912238</v>
      </c>
      <c r="Z15">
        <f t="shared" si="17"/>
        <v>29048.661049880877</v>
      </c>
      <c r="AA15">
        <f t="shared" si="17"/>
        <v>33892.225162085284</v>
      </c>
      <c r="AB15">
        <f t="shared" si="17"/>
        <v>40129.46380525711</v>
      </c>
      <c r="AC15">
        <f t="shared" si="17"/>
        <v>46503.440605781456</v>
      </c>
      <c r="AD15">
        <f t="shared" si="17"/>
        <v>43537.721796513863</v>
      </c>
      <c r="AE15">
        <f t="shared" si="17"/>
        <v>44403.837164894037</v>
      </c>
      <c r="AF15">
        <f t="shared" si="17"/>
        <v>45269.954095499663</v>
      </c>
      <c r="AG15">
        <f t="shared" si="17"/>
        <v>47710.441051151152</v>
      </c>
      <c r="AH15">
        <f t="shared" si="17"/>
        <v>52156.080998637597</v>
      </c>
      <c r="AI15">
        <f t="shared" si="17"/>
        <v>55653.666335132359</v>
      </c>
      <c r="AJ15">
        <f t="shared" si="17"/>
        <v>46582.743309874684</v>
      </c>
      <c r="AK15">
        <f t="shared" si="17"/>
        <v>47000.997931469072</v>
      </c>
      <c r="AL15">
        <f t="shared" si="17"/>
        <v>48354.521784078199</v>
      </c>
      <c r="AM15">
        <f t="shared" si="17"/>
        <v>49708.045636687326</v>
      </c>
      <c r="AN15">
        <f t="shared" si="17"/>
        <v>51061.569489296453</v>
      </c>
      <c r="AO15">
        <f t="shared" si="17"/>
        <v>52415.093341905587</v>
      </c>
      <c r="AP15">
        <f t="shared" si="17"/>
        <v>53768.617194514714</v>
      </c>
      <c r="AQ15">
        <f t="shared" si="17"/>
        <v>55122.141047123834</v>
      </c>
      <c r="AR15">
        <f t="shared" si="17"/>
        <v>56475.664899732961</v>
      </c>
      <c r="AS15">
        <f t="shared" si="17"/>
        <v>57829.188752342096</v>
      </c>
      <c r="AT15">
        <f t="shared" si="17"/>
        <v>59182.712604951223</v>
      </c>
      <c r="AU15" s="38">
        <f t="shared" si="17"/>
        <v>60536.236457560357</v>
      </c>
      <c r="AV15">
        <f t="shared" si="17"/>
        <v>61379.83820432378</v>
      </c>
      <c r="AW15">
        <f t="shared" si="17"/>
        <v>62223.439951087195</v>
      </c>
      <c r="AX15">
        <f t="shared" si="17"/>
        <v>63067.041697850618</v>
      </c>
      <c r="AY15">
        <f t="shared" si="17"/>
        <v>63910.643444614041</v>
      </c>
      <c r="AZ15">
        <f t="shared" si="17"/>
        <v>64754.245191377464</v>
      </c>
      <c r="BA15">
        <f t="shared" si="17"/>
        <v>65597.84693814088</v>
      </c>
      <c r="BB15">
        <f t="shared" si="17"/>
        <v>66441.448684904302</v>
      </c>
      <c r="BC15">
        <f t="shared" si="17"/>
        <v>67285.050431667725</v>
      </c>
      <c r="BD15">
        <f t="shared" si="17"/>
        <v>68128.652178431148</v>
      </c>
      <c r="BE15" s="38">
        <f t="shared" si="17"/>
        <v>68972.253925194571</v>
      </c>
      <c r="BF15">
        <f t="shared" si="17"/>
        <v>69565.899598842909</v>
      </c>
      <c r="BG15">
        <f t="shared" si="17"/>
        <v>70159.545272491247</v>
      </c>
      <c r="BH15">
        <f t="shared" si="17"/>
        <v>70753.19094613957</v>
      </c>
      <c r="BI15">
        <f t="shared" si="17"/>
        <v>71346.836619787908</v>
      </c>
      <c r="BJ15">
        <f t="shared" si="17"/>
        <v>71940.482293436246</v>
      </c>
      <c r="BK15">
        <f t="shared" si="17"/>
        <v>72534.127967084569</v>
      </c>
      <c r="BL15">
        <f t="shared" si="17"/>
        <v>73127.773640732907</v>
      </c>
      <c r="BM15">
        <f t="shared" si="17"/>
        <v>73721.419314381244</v>
      </c>
      <c r="BN15">
        <f t="shared" si="17"/>
        <v>74315.064988029582</v>
      </c>
      <c r="BO15" s="38">
        <f t="shared" si="17"/>
        <v>74908.710661677906</v>
      </c>
      <c r="BP15">
        <f t="shared" si="17"/>
        <v>75072.744334659685</v>
      </c>
      <c r="BQ15">
        <f t="shared" ref="BQ15:BY15" si="18">BQ4*$B$13</f>
        <v>75236.778007641464</v>
      </c>
      <c r="BR15">
        <f t="shared" si="18"/>
        <v>75400.811680623243</v>
      </c>
      <c r="BS15">
        <f t="shared" si="18"/>
        <v>75564.845353605022</v>
      </c>
      <c r="BT15">
        <f t="shared" si="18"/>
        <v>75728.879026586786</v>
      </c>
      <c r="BU15">
        <f t="shared" si="18"/>
        <v>75892.912699568566</v>
      </c>
      <c r="BV15">
        <f t="shared" si="18"/>
        <v>76056.946372550345</v>
      </c>
      <c r="BW15">
        <f t="shared" si="18"/>
        <v>76220.980045532124</v>
      </c>
      <c r="BX15">
        <f t="shared" si="18"/>
        <v>76385.013718513903</v>
      </c>
      <c r="BY15" s="38">
        <f t="shared" si="18"/>
        <v>76549.047391495682</v>
      </c>
    </row>
    <row r="16" spans="1:77">
      <c r="C16" t="s">
        <v>77</v>
      </c>
      <c r="D16">
        <v>0.97</v>
      </c>
      <c r="E16">
        <v>1.41</v>
      </c>
      <c r="F16">
        <v>4.1500000000000004</v>
      </c>
      <c r="G16">
        <v>8.18</v>
      </c>
      <c r="H16">
        <v>10.1</v>
      </c>
      <c r="I16">
        <v>13.42</v>
      </c>
      <c r="J16">
        <v>16.61</v>
      </c>
      <c r="K16">
        <v>18.579999999999998</v>
      </c>
      <c r="L16">
        <v>22.3</v>
      </c>
      <c r="M16">
        <v>24.93</v>
      </c>
      <c r="N16">
        <v>29.1</v>
      </c>
      <c r="O16">
        <v>33.450000000000003</v>
      </c>
      <c r="P16">
        <v>42.34</v>
      </c>
      <c r="Q16">
        <v>50.27</v>
      </c>
      <c r="R16">
        <v>43.72</v>
      </c>
      <c r="S16">
        <v>51.55</v>
      </c>
      <c r="T16">
        <v>57.9</v>
      </c>
      <c r="U16">
        <v>71.8</v>
      </c>
      <c r="V16">
        <v>78.900000000000006</v>
      </c>
      <c r="W16">
        <v>94.275260000000003</v>
      </c>
      <c r="X16">
        <v>116.386674</v>
      </c>
      <c r="Y16">
        <v>119.602272</v>
      </c>
      <c r="Z16">
        <v>126.23070199999999</v>
      </c>
      <c r="AA16">
        <v>178.89815999999999</v>
      </c>
      <c r="AB16">
        <v>173.91</v>
      </c>
      <c r="AC16">
        <v>163.88936200000001</v>
      </c>
      <c r="AD16">
        <v>170.29181</v>
      </c>
      <c r="AE16">
        <v>187.771491</v>
      </c>
      <c r="AF16">
        <v>208.06829999999999</v>
      </c>
      <c r="AG16">
        <v>222.44933700000001</v>
      </c>
      <c r="AH16">
        <v>243.55229499999999</v>
      </c>
      <c r="AI16">
        <v>262.49910699999998</v>
      </c>
      <c r="AJ16">
        <v>263.2</v>
      </c>
      <c r="AK16">
        <v>240.2</v>
      </c>
      <c r="AL16">
        <v>276.27999999999997</v>
      </c>
      <c r="AM16">
        <v>312.36</v>
      </c>
      <c r="AN16">
        <v>348.44</v>
      </c>
      <c r="AO16">
        <v>384.52</v>
      </c>
      <c r="AP16">
        <v>420.59999999999997</v>
      </c>
      <c r="AQ16">
        <v>456.67999999999995</v>
      </c>
      <c r="AR16">
        <v>492.76</v>
      </c>
      <c r="AS16">
        <v>528.83999999999992</v>
      </c>
      <c r="AT16">
        <v>564.91999999999996</v>
      </c>
      <c r="AU16" s="38">
        <v>601</v>
      </c>
      <c r="AV16">
        <v>633.20000000000005</v>
      </c>
      <c r="AW16">
        <v>665.4</v>
      </c>
      <c r="AX16">
        <v>697.6</v>
      </c>
      <c r="AY16">
        <v>729.8</v>
      </c>
      <c r="AZ16">
        <v>762</v>
      </c>
      <c r="BA16">
        <v>794.2</v>
      </c>
      <c r="BB16">
        <v>826.40000000000009</v>
      </c>
      <c r="BC16">
        <v>858.6</v>
      </c>
      <c r="BD16">
        <v>890.8</v>
      </c>
      <c r="BE16" s="38">
        <v>923</v>
      </c>
      <c r="BF16">
        <v>947.7</v>
      </c>
      <c r="BG16">
        <v>972.4</v>
      </c>
      <c r="BH16">
        <v>997.1</v>
      </c>
      <c r="BI16">
        <v>1021.8</v>
      </c>
      <c r="BJ16">
        <v>1046.5</v>
      </c>
      <c r="BK16">
        <v>1071.2</v>
      </c>
      <c r="BL16">
        <v>1095.9000000000001</v>
      </c>
      <c r="BM16">
        <v>1120.5999999999999</v>
      </c>
      <c r="BN16">
        <v>1145.3</v>
      </c>
      <c r="BO16" s="38">
        <v>1170</v>
      </c>
      <c r="BP16">
        <v>1211</v>
      </c>
      <c r="BQ16">
        <v>1252</v>
      </c>
      <c r="BR16">
        <v>1293</v>
      </c>
      <c r="BS16">
        <v>1334</v>
      </c>
      <c r="BT16">
        <v>1375</v>
      </c>
      <c r="BU16">
        <v>1416</v>
      </c>
      <c r="BV16">
        <v>1457</v>
      </c>
      <c r="BW16">
        <v>1498</v>
      </c>
      <c r="BX16">
        <v>1539</v>
      </c>
      <c r="BY16" s="38">
        <v>1580</v>
      </c>
    </row>
    <row r="17" spans="1:77">
      <c r="A17" t="s">
        <v>64</v>
      </c>
      <c r="C17" t="s">
        <v>11</v>
      </c>
      <c r="D17">
        <v>5345.19</v>
      </c>
      <c r="E17">
        <v>5717.5</v>
      </c>
      <c r="F17">
        <v>8125.66</v>
      </c>
      <c r="G17">
        <v>10622.38</v>
      </c>
      <c r="H17">
        <v>10972</v>
      </c>
      <c r="I17">
        <v>11575.55</v>
      </c>
      <c r="J17">
        <v>12090.9</v>
      </c>
      <c r="K17">
        <v>12632</v>
      </c>
      <c r="L17">
        <v>13049.48</v>
      </c>
      <c r="M17">
        <v>13106.2</v>
      </c>
      <c r="N17">
        <v>13269.9</v>
      </c>
      <c r="O17">
        <v>12560.1</v>
      </c>
      <c r="P17">
        <v>12910.3</v>
      </c>
      <c r="Q17">
        <v>13770.49</v>
      </c>
      <c r="R17">
        <v>14694.1</v>
      </c>
      <c r="S17">
        <v>15658.4</v>
      </c>
      <c r="T17">
        <v>17246.7</v>
      </c>
      <c r="U17">
        <v>19288.8</v>
      </c>
      <c r="V17">
        <v>20726</v>
      </c>
      <c r="W17">
        <v>21954.41</v>
      </c>
      <c r="X17">
        <v>23797</v>
      </c>
      <c r="Y17">
        <v>25106.281709408857</v>
      </c>
      <c r="Z17">
        <v>25239.169239999999</v>
      </c>
      <c r="AA17">
        <v>27644.133169999997</v>
      </c>
      <c r="AB17">
        <v>29465.785199999998</v>
      </c>
      <c r="AC17">
        <v>29187.085950000001</v>
      </c>
      <c r="AD17">
        <v>29173.890587900001</v>
      </c>
      <c r="AE17">
        <v>27530.190435086311</v>
      </c>
      <c r="AF17">
        <v>23754.307799999999</v>
      </c>
      <c r="AG17">
        <v>23792.26195</v>
      </c>
      <c r="AH17">
        <v>26962.20392</v>
      </c>
      <c r="AI17">
        <v>28820.985710000001</v>
      </c>
      <c r="AJ17">
        <v>30181.95</v>
      </c>
      <c r="AK17">
        <v>30514.46</v>
      </c>
      <c r="AL17">
        <v>33223.013999999996</v>
      </c>
      <c r="AM17">
        <v>35931.567999999999</v>
      </c>
      <c r="AN17">
        <v>38640.122000000003</v>
      </c>
      <c r="AO17">
        <v>41348.675999999999</v>
      </c>
      <c r="AP17">
        <v>44057.229999999996</v>
      </c>
      <c r="AQ17">
        <v>46765.784</v>
      </c>
      <c r="AR17">
        <v>49474.338000000003</v>
      </c>
      <c r="AS17">
        <v>52182.892</v>
      </c>
      <c r="AT17">
        <v>54891.445999999996</v>
      </c>
      <c r="AU17" s="38">
        <v>57600</v>
      </c>
      <c r="AV17">
        <v>60520</v>
      </c>
      <c r="AW17">
        <v>63440</v>
      </c>
      <c r="AX17">
        <v>66360</v>
      </c>
      <c r="AY17">
        <v>69280</v>
      </c>
      <c r="AZ17">
        <v>72200</v>
      </c>
      <c r="BA17">
        <v>75120</v>
      </c>
      <c r="BB17">
        <v>78040</v>
      </c>
      <c r="BC17">
        <v>80960</v>
      </c>
      <c r="BD17">
        <v>83880</v>
      </c>
      <c r="BE17" s="38">
        <v>86800</v>
      </c>
      <c r="BF17">
        <v>90020</v>
      </c>
      <c r="BG17">
        <v>93240</v>
      </c>
      <c r="BH17">
        <v>96460</v>
      </c>
      <c r="BI17">
        <v>99680</v>
      </c>
      <c r="BJ17">
        <v>102900</v>
      </c>
      <c r="BK17">
        <v>106120</v>
      </c>
      <c r="BL17">
        <v>109340</v>
      </c>
      <c r="BM17">
        <v>112560</v>
      </c>
      <c r="BN17">
        <v>115780</v>
      </c>
      <c r="BO17" s="38">
        <v>119000</v>
      </c>
      <c r="BP17">
        <v>121200</v>
      </c>
      <c r="BQ17">
        <v>123400</v>
      </c>
      <c r="BR17">
        <v>125600</v>
      </c>
      <c r="BS17">
        <v>127800</v>
      </c>
      <c r="BT17">
        <v>130000</v>
      </c>
      <c r="BU17">
        <v>132200</v>
      </c>
      <c r="BV17">
        <v>134400</v>
      </c>
      <c r="BW17">
        <v>136600</v>
      </c>
      <c r="BX17">
        <v>138800</v>
      </c>
      <c r="BY17" s="38">
        <v>141000</v>
      </c>
    </row>
    <row r="18" spans="1:77">
      <c r="C18" t="s">
        <v>12</v>
      </c>
      <c r="D18">
        <v>3801.8</v>
      </c>
      <c r="E18">
        <v>5076.5</v>
      </c>
      <c r="F18">
        <v>7729.3</v>
      </c>
      <c r="G18">
        <v>11591.9</v>
      </c>
      <c r="H18">
        <v>12955.4</v>
      </c>
      <c r="I18">
        <v>13256.2</v>
      </c>
      <c r="J18">
        <v>13860.8</v>
      </c>
      <c r="K18">
        <v>15686.6</v>
      </c>
      <c r="L18">
        <v>17552.2</v>
      </c>
      <c r="M18">
        <v>17862.5</v>
      </c>
      <c r="N18">
        <v>19235</v>
      </c>
      <c r="O18">
        <v>19405.8</v>
      </c>
      <c r="P18">
        <v>21262.799999999999</v>
      </c>
      <c r="Q18">
        <v>23734.2</v>
      </c>
      <c r="R18">
        <v>25988.9</v>
      </c>
      <c r="S18">
        <v>27510.6</v>
      </c>
      <c r="T18">
        <v>28715.8</v>
      </c>
      <c r="U18">
        <v>41428.699999999997</v>
      </c>
      <c r="V18">
        <v>49672.3</v>
      </c>
      <c r="W18">
        <v>55485.749499999998</v>
      </c>
      <c r="X18">
        <v>64284.845999999998</v>
      </c>
      <c r="Y18">
        <v>50262.704499999985</v>
      </c>
      <c r="Z18">
        <v>57556.672200000001</v>
      </c>
      <c r="AA18">
        <v>68427.526400000002</v>
      </c>
      <c r="AB18">
        <v>75423.835800000001</v>
      </c>
      <c r="AC18">
        <v>81707.578899999993</v>
      </c>
      <c r="AD18">
        <v>79435.650699999998</v>
      </c>
      <c r="AE18">
        <v>92774.555574499987</v>
      </c>
      <c r="AF18">
        <v>91772.450700000001</v>
      </c>
      <c r="AG18">
        <v>97338.802260359997</v>
      </c>
      <c r="AH18">
        <v>98611.245935739993</v>
      </c>
      <c r="AI18">
        <v>99052.815451589995</v>
      </c>
      <c r="AJ18">
        <v>103963.04</v>
      </c>
      <c r="AK18">
        <v>105834.44</v>
      </c>
      <c r="AL18">
        <v>109050.996</v>
      </c>
      <c r="AM18">
        <v>112267.552</v>
      </c>
      <c r="AN18">
        <v>115484.10800000001</v>
      </c>
      <c r="AO18">
        <v>118700.664</v>
      </c>
      <c r="AP18">
        <v>121917.22</v>
      </c>
      <c r="AQ18">
        <v>125133.776</v>
      </c>
      <c r="AR18">
        <v>128350.33199999999</v>
      </c>
      <c r="AS18">
        <v>131566.88800000001</v>
      </c>
      <c r="AT18">
        <v>134783.44399999999</v>
      </c>
      <c r="AU18" s="38">
        <v>138000</v>
      </c>
      <c r="AV18">
        <v>140800</v>
      </c>
      <c r="AW18">
        <v>143600</v>
      </c>
      <c r="AX18">
        <v>146400</v>
      </c>
      <c r="AY18">
        <v>149200</v>
      </c>
      <c r="AZ18">
        <v>152000</v>
      </c>
      <c r="BA18">
        <v>154800</v>
      </c>
      <c r="BB18">
        <v>157600</v>
      </c>
      <c r="BC18">
        <v>160400</v>
      </c>
      <c r="BD18">
        <v>163200</v>
      </c>
      <c r="BE18" s="38">
        <v>166000</v>
      </c>
      <c r="BF18">
        <v>167800</v>
      </c>
      <c r="BG18">
        <v>169600</v>
      </c>
      <c r="BH18">
        <v>171400</v>
      </c>
      <c r="BI18">
        <v>173200</v>
      </c>
      <c r="BJ18">
        <v>175000</v>
      </c>
      <c r="BK18">
        <v>176800</v>
      </c>
      <c r="BL18">
        <v>178600</v>
      </c>
      <c r="BM18">
        <v>180400</v>
      </c>
      <c r="BN18">
        <v>182200</v>
      </c>
      <c r="BO18" s="38">
        <v>184000</v>
      </c>
      <c r="BP18">
        <v>185900</v>
      </c>
      <c r="BQ18">
        <v>187800</v>
      </c>
      <c r="BR18">
        <v>189700</v>
      </c>
      <c r="BS18">
        <v>191600</v>
      </c>
      <c r="BT18">
        <v>193500</v>
      </c>
      <c r="BU18">
        <v>195400</v>
      </c>
      <c r="BV18">
        <v>197300</v>
      </c>
      <c r="BW18">
        <v>199200</v>
      </c>
      <c r="BX18">
        <v>201100</v>
      </c>
      <c r="BY18" s="38">
        <v>203000</v>
      </c>
    </row>
    <row r="20" spans="1:77">
      <c r="C20" t="s">
        <v>78</v>
      </c>
    </row>
    <row r="21" spans="1:77">
      <c r="C21" t="s">
        <v>66</v>
      </c>
      <c r="D21">
        <f>D14/$AK$14</f>
        <v>5.8216591313047543E-3</v>
      </c>
      <c r="E21">
        <f t="shared" ref="E21:BP21" si="19">E14/$AK$14</f>
        <v>5.6986780363242947E-3</v>
      </c>
      <c r="F21">
        <f t="shared" si="19"/>
        <v>3.1626084290245354E-2</v>
      </c>
      <c r="G21">
        <f t="shared" si="19"/>
        <v>5.5808488520795022E-2</v>
      </c>
      <c r="H21">
        <f t="shared" si="19"/>
        <v>5.697016129635369E-2</v>
      </c>
      <c r="I21">
        <f t="shared" si="19"/>
        <v>6.2411077605225698E-2</v>
      </c>
      <c r="J21">
        <f t="shared" si="19"/>
        <v>6.7647911772697703E-2</v>
      </c>
      <c r="K21">
        <f t="shared" si="19"/>
        <v>7.4558119785248414E-2</v>
      </c>
      <c r="L21">
        <f t="shared" si="19"/>
        <v>7.802485713834624E-2</v>
      </c>
      <c r="M21">
        <f t="shared" si="19"/>
        <v>8.3281467995416456E-2</v>
      </c>
      <c r="N21">
        <f t="shared" si="19"/>
        <v>8.7607411106688599E-2</v>
      </c>
      <c r="O21">
        <f t="shared" si="19"/>
        <v>9.1128658999183168E-2</v>
      </c>
      <c r="P21">
        <f t="shared" si="19"/>
        <v>9.5132524594141621E-2</v>
      </c>
      <c r="Q21">
        <f t="shared" si="19"/>
        <v>0.10186490859097734</v>
      </c>
      <c r="R21">
        <f t="shared" si="19"/>
        <v>0.10520534103571687</v>
      </c>
      <c r="S21">
        <f t="shared" si="19"/>
        <v>0.11271882117634742</v>
      </c>
      <c r="T21">
        <f t="shared" si="19"/>
        <v>0.11798665987500799</v>
      </c>
      <c r="U21">
        <f t="shared" si="19"/>
        <v>0.13030844157193106</v>
      </c>
      <c r="V21">
        <f t="shared" si="19"/>
        <v>0.14447287228164002</v>
      </c>
      <c r="W21">
        <f t="shared" si="19"/>
        <v>0.16210649331871965</v>
      </c>
      <c r="X21">
        <f t="shared" si="19"/>
        <v>0.18870430608332636</v>
      </c>
      <c r="Y21">
        <f t="shared" si="19"/>
        <v>0.54623858332426212</v>
      </c>
      <c r="Z21">
        <f t="shared" si="19"/>
        <v>0.61804349542186254</v>
      </c>
      <c r="AA21">
        <f t="shared" si="19"/>
        <v>0.72109586293258388</v>
      </c>
      <c r="AB21">
        <f t="shared" si="19"/>
        <v>0.85380025044933794</v>
      </c>
      <c r="AC21">
        <f t="shared" si="19"/>
        <v>0.98941389869183005</v>
      </c>
      <c r="AD21">
        <f t="shared" si="19"/>
        <v>0.92631483825077676</v>
      </c>
      <c r="AE21">
        <f t="shared" si="19"/>
        <v>0.9447424335465836</v>
      </c>
      <c r="AF21">
        <f t="shared" si="19"/>
        <v>0.96317006208052425</v>
      </c>
      <c r="AG21">
        <f t="shared" si="19"/>
        <v>1.0150942139721482</v>
      </c>
      <c r="AH21">
        <f t="shared" si="19"/>
        <v>1.1096802896543818</v>
      </c>
      <c r="AI21">
        <f t="shared" si="19"/>
        <v>1.184095418915988</v>
      </c>
      <c r="AJ21">
        <f t="shared" si="19"/>
        <v>0.99110115444348146</v>
      </c>
      <c r="AK21">
        <f t="shared" si="19"/>
        <v>1</v>
      </c>
      <c r="AL21">
        <f t="shared" si="19"/>
        <v>1.028797768391698</v>
      </c>
      <c r="AM21">
        <f t="shared" si="19"/>
        <v>1.057595536783396</v>
      </c>
      <c r="AN21">
        <f t="shared" si="19"/>
        <v>1.0863933051750942</v>
      </c>
      <c r="AO21">
        <f t="shared" si="19"/>
        <v>1.1151910735667925</v>
      </c>
      <c r="AP21">
        <f t="shared" si="19"/>
        <v>1.1439888419584905</v>
      </c>
      <c r="AQ21">
        <f t="shared" si="19"/>
        <v>1.1727866103501885</v>
      </c>
      <c r="AR21">
        <f t="shared" si="19"/>
        <v>1.2015843787418867</v>
      </c>
      <c r="AS21">
        <f t="shared" si="19"/>
        <v>1.2303821471335847</v>
      </c>
      <c r="AT21">
        <f t="shared" si="19"/>
        <v>1.2591799155252827</v>
      </c>
      <c r="AU21" s="38">
        <f t="shared" si="19"/>
        <v>1.2879776839169812</v>
      </c>
      <c r="AV21">
        <f t="shared" si="19"/>
        <v>1.3059262761573727</v>
      </c>
      <c r="AW21">
        <f t="shared" si="19"/>
        <v>1.3238748683977639</v>
      </c>
      <c r="AX21">
        <f t="shared" si="19"/>
        <v>1.3418234606381554</v>
      </c>
      <c r="AY21">
        <f t="shared" si="19"/>
        <v>1.3597720528785471</v>
      </c>
      <c r="AZ21">
        <f t="shared" si="19"/>
        <v>1.3777206451189385</v>
      </c>
      <c r="BA21">
        <f t="shared" si="19"/>
        <v>1.3956692373593298</v>
      </c>
      <c r="BB21">
        <f t="shared" si="19"/>
        <v>1.4136178295997215</v>
      </c>
      <c r="BC21">
        <f t="shared" si="19"/>
        <v>1.431566421840113</v>
      </c>
      <c r="BD21">
        <f t="shared" si="19"/>
        <v>1.4495150140805042</v>
      </c>
      <c r="BE21" s="38">
        <f t="shared" si="19"/>
        <v>1.4674636063208959</v>
      </c>
      <c r="BF21">
        <f t="shared" si="19"/>
        <v>1.4800940971567269</v>
      </c>
      <c r="BG21">
        <f t="shared" si="19"/>
        <v>1.4927245879925579</v>
      </c>
      <c r="BH21">
        <f t="shared" si="19"/>
        <v>1.5053550788283889</v>
      </c>
      <c r="BI21">
        <f t="shared" si="19"/>
        <v>1.5179855696642199</v>
      </c>
      <c r="BJ21">
        <f t="shared" si="19"/>
        <v>1.5306160605000509</v>
      </c>
      <c r="BK21">
        <f t="shared" si="19"/>
        <v>1.543246551335882</v>
      </c>
      <c r="BL21">
        <f t="shared" si="19"/>
        <v>1.555877042171713</v>
      </c>
      <c r="BM21">
        <f t="shared" si="19"/>
        <v>1.568507533007544</v>
      </c>
      <c r="BN21">
        <f t="shared" si="19"/>
        <v>1.5811380238433754</v>
      </c>
      <c r="BO21" s="38">
        <f t="shared" si="19"/>
        <v>1.5937685146792064</v>
      </c>
      <c r="BP21">
        <f t="shared" si="19"/>
        <v>1.5972585187259489</v>
      </c>
      <c r="BQ21">
        <f t="shared" ref="BQ21:BY21" si="20">BQ14/$AK$14</f>
        <v>1.6007485227726919</v>
      </c>
      <c r="BR21">
        <f t="shared" si="20"/>
        <v>1.6042385268194346</v>
      </c>
      <c r="BS21">
        <f t="shared" si="20"/>
        <v>1.6077285308661775</v>
      </c>
      <c r="BT21">
        <f t="shared" si="20"/>
        <v>1.6112185349129202</v>
      </c>
      <c r="BU21">
        <f t="shared" si="20"/>
        <v>1.6147085389596629</v>
      </c>
      <c r="BV21">
        <f t="shared" si="20"/>
        <v>1.6181985430064059</v>
      </c>
      <c r="BW21">
        <f t="shared" si="20"/>
        <v>1.6216885470531488</v>
      </c>
      <c r="BX21">
        <f t="shared" si="20"/>
        <v>1.6251785510998913</v>
      </c>
      <c r="BY21" s="38">
        <f t="shared" si="20"/>
        <v>1.6286685551466342</v>
      </c>
    </row>
    <row r="22" spans="1:77">
      <c r="C22" t="s">
        <v>52</v>
      </c>
      <c r="D22">
        <f>D15/$AK$15</f>
        <v>5.8216591313047551E-3</v>
      </c>
      <c r="E22">
        <f t="shared" ref="E22:BP22" si="21">E15/$AK$15</f>
        <v>5.6986780363242947E-3</v>
      </c>
      <c r="F22">
        <f t="shared" si="21"/>
        <v>3.1626084290245354E-2</v>
      </c>
      <c r="G22">
        <f t="shared" si="21"/>
        <v>5.5808488520795015E-2</v>
      </c>
      <c r="H22">
        <f t="shared" si="21"/>
        <v>5.697016129635369E-2</v>
      </c>
      <c r="I22">
        <f t="shared" si="21"/>
        <v>6.2411077605225691E-2</v>
      </c>
      <c r="J22">
        <f t="shared" si="21"/>
        <v>6.7647911772697703E-2</v>
      </c>
      <c r="K22">
        <f t="shared" si="21"/>
        <v>7.4558119785248428E-2</v>
      </c>
      <c r="L22">
        <f t="shared" si="21"/>
        <v>7.802485713834624E-2</v>
      </c>
      <c r="M22">
        <f t="shared" si="21"/>
        <v>8.3281467995416456E-2</v>
      </c>
      <c r="N22">
        <f t="shared" si="21"/>
        <v>8.7607411106688599E-2</v>
      </c>
      <c r="O22">
        <f t="shared" si="21"/>
        <v>9.1128658999183168E-2</v>
      </c>
      <c r="P22">
        <f t="shared" si="21"/>
        <v>9.5132524594141621E-2</v>
      </c>
      <c r="Q22">
        <f t="shared" si="21"/>
        <v>0.10186490859097734</v>
      </c>
      <c r="R22">
        <f t="shared" si="21"/>
        <v>0.10520534103571687</v>
      </c>
      <c r="S22">
        <f t="shared" si="21"/>
        <v>0.11271882117634741</v>
      </c>
      <c r="T22">
        <f t="shared" si="21"/>
        <v>0.11798665987500799</v>
      </c>
      <c r="U22">
        <f t="shared" si="21"/>
        <v>0.13030844157193106</v>
      </c>
      <c r="V22">
        <f t="shared" si="21"/>
        <v>0.14447287228164002</v>
      </c>
      <c r="W22">
        <f t="shared" si="21"/>
        <v>0.16210649331871962</v>
      </c>
      <c r="X22">
        <f t="shared" si="21"/>
        <v>0.18870430608332636</v>
      </c>
      <c r="Y22">
        <f t="shared" si="21"/>
        <v>0.54623858332426212</v>
      </c>
      <c r="Z22">
        <f t="shared" si="21"/>
        <v>0.61804349542186254</v>
      </c>
      <c r="AA22">
        <f t="shared" si="21"/>
        <v>0.72109586293258399</v>
      </c>
      <c r="AB22">
        <f t="shared" si="21"/>
        <v>0.85380025044933794</v>
      </c>
      <c r="AC22">
        <f t="shared" si="21"/>
        <v>0.98941389869183005</v>
      </c>
      <c r="AD22">
        <f t="shared" si="21"/>
        <v>0.92631483825077665</v>
      </c>
      <c r="AE22">
        <f t="shared" si="21"/>
        <v>0.94474243354658372</v>
      </c>
      <c r="AF22">
        <f t="shared" si="21"/>
        <v>0.96317006208052436</v>
      </c>
      <c r="AG22">
        <f t="shared" si="21"/>
        <v>1.0150942139721479</v>
      </c>
      <c r="AH22">
        <f t="shared" si="21"/>
        <v>1.1096802896543818</v>
      </c>
      <c r="AI22">
        <f t="shared" si="21"/>
        <v>1.184095418915988</v>
      </c>
      <c r="AJ22">
        <f t="shared" si="21"/>
        <v>0.99110115444348157</v>
      </c>
      <c r="AK22">
        <f t="shared" si="21"/>
        <v>1</v>
      </c>
      <c r="AL22">
        <f t="shared" si="21"/>
        <v>1.028797768391698</v>
      </c>
      <c r="AM22">
        <f t="shared" si="21"/>
        <v>1.0575955367833962</v>
      </c>
      <c r="AN22">
        <f t="shared" si="21"/>
        <v>1.0863933051750942</v>
      </c>
      <c r="AO22">
        <f t="shared" si="21"/>
        <v>1.1151910735667925</v>
      </c>
      <c r="AP22">
        <f t="shared" si="21"/>
        <v>1.1439888419584905</v>
      </c>
      <c r="AQ22">
        <f t="shared" si="21"/>
        <v>1.1727866103501885</v>
      </c>
      <c r="AR22">
        <f t="shared" si="21"/>
        <v>1.2015843787418865</v>
      </c>
      <c r="AS22">
        <f t="shared" si="21"/>
        <v>1.2303821471335847</v>
      </c>
      <c r="AT22">
        <f t="shared" si="21"/>
        <v>1.259179915525283</v>
      </c>
      <c r="AU22" s="38">
        <f t="shared" si="21"/>
        <v>1.2879776839169812</v>
      </c>
      <c r="AV22">
        <f t="shared" si="21"/>
        <v>1.3059262761573727</v>
      </c>
      <c r="AW22">
        <f t="shared" si="21"/>
        <v>1.3238748683977639</v>
      </c>
      <c r="AX22">
        <f t="shared" si="21"/>
        <v>1.3418234606381556</v>
      </c>
      <c r="AY22">
        <f t="shared" si="21"/>
        <v>1.3597720528785471</v>
      </c>
      <c r="AZ22">
        <f t="shared" si="21"/>
        <v>1.3777206451189385</v>
      </c>
      <c r="BA22">
        <f t="shared" si="21"/>
        <v>1.3956692373593298</v>
      </c>
      <c r="BB22">
        <f t="shared" si="21"/>
        <v>1.4136178295997213</v>
      </c>
      <c r="BC22">
        <f t="shared" si="21"/>
        <v>1.431566421840113</v>
      </c>
      <c r="BD22">
        <f t="shared" si="21"/>
        <v>1.4495150140805044</v>
      </c>
      <c r="BE22" s="38">
        <f t="shared" si="21"/>
        <v>1.4674636063208959</v>
      </c>
      <c r="BF22">
        <f t="shared" si="21"/>
        <v>1.4800940971567269</v>
      </c>
      <c r="BG22">
        <f t="shared" si="21"/>
        <v>1.4927245879925581</v>
      </c>
      <c r="BH22">
        <f t="shared" si="21"/>
        <v>1.5053550788283889</v>
      </c>
      <c r="BI22">
        <f t="shared" si="21"/>
        <v>1.5179855696642202</v>
      </c>
      <c r="BJ22">
        <f t="shared" si="21"/>
        <v>1.5306160605000512</v>
      </c>
      <c r="BK22">
        <f t="shared" si="21"/>
        <v>1.543246551335882</v>
      </c>
      <c r="BL22">
        <f t="shared" si="21"/>
        <v>1.5558770421717132</v>
      </c>
      <c r="BM22">
        <f t="shared" si="21"/>
        <v>1.5685075330075442</v>
      </c>
      <c r="BN22">
        <f t="shared" si="21"/>
        <v>1.5811380238433754</v>
      </c>
      <c r="BO22" s="38">
        <f t="shared" si="21"/>
        <v>1.5937685146792062</v>
      </c>
      <c r="BP22">
        <f t="shared" si="21"/>
        <v>1.5972585187259492</v>
      </c>
      <c r="BQ22">
        <f t="shared" ref="BQ22:BY22" si="22">BQ15/$AK$15</f>
        <v>1.6007485227726919</v>
      </c>
      <c r="BR22">
        <f t="shared" si="22"/>
        <v>1.6042385268194348</v>
      </c>
      <c r="BS22">
        <f t="shared" si="22"/>
        <v>1.6077285308661775</v>
      </c>
      <c r="BT22">
        <f t="shared" si="22"/>
        <v>1.6112185349129202</v>
      </c>
      <c r="BU22">
        <f t="shared" si="22"/>
        <v>1.6147085389596629</v>
      </c>
      <c r="BV22">
        <f t="shared" si="22"/>
        <v>1.6181985430064059</v>
      </c>
      <c r="BW22">
        <f t="shared" si="22"/>
        <v>1.6216885470531486</v>
      </c>
      <c r="BX22">
        <f t="shared" si="22"/>
        <v>1.6251785510998915</v>
      </c>
      <c r="BY22" s="38">
        <f t="shared" si="22"/>
        <v>1.6286685551466342</v>
      </c>
    </row>
    <row r="23" spans="1:77">
      <c r="C23" t="s">
        <v>77</v>
      </c>
      <c r="D23">
        <f>D16/$AK$16</f>
        <v>4.0383014154870946E-3</v>
      </c>
      <c r="E23">
        <f t="shared" ref="E23:BP23" si="23">E16/$AK$16</f>
        <v>5.8701082431307245E-3</v>
      </c>
      <c r="F23">
        <f t="shared" si="23"/>
        <v>1.7277268942547878E-2</v>
      </c>
      <c r="G23">
        <f t="shared" si="23"/>
        <v>3.4054954204829312E-2</v>
      </c>
      <c r="H23">
        <f t="shared" si="23"/>
        <v>4.2048293089092421E-2</v>
      </c>
      <c r="I23">
        <f t="shared" si="23"/>
        <v>5.5870108243130726E-2</v>
      </c>
      <c r="J23">
        <f t="shared" si="23"/>
        <v>6.9150707743547049E-2</v>
      </c>
      <c r="K23">
        <f t="shared" si="23"/>
        <v>7.7352206494587836E-2</v>
      </c>
      <c r="L23">
        <f t="shared" si="23"/>
        <v>9.2839300582847631E-2</v>
      </c>
      <c r="M23">
        <f t="shared" si="23"/>
        <v>0.10378850957535388</v>
      </c>
      <c r="N23">
        <f t="shared" si="23"/>
        <v>0.12114904246461283</v>
      </c>
      <c r="O23">
        <f t="shared" si="23"/>
        <v>0.13925895087427145</v>
      </c>
      <c r="P23">
        <f t="shared" si="23"/>
        <v>0.17626977518734391</v>
      </c>
      <c r="Q23">
        <f t="shared" si="23"/>
        <v>0.20928393005828477</v>
      </c>
      <c r="R23">
        <f t="shared" si="23"/>
        <v>0.18201498751040801</v>
      </c>
      <c r="S23">
        <f t="shared" si="23"/>
        <v>0.21461282264779349</v>
      </c>
      <c r="T23">
        <f t="shared" si="23"/>
        <v>0.24104912572855955</v>
      </c>
      <c r="U23">
        <f t="shared" si="23"/>
        <v>0.29891756869275604</v>
      </c>
      <c r="V23">
        <f t="shared" si="23"/>
        <v>0.3284762697751874</v>
      </c>
      <c r="W23">
        <f t="shared" si="23"/>
        <v>0.39248651124063283</v>
      </c>
      <c r="X23">
        <f t="shared" si="23"/>
        <v>0.4845406910907577</v>
      </c>
      <c r="Y23">
        <f t="shared" si="23"/>
        <v>0.49792786011656953</v>
      </c>
      <c r="Z23">
        <f t="shared" si="23"/>
        <v>0.5255233222314738</v>
      </c>
      <c r="AA23">
        <f t="shared" si="23"/>
        <v>0.74478834304746044</v>
      </c>
      <c r="AB23">
        <f t="shared" si="23"/>
        <v>0.72402164862614493</v>
      </c>
      <c r="AC23">
        <f t="shared" si="23"/>
        <v>0.68230375520399678</v>
      </c>
      <c r="AD23">
        <f t="shared" si="23"/>
        <v>0.70895840965861789</v>
      </c>
      <c r="AE23">
        <f t="shared" si="23"/>
        <v>0.78172977102414654</v>
      </c>
      <c r="AF23">
        <f t="shared" si="23"/>
        <v>0.86622939217318906</v>
      </c>
      <c r="AG23">
        <f t="shared" si="23"/>
        <v>0.92610048709408832</v>
      </c>
      <c r="AH23">
        <f t="shared" si="23"/>
        <v>1.01395626561199</v>
      </c>
      <c r="AI23">
        <f t="shared" si="23"/>
        <v>1.0928355828476271</v>
      </c>
      <c r="AJ23">
        <f t="shared" si="23"/>
        <v>1.0957535387177353</v>
      </c>
      <c r="AK23">
        <f t="shared" si="23"/>
        <v>1</v>
      </c>
      <c r="AL23">
        <f t="shared" si="23"/>
        <v>1.1502081598667777</v>
      </c>
      <c r="AM23">
        <f t="shared" si="23"/>
        <v>1.3004163197335554</v>
      </c>
      <c r="AN23">
        <f t="shared" si="23"/>
        <v>1.4506244796003331</v>
      </c>
      <c r="AO23">
        <f t="shared" si="23"/>
        <v>1.6008326394671109</v>
      </c>
      <c r="AP23">
        <f t="shared" si="23"/>
        <v>1.7510407993338883</v>
      </c>
      <c r="AQ23">
        <f t="shared" si="23"/>
        <v>1.9012489592006661</v>
      </c>
      <c r="AR23">
        <f t="shared" si="23"/>
        <v>2.051457119067444</v>
      </c>
      <c r="AS23">
        <f t="shared" si="23"/>
        <v>2.2016652789342213</v>
      </c>
      <c r="AT23">
        <f t="shared" si="23"/>
        <v>2.351873438800999</v>
      </c>
      <c r="AU23" s="38">
        <f t="shared" si="23"/>
        <v>2.5020815986677771</v>
      </c>
      <c r="AV23">
        <f t="shared" si="23"/>
        <v>2.6361365528726064</v>
      </c>
      <c r="AW23">
        <f t="shared" si="23"/>
        <v>2.7701915070774357</v>
      </c>
      <c r="AX23">
        <f t="shared" si="23"/>
        <v>2.9042464612822649</v>
      </c>
      <c r="AY23">
        <f t="shared" si="23"/>
        <v>3.0383014154870942</v>
      </c>
      <c r="AZ23">
        <f t="shared" si="23"/>
        <v>3.1723563696919235</v>
      </c>
      <c r="BA23">
        <f t="shared" si="23"/>
        <v>3.3064113238967532</v>
      </c>
      <c r="BB23">
        <f t="shared" si="23"/>
        <v>3.4404662781015825</v>
      </c>
      <c r="BC23">
        <f t="shared" si="23"/>
        <v>3.5745212323064117</v>
      </c>
      <c r="BD23">
        <f t="shared" si="23"/>
        <v>3.7085761865112405</v>
      </c>
      <c r="BE23" s="38">
        <f t="shared" si="23"/>
        <v>3.8426311407160703</v>
      </c>
      <c r="BF23">
        <f t="shared" si="23"/>
        <v>3.945462114904247</v>
      </c>
      <c r="BG23">
        <f t="shared" si="23"/>
        <v>4.0482930890924234</v>
      </c>
      <c r="BH23">
        <f t="shared" si="23"/>
        <v>4.1511240632805997</v>
      </c>
      <c r="BI23">
        <f t="shared" si="23"/>
        <v>4.253955037468776</v>
      </c>
      <c r="BJ23">
        <f t="shared" si="23"/>
        <v>4.3567860116569523</v>
      </c>
      <c r="BK23">
        <f t="shared" si="23"/>
        <v>4.4596169858451296</v>
      </c>
      <c r="BL23">
        <f t="shared" si="23"/>
        <v>4.5624479600333059</v>
      </c>
      <c r="BM23">
        <f t="shared" si="23"/>
        <v>4.6652789342214822</v>
      </c>
      <c r="BN23">
        <f t="shared" si="23"/>
        <v>4.7681099084096585</v>
      </c>
      <c r="BO23" s="38">
        <f t="shared" si="23"/>
        <v>4.8709408825978358</v>
      </c>
      <c r="BP23">
        <f t="shared" si="23"/>
        <v>5.0416319733555373</v>
      </c>
      <c r="BQ23">
        <f t="shared" ref="BQ23:BY23" si="24">BQ16/$AK$16</f>
        <v>5.2123230641132396</v>
      </c>
      <c r="BR23">
        <f t="shared" si="24"/>
        <v>5.3830141548709411</v>
      </c>
      <c r="BS23">
        <f t="shared" si="24"/>
        <v>5.5537052456286427</v>
      </c>
      <c r="BT23">
        <f t="shared" si="24"/>
        <v>5.724396336386345</v>
      </c>
      <c r="BU23">
        <f t="shared" si="24"/>
        <v>5.8950874271440465</v>
      </c>
      <c r="BV23">
        <f t="shared" si="24"/>
        <v>6.0657785179017489</v>
      </c>
      <c r="BW23">
        <f t="shared" si="24"/>
        <v>6.2364696086594504</v>
      </c>
      <c r="BX23">
        <f t="shared" si="24"/>
        <v>6.4071606994171528</v>
      </c>
      <c r="BY23" s="38">
        <f t="shared" si="24"/>
        <v>6.5778517901748543</v>
      </c>
    </row>
    <row r="24" spans="1:77">
      <c r="C24" t="s">
        <v>11</v>
      </c>
      <c r="D24">
        <f>D17/$AK$17</f>
        <v>0.17516908377208706</v>
      </c>
      <c r="E24">
        <f t="shared" ref="E24:BP24" si="25">E17/$AK$17</f>
        <v>0.18737018449613724</v>
      </c>
      <c r="F24">
        <f t="shared" si="25"/>
        <v>0.26628883486714167</v>
      </c>
      <c r="G24">
        <f t="shared" si="25"/>
        <v>0.34810971585274653</v>
      </c>
      <c r="H24">
        <f t="shared" si="25"/>
        <v>0.35956723468152479</v>
      </c>
      <c r="I24">
        <f t="shared" si="25"/>
        <v>0.37934638201036491</v>
      </c>
      <c r="J24">
        <f t="shared" si="25"/>
        <v>0.39623509641002985</v>
      </c>
      <c r="K24">
        <f t="shared" si="25"/>
        <v>0.41396767303108101</v>
      </c>
      <c r="L24">
        <f t="shared" si="25"/>
        <v>0.42764905556251037</v>
      </c>
      <c r="M24">
        <f t="shared" si="25"/>
        <v>0.42950784644394824</v>
      </c>
      <c r="N24">
        <f t="shared" si="25"/>
        <v>0.43487251617757616</v>
      </c>
      <c r="O24">
        <f t="shared" si="25"/>
        <v>0.41161141308088034</v>
      </c>
      <c r="P24">
        <f t="shared" si="25"/>
        <v>0.4230879392917325</v>
      </c>
      <c r="Q24">
        <f t="shared" si="25"/>
        <v>0.45127752547480771</v>
      </c>
      <c r="R24">
        <f t="shared" si="25"/>
        <v>0.48154547057362318</v>
      </c>
      <c r="S24">
        <f t="shared" si="25"/>
        <v>0.51314688183897073</v>
      </c>
      <c r="T24">
        <f t="shared" si="25"/>
        <v>0.5651976145080071</v>
      </c>
      <c r="U24">
        <f t="shared" si="25"/>
        <v>0.63211998508248224</v>
      </c>
      <c r="V24">
        <f t="shared" si="25"/>
        <v>0.67921896700777273</v>
      </c>
      <c r="W24">
        <f t="shared" si="25"/>
        <v>0.71947561909992841</v>
      </c>
      <c r="X24">
        <f t="shared" si="25"/>
        <v>0.77985977795445183</v>
      </c>
      <c r="Y24">
        <f t="shared" si="25"/>
        <v>0.8227667050116193</v>
      </c>
      <c r="Z24">
        <f t="shared" si="25"/>
        <v>0.8271216085750821</v>
      </c>
      <c r="AA24">
        <f t="shared" si="25"/>
        <v>0.90593551942259498</v>
      </c>
      <c r="AB24">
        <f t="shared" si="25"/>
        <v>0.96563351276738962</v>
      </c>
      <c r="AC24">
        <f t="shared" si="25"/>
        <v>0.9565001625458881</v>
      </c>
      <c r="AD24">
        <f t="shared" si="25"/>
        <v>0.95606773273720069</v>
      </c>
      <c r="AE24">
        <f t="shared" si="25"/>
        <v>0.90220146235870835</v>
      </c>
      <c r="AF24">
        <f t="shared" si="25"/>
        <v>0.77846069699414633</v>
      </c>
      <c r="AG24">
        <f t="shared" si="25"/>
        <v>0.77970450566714933</v>
      </c>
      <c r="AH24">
        <f t="shared" si="25"/>
        <v>0.88358777838441183</v>
      </c>
      <c r="AI24">
        <f t="shared" si="25"/>
        <v>0.94450256403029909</v>
      </c>
      <c r="AJ24">
        <f t="shared" si="25"/>
        <v>0.98910319894240306</v>
      </c>
      <c r="AK24">
        <f t="shared" si="25"/>
        <v>1</v>
      </c>
      <c r="AL24">
        <f t="shared" si="25"/>
        <v>1.0887629668032794</v>
      </c>
      <c r="AM24">
        <f t="shared" si="25"/>
        <v>1.1775259336065591</v>
      </c>
      <c r="AN24">
        <f t="shared" si="25"/>
        <v>1.2662889004098385</v>
      </c>
      <c r="AO24">
        <f t="shared" si="25"/>
        <v>1.355051867213118</v>
      </c>
      <c r="AP24">
        <f t="shared" si="25"/>
        <v>1.4438148340163974</v>
      </c>
      <c r="AQ24">
        <f t="shared" si="25"/>
        <v>1.5325778008196771</v>
      </c>
      <c r="AR24">
        <f t="shared" si="25"/>
        <v>1.6213407676229565</v>
      </c>
      <c r="AS24">
        <f t="shared" si="25"/>
        <v>1.710103734426236</v>
      </c>
      <c r="AT24">
        <f t="shared" si="25"/>
        <v>1.7988667012295154</v>
      </c>
      <c r="AU24" s="38">
        <f t="shared" si="25"/>
        <v>1.8876296680327951</v>
      </c>
      <c r="AV24">
        <f t="shared" si="25"/>
        <v>1.9833220053705687</v>
      </c>
      <c r="AW24">
        <f t="shared" si="25"/>
        <v>2.0790143427083421</v>
      </c>
      <c r="AX24">
        <f t="shared" si="25"/>
        <v>2.1747066800461159</v>
      </c>
      <c r="AY24">
        <f t="shared" si="25"/>
        <v>2.2703990173838897</v>
      </c>
      <c r="AZ24">
        <f t="shared" si="25"/>
        <v>2.3660913547216631</v>
      </c>
      <c r="BA24">
        <f t="shared" si="25"/>
        <v>2.4617836920594369</v>
      </c>
      <c r="BB24">
        <f t="shared" si="25"/>
        <v>2.5574760293972103</v>
      </c>
      <c r="BC24">
        <f t="shared" si="25"/>
        <v>2.6531683667349841</v>
      </c>
      <c r="BD24">
        <f t="shared" si="25"/>
        <v>2.7488607040727575</v>
      </c>
      <c r="BE24" s="38">
        <f t="shared" si="25"/>
        <v>2.8445530414105313</v>
      </c>
      <c r="BF24">
        <f t="shared" si="25"/>
        <v>2.9500767832693091</v>
      </c>
      <c r="BG24">
        <f t="shared" si="25"/>
        <v>3.0556005251280869</v>
      </c>
      <c r="BH24">
        <f t="shared" si="25"/>
        <v>3.1611242669868647</v>
      </c>
      <c r="BI24">
        <f t="shared" si="25"/>
        <v>3.2666480088456424</v>
      </c>
      <c r="BJ24">
        <f t="shared" si="25"/>
        <v>3.3721717507044202</v>
      </c>
      <c r="BK24">
        <f t="shared" si="25"/>
        <v>3.477695492563198</v>
      </c>
      <c r="BL24">
        <f t="shared" si="25"/>
        <v>3.5832192344219758</v>
      </c>
      <c r="BM24">
        <f t="shared" si="25"/>
        <v>3.6887429762807535</v>
      </c>
      <c r="BN24">
        <f t="shared" si="25"/>
        <v>3.7942667181395313</v>
      </c>
      <c r="BO24" s="38">
        <f t="shared" si="25"/>
        <v>3.8997904599983091</v>
      </c>
      <c r="BP24">
        <f t="shared" si="25"/>
        <v>3.9718874264856727</v>
      </c>
      <c r="BQ24">
        <f t="shared" ref="BQ24:BY24" si="26">BQ17/$AK$17</f>
        <v>4.0439843929730364</v>
      </c>
      <c r="BR24">
        <f t="shared" si="26"/>
        <v>4.1160813594604004</v>
      </c>
      <c r="BS24">
        <f t="shared" si="26"/>
        <v>4.1881783259477636</v>
      </c>
      <c r="BT24">
        <f t="shared" si="26"/>
        <v>4.2602752924351277</v>
      </c>
      <c r="BU24">
        <f t="shared" si="26"/>
        <v>4.3323722589224909</v>
      </c>
      <c r="BV24">
        <f t="shared" si="26"/>
        <v>4.404469225409855</v>
      </c>
      <c r="BW24">
        <f t="shared" si="26"/>
        <v>4.476566191897219</v>
      </c>
      <c r="BX24">
        <f t="shared" si="26"/>
        <v>4.5486631583845822</v>
      </c>
      <c r="BY24" s="38">
        <f t="shared" si="26"/>
        <v>4.6207601248719463</v>
      </c>
    </row>
    <row r="25" spans="1:77">
      <c r="C25" t="s">
        <v>12</v>
      </c>
      <c r="D25">
        <f>D18/$AK$18</f>
        <v>3.5922144058210162E-2</v>
      </c>
      <c r="E25">
        <f t="shared" ref="E25:BP25" si="27">E18/$AK$18</f>
        <v>4.796642756365508E-2</v>
      </c>
      <c r="F25">
        <f t="shared" si="27"/>
        <v>7.303199223239619E-2</v>
      </c>
      <c r="G25">
        <f t="shared" si="27"/>
        <v>0.10952861847239896</v>
      </c>
      <c r="H25">
        <f t="shared" si="27"/>
        <v>0.12241194832230415</v>
      </c>
      <c r="I25">
        <f t="shared" si="27"/>
        <v>0.12525412332696237</v>
      </c>
      <c r="J25">
        <f t="shared" si="27"/>
        <v>0.13096681949656463</v>
      </c>
      <c r="K25">
        <f t="shared" si="27"/>
        <v>0.14821829264651468</v>
      </c>
      <c r="L25">
        <f t="shared" si="27"/>
        <v>0.16584582485625662</v>
      </c>
      <c r="M25">
        <f t="shared" si="27"/>
        <v>0.16877776270181993</v>
      </c>
      <c r="N25">
        <f t="shared" si="27"/>
        <v>0.18174613103258258</v>
      </c>
      <c r="O25">
        <f t="shared" si="27"/>
        <v>0.18335997242485527</v>
      </c>
      <c r="P25">
        <f t="shared" si="27"/>
        <v>0.20090624564177784</v>
      </c>
      <c r="Q25">
        <f t="shared" si="27"/>
        <v>0.22425781248523638</v>
      </c>
      <c r="R25">
        <f t="shared" si="27"/>
        <v>0.24556184168404918</v>
      </c>
      <c r="S25">
        <f t="shared" si="27"/>
        <v>0.25993995905302658</v>
      </c>
      <c r="T25">
        <f t="shared" si="27"/>
        <v>0.27132755651185003</v>
      </c>
      <c r="U25">
        <f t="shared" si="27"/>
        <v>0.39144819021105037</v>
      </c>
      <c r="V25">
        <f t="shared" si="27"/>
        <v>0.46933965918844567</v>
      </c>
      <c r="W25">
        <f t="shared" si="27"/>
        <v>0.52426931630195239</v>
      </c>
      <c r="X25">
        <f t="shared" si="27"/>
        <v>0.60740951622175154</v>
      </c>
      <c r="Y25">
        <f t="shared" si="27"/>
        <v>0.47491822605193529</v>
      </c>
      <c r="Z25">
        <f t="shared" si="27"/>
        <v>0.54383688523320006</v>
      </c>
      <c r="AA25">
        <f t="shared" si="27"/>
        <v>0.64655254376552662</v>
      </c>
      <c r="AB25">
        <f t="shared" si="27"/>
        <v>0.71265871298605632</v>
      </c>
      <c r="AC25">
        <f t="shared" si="27"/>
        <v>0.7720320426885614</v>
      </c>
      <c r="AD25">
        <f t="shared" si="27"/>
        <v>0.75056522905020329</v>
      </c>
      <c r="AE25">
        <f t="shared" si="27"/>
        <v>0.87660080758683079</v>
      </c>
      <c r="AF25">
        <f t="shared" si="27"/>
        <v>0.86713219912157136</v>
      </c>
      <c r="AG25">
        <f t="shared" si="27"/>
        <v>0.91972709696730093</v>
      </c>
      <c r="AH25">
        <f t="shared" si="27"/>
        <v>0.93175006109296743</v>
      </c>
      <c r="AI25">
        <f t="shared" si="27"/>
        <v>0.9359223278508394</v>
      </c>
      <c r="AJ25">
        <f t="shared" si="27"/>
        <v>0.98231766521370545</v>
      </c>
      <c r="AK25">
        <f t="shared" si="27"/>
        <v>1</v>
      </c>
      <c r="AL25">
        <f t="shared" si="27"/>
        <v>1.0303923373147721</v>
      </c>
      <c r="AM25">
        <f t="shared" si="27"/>
        <v>1.060784674629544</v>
      </c>
      <c r="AN25">
        <f t="shared" si="27"/>
        <v>1.091177011944316</v>
      </c>
      <c r="AO25">
        <f t="shared" si="27"/>
        <v>1.1215693492590881</v>
      </c>
      <c r="AP25">
        <f t="shared" si="27"/>
        <v>1.15196168657386</v>
      </c>
      <c r="AQ25">
        <f t="shared" si="27"/>
        <v>1.1823540238886321</v>
      </c>
      <c r="AR25">
        <f t="shared" si="27"/>
        <v>1.212746361203404</v>
      </c>
      <c r="AS25">
        <f t="shared" si="27"/>
        <v>1.2431386985181763</v>
      </c>
      <c r="AT25">
        <f t="shared" si="27"/>
        <v>1.2735310358329479</v>
      </c>
      <c r="AU25" s="38">
        <f t="shared" si="27"/>
        <v>1.3039233731477202</v>
      </c>
      <c r="AV25">
        <f t="shared" si="27"/>
        <v>1.3303797894144855</v>
      </c>
      <c r="AW25">
        <f t="shared" si="27"/>
        <v>1.3568362056812509</v>
      </c>
      <c r="AX25">
        <f t="shared" si="27"/>
        <v>1.3832926219480162</v>
      </c>
      <c r="AY25">
        <f t="shared" si="27"/>
        <v>1.4097490382147815</v>
      </c>
      <c r="AZ25">
        <f t="shared" si="27"/>
        <v>1.4362054544815468</v>
      </c>
      <c r="BA25">
        <f t="shared" si="27"/>
        <v>1.4626618707483121</v>
      </c>
      <c r="BB25">
        <f t="shared" si="27"/>
        <v>1.4891182870150774</v>
      </c>
      <c r="BC25">
        <f t="shared" si="27"/>
        <v>1.5155747032818427</v>
      </c>
      <c r="BD25">
        <f t="shared" si="27"/>
        <v>1.5420311195486081</v>
      </c>
      <c r="BE25" s="38">
        <f t="shared" si="27"/>
        <v>1.5684875358153736</v>
      </c>
      <c r="BF25">
        <f t="shared" si="27"/>
        <v>1.5854952319868656</v>
      </c>
      <c r="BG25">
        <f t="shared" si="27"/>
        <v>1.6025029281583576</v>
      </c>
      <c r="BH25">
        <f t="shared" si="27"/>
        <v>1.6195106243298496</v>
      </c>
      <c r="BI25">
        <f t="shared" si="27"/>
        <v>1.6365183205013414</v>
      </c>
      <c r="BJ25">
        <f t="shared" si="27"/>
        <v>1.6535260166728334</v>
      </c>
      <c r="BK25">
        <f t="shared" si="27"/>
        <v>1.6705337128443254</v>
      </c>
      <c r="BL25">
        <f t="shared" si="27"/>
        <v>1.6875414090158174</v>
      </c>
      <c r="BM25">
        <f t="shared" si="27"/>
        <v>1.7045491051873094</v>
      </c>
      <c r="BN25">
        <f t="shared" si="27"/>
        <v>1.7215568013588014</v>
      </c>
      <c r="BO25" s="38">
        <f t="shared" si="27"/>
        <v>1.7385644975302934</v>
      </c>
      <c r="BP25">
        <f t="shared" si="27"/>
        <v>1.7565170657113129</v>
      </c>
      <c r="BQ25">
        <f t="shared" ref="BQ25:BY25" si="28">BQ18/$AK$18</f>
        <v>1.7744696338923323</v>
      </c>
      <c r="BR25">
        <f t="shared" si="28"/>
        <v>1.7924222020733516</v>
      </c>
      <c r="BS25">
        <f t="shared" si="28"/>
        <v>1.8103747702543709</v>
      </c>
      <c r="BT25">
        <f t="shared" si="28"/>
        <v>1.8283273384353902</v>
      </c>
      <c r="BU25">
        <f t="shared" si="28"/>
        <v>1.8462799066164095</v>
      </c>
      <c r="BV25">
        <f t="shared" si="28"/>
        <v>1.8642324747974288</v>
      </c>
      <c r="BW25">
        <f t="shared" si="28"/>
        <v>1.8821850429784481</v>
      </c>
      <c r="BX25">
        <f t="shared" si="28"/>
        <v>1.9001376111594674</v>
      </c>
      <c r="BY25" s="38">
        <f t="shared" si="28"/>
        <v>1.9180901793404868</v>
      </c>
    </row>
    <row r="30" spans="1:77">
      <c r="E30">
        <v>2019</v>
      </c>
      <c r="F30">
        <v>2020</v>
      </c>
      <c r="G30">
        <v>2021</v>
      </c>
      <c r="H30">
        <v>2022</v>
      </c>
      <c r="I30">
        <v>2023</v>
      </c>
      <c r="J30">
        <v>2024</v>
      </c>
      <c r="K30">
        <v>2025</v>
      </c>
      <c r="L30">
        <v>2026</v>
      </c>
      <c r="M30">
        <v>2027</v>
      </c>
      <c r="N30">
        <v>2028</v>
      </c>
      <c r="O30">
        <v>2029</v>
      </c>
      <c r="P30">
        <v>2030</v>
      </c>
      <c r="Q30">
        <v>2031</v>
      </c>
      <c r="R30">
        <v>2032</v>
      </c>
      <c r="S30">
        <v>2033</v>
      </c>
      <c r="T30">
        <v>2034</v>
      </c>
      <c r="U30">
        <v>2035</v>
      </c>
      <c r="V30">
        <v>2036</v>
      </c>
      <c r="W30">
        <v>2037</v>
      </c>
      <c r="X30">
        <v>2038</v>
      </c>
      <c r="Y30">
        <v>2039</v>
      </c>
      <c r="Z30">
        <v>2040</v>
      </c>
      <c r="AA30">
        <v>2041</v>
      </c>
      <c r="AB30">
        <v>2042</v>
      </c>
      <c r="AC30">
        <v>2043</v>
      </c>
      <c r="AD30">
        <v>2044</v>
      </c>
      <c r="AE30">
        <v>2045</v>
      </c>
      <c r="AF30">
        <v>2046</v>
      </c>
      <c r="AG30">
        <v>2047</v>
      </c>
      <c r="AH30">
        <v>2048</v>
      </c>
      <c r="AI30">
        <v>2049</v>
      </c>
      <c r="AJ30">
        <v>2050</v>
      </c>
      <c r="AK30">
        <v>2051</v>
      </c>
      <c r="AL30">
        <v>2052</v>
      </c>
      <c r="AM30">
        <v>2053</v>
      </c>
      <c r="AN30">
        <v>2054</v>
      </c>
      <c r="AO30">
        <v>2055</v>
      </c>
      <c r="AP30">
        <v>2056</v>
      </c>
      <c r="AQ30">
        <v>2057</v>
      </c>
      <c r="AR30">
        <v>2058</v>
      </c>
      <c r="AS30">
        <v>2059</v>
      </c>
      <c r="AT30">
        <v>2060</v>
      </c>
    </row>
    <row r="31" spans="1:77">
      <c r="C31" t="s">
        <v>87</v>
      </c>
      <c r="D31" t="s">
        <v>84</v>
      </c>
      <c r="E31">
        <v>263.2</v>
      </c>
      <c r="F31">
        <v>240.2</v>
      </c>
      <c r="G31">
        <v>278.16000000000003</v>
      </c>
      <c r="H31">
        <v>254.1</v>
      </c>
      <c r="I31">
        <v>283.62</v>
      </c>
      <c r="J31">
        <v>353.89</v>
      </c>
    </row>
    <row r="32" spans="1:77">
      <c r="D32" s="57" t="s">
        <v>85</v>
      </c>
      <c r="E32" s="57">
        <f t="shared" ref="E32:J32" si="29">E31/$E$31</f>
        <v>1</v>
      </c>
      <c r="F32" s="57">
        <f t="shared" si="29"/>
        <v>0.91261398176291797</v>
      </c>
      <c r="G32" s="57">
        <f t="shared" si="29"/>
        <v>1.0568389057750762</v>
      </c>
      <c r="H32" s="57">
        <f t="shared" si="29"/>
        <v>0.96542553191489366</v>
      </c>
      <c r="I32" s="57">
        <f t="shared" si="29"/>
        <v>1.0775835866261398</v>
      </c>
      <c r="J32" s="57">
        <f t="shared" si="29"/>
        <v>1.3445668693009118</v>
      </c>
      <c r="K32" s="57">
        <f>(1+K33)*J32/$E$32</f>
        <v>1.3984176791404332</v>
      </c>
      <c r="L32" s="57">
        <f t="shared" ref="L32:AT32" si="30">(1+L33)*K32/$E$32</f>
        <v>1.4529251443088298</v>
      </c>
      <c r="M32" s="57">
        <f t="shared" si="30"/>
        <v>1.4994441506473171</v>
      </c>
      <c r="N32" s="57">
        <f t="shared" si="30"/>
        <v>1.5406118957354304</v>
      </c>
      <c r="O32" s="57">
        <f t="shared" si="30"/>
        <v>1.5780989933025782</v>
      </c>
      <c r="P32" s="57">
        <f t="shared" si="30"/>
        <v>1.6152793551582547</v>
      </c>
      <c r="Q32" s="57">
        <f t="shared" si="30"/>
        <v>1.6510859577662245</v>
      </c>
      <c r="R32" s="57">
        <f t="shared" si="30"/>
        <v>1.6888528402657748</v>
      </c>
      <c r="S32" s="57">
        <f t="shared" si="30"/>
        <v>1.7271222145467906</v>
      </c>
      <c r="T32" s="57">
        <f t="shared" si="30"/>
        <v>1.7657348550500753</v>
      </c>
      <c r="U32" s="57">
        <f t="shared" si="30"/>
        <v>1.8039598821254301</v>
      </c>
      <c r="V32" s="57">
        <f t="shared" si="30"/>
        <v>1.8443894253187751</v>
      </c>
      <c r="W32" s="57">
        <f t="shared" si="30"/>
        <v>1.8841136199395006</v>
      </c>
      <c r="X32" s="57">
        <f t="shared" si="30"/>
        <v>1.9235165719601217</v>
      </c>
      <c r="Y32" s="57">
        <f t="shared" si="30"/>
        <v>1.9624541614497415</v>
      </c>
      <c r="Z32" s="57">
        <f t="shared" si="30"/>
        <v>2.0007489709435924</v>
      </c>
      <c r="AA32" s="57">
        <f t="shared" si="30"/>
        <v>2.0393775226920829</v>
      </c>
      <c r="AB32" s="57">
        <f t="shared" si="30"/>
        <v>2.0770110905861077</v>
      </c>
      <c r="AC32" s="57">
        <f t="shared" si="30"/>
        <v>2.1134214730578313</v>
      </c>
      <c r="AD32" s="57">
        <f t="shared" si="30"/>
        <v>2.1483873310415347</v>
      </c>
      <c r="AE32" s="57">
        <f t="shared" si="30"/>
        <v>2.1816615540060962</v>
      </c>
      <c r="AF32" s="57">
        <f t="shared" si="30"/>
        <v>2.2150989241955128</v>
      </c>
      <c r="AG32" s="57">
        <f t="shared" si="30"/>
        <v>2.2464571415849068</v>
      </c>
      <c r="AH32" s="57">
        <f t="shared" si="30"/>
        <v>2.2754965466913193</v>
      </c>
      <c r="AI32" s="57">
        <f t="shared" si="30"/>
        <v>2.3020186253936443</v>
      </c>
      <c r="AJ32" s="57">
        <f t="shared" si="30"/>
        <v>2.325813632347574</v>
      </c>
      <c r="AK32" s="57">
        <f t="shared" si="30"/>
        <v>2.3495223448300533</v>
      </c>
      <c r="AL32" s="57">
        <f t="shared" si="30"/>
        <v>2.3699160960534305</v>
      </c>
      <c r="AM32" s="57">
        <f t="shared" si="30"/>
        <v>2.3867087247538286</v>
      </c>
      <c r="AN32" s="57">
        <f t="shared" si="30"/>
        <v>2.3996207689142492</v>
      </c>
      <c r="AO32" s="57">
        <f t="shared" si="30"/>
        <v>2.4083827652373375</v>
      </c>
      <c r="AP32" s="57">
        <f t="shared" si="30"/>
        <v>2.4148589855453437</v>
      </c>
      <c r="AQ32" s="57">
        <f t="shared" si="30"/>
        <v>2.4167270506965299</v>
      </c>
      <c r="AR32" s="57">
        <f t="shared" si="30"/>
        <v>2.413760998151631</v>
      </c>
      <c r="AS32" s="57">
        <f t="shared" si="30"/>
        <v>2.4057607935759342</v>
      </c>
      <c r="AT32" s="57">
        <f t="shared" si="30"/>
        <v>2.3897093564136922</v>
      </c>
    </row>
    <row r="33" spans="3:46">
      <c r="D33" t="s">
        <v>88</v>
      </c>
      <c r="K33">
        <v>4.0050674361417557E-2</v>
      </c>
      <c r="L33">
        <v>3.8977957717111301E-2</v>
      </c>
      <c r="M33">
        <v>3.2017483158512446E-2</v>
      </c>
      <c r="N33">
        <v>2.7455337413094805E-2</v>
      </c>
      <c r="O33">
        <v>2.4332602955303484E-2</v>
      </c>
      <c r="P33">
        <v>2.3560221515550771E-2</v>
      </c>
      <c r="Q33">
        <v>2.2167436545031328E-2</v>
      </c>
      <c r="R33">
        <v>2.2873965054276055E-2</v>
      </c>
      <c r="S33">
        <v>2.2659981597326916E-2</v>
      </c>
      <c r="T33">
        <v>2.2356634740765591E-2</v>
      </c>
      <c r="U33">
        <v>2.1648225930427634E-2</v>
      </c>
      <c r="V33">
        <v>2.2411553379840621E-2</v>
      </c>
      <c r="W33">
        <v>2.153785641763788E-2</v>
      </c>
      <c r="X33">
        <v>2.0913256824652924E-2</v>
      </c>
      <c r="Y33">
        <v>2.0242918650782028E-2</v>
      </c>
      <c r="Z33">
        <v>1.9513734509631054E-2</v>
      </c>
      <c r="AA33">
        <v>1.9307045666139853E-2</v>
      </c>
      <c r="AB33">
        <v>1.8453458212261919E-2</v>
      </c>
      <c r="AC33">
        <v>1.7530182018166005E-2</v>
      </c>
      <c r="AD33">
        <v>1.6544668647239913E-2</v>
      </c>
      <c r="AE33">
        <v>1.5487999991337674E-2</v>
      </c>
      <c r="AF33">
        <v>1.5326561596145271E-2</v>
      </c>
      <c r="AG33">
        <v>1.4156576506298845E-2</v>
      </c>
      <c r="AH33">
        <v>1.2926756789103466E-2</v>
      </c>
      <c r="AI33">
        <v>1.1655512613670727E-2</v>
      </c>
      <c r="AJ33">
        <v>1.033658315855761E-2</v>
      </c>
      <c r="AK33">
        <v>1.0193728402283319E-2</v>
      </c>
      <c r="AL33">
        <v>8.6799562763266273E-3</v>
      </c>
      <c r="AM33">
        <v>7.0857481952050433E-3</v>
      </c>
      <c r="AN33">
        <v>5.4099790336805233E-3</v>
      </c>
      <c r="AO33">
        <v>3.6514087711671194E-3</v>
      </c>
      <c r="AP33">
        <v>2.6890328238037054E-3</v>
      </c>
      <c r="AQ33">
        <v>7.7357111217168928E-4</v>
      </c>
      <c r="AR33">
        <v>-1.2273014215834043E-3</v>
      </c>
      <c r="AS33">
        <v>-3.3144145513259947E-3</v>
      </c>
      <c r="AT33">
        <v>-6.6720836107662549E-3</v>
      </c>
    </row>
    <row r="34" spans="3:46" ht="14.3">
      <c r="C34" t="s">
        <v>90</v>
      </c>
      <c r="D34" t="s">
        <v>84</v>
      </c>
      <c r="E34">
        <v>30182</v>
      </c>
      <c r="F34">
        <v>30514.5</v>
      </c>
      <c r="G34">
        <v>33238</v>
      </c>
      <c r="H34">
        <v>35945.699999999997</v>
      </c>
      <c r="I34">
        <v>36460.400000000001</v>
      </c>
      <c r="J34">
        <v>35861.9</v>
      </c>
      <c r="K34">
        <v>38622</v>
      </c>
      <c r="L34">
        <f>($P34/$K34)^(0.2)*K34</f>
        <v>39239.533996977785</v>
      </c>
      <c r="M34">
        <f t="shared" ref="M34:O36" si="31">($P34/$K34)^(0.2)*L34</f>
        <v>39866.94185438288</v>
      </c>
      <c r="N34">
        <f t="shared" si="31"/>
        <v>40504.381447118059</v>
      </c>
      <c r="O34">
        <f t="shared" si="31"/>
        <v>41152.013174375883</v>
      </c>
      <c r="P34">
        <v>41810</v>
      </c>
      <c r="Q34">
        <f>($U34/$P34)^(0.2)*P34</f>
        <v>42327.242791662262</v>
      </c>
      <c r="R34">
        <f t="shared" ref="R34:T36" si="32">($U34/$P34)^(0.2)*Q34</f>
        <v>42850.88453346867</v>
      </c>
      <c r="S34">
        <f t="shared" si="32"/>
        <v>43381.004388558089</v>
      </c>
      <c r="T34">
        <f t="shared" si="32"/>
        <v>43917.682499417948</v>
      </c>
      <c r="U34" s="63">
        <v>44461</v>
      </c>
      <c r="V34">
        <f>($Z34/$U34)^(0.2)*U34</f>
        <v>45159.692657414722</v>
      </c>
      <c r="W34">
        <f t="shared" ref="W34:Y36" si="33">($Z34/$U34)^(0.2)*V34</f>
        <v>45869.365082030476</v>
      </c>
      <c r="X34">
        <f t="shared" si="33"/>
        <v>46590.189817935869</v>
      </c>
      <c r="Y34">
        <f t="shared" si="33"/>
        <v>47322.342120703455</v>
      </c>
      <c r="Z34" s="63">
        <v>48066</v>
      </c>
      <c r="AA34">
        <f>($AE34/$Z34)^(0.2)*Z34</f>
        <v>48382.796461540631</v>
      </c>
      <c r="AB34">
        <f t="shared" ref="AB34:AD36" si="34">($AE34/$Z34)^(0.2)*AA34</f>
        <v>48701.680885425638</v>
      </c>
      <c r="AC34">
        <f t="shared" si="34"/>
        <v>49022.667033130543</v>
      </c>
      <c r="AD34">
        <f t="shared" si="34"/>
        <v>49345.768756830883</v>
      </c>
      <c r="AE34" s="63">
        <v>49671</v>
      </c>
      <c r="AF34">
        <f>($AJ34/$AE34)^(0.2)*AE34</f>
        <v>49988.124696397652</v>
      </c>
      <c r="AG34">
        <f t="shared" ref="AG34:AI36" si="35">($AJ34/$AE34)^(0.2)*AF34</f>
        <v>50307.274076676549</v>
      </c>
      <c r="AH34">
        <f t="shared" si="35"/>
        <v>50628.461067438955</v>
      </c>
      <c r="AI34">
        <f t="shared" si="35"/>
        <v>50951.698677817083</v>
      </c>
      <c r="AJ34" s="63">
        <v>51277</v>
      </c>
      <c r="AK34">
        <f>($AO34/$AJ34)^(0.2)*AJ34</f>
        <v>51635.939539426283</v>
      </c>
      <c r="AL34">
        <f t="shared" ref="AL34:AN36" si="36">($AO34/$AJ34)^(0.2)*AK34</f>
        <v>51997.391659404537</v>
      </c>
      <c r="AM34">
        <f t="shared" si="36"/>
        <v>52361.373948025059</v>
      </c>
      <c r="AN34">
        <f t="shared" si="36"/>
        <v>52727.904116494967</v>
      </c>
      <c r="AO34" s="63">
        <v>53097</v>
      </c>
      <c r="AP34">
        <f>($AT34/$AO34)^(0.2)*AO34</f>
        <v>53456.10952433286</v>
      </c>
      <c r="AQ34">
        <f t="shared" ref="AQ34:AS36" si="37">($AT34/$AO34)^(0.2)*AP34</f>
        <v>53817.64780453642</v>
      </c>
      <c r="AR34">
        <f t="shared" si="37"/>
        <v>54181.631266950499</v>
      </c>
      <c r="AS34">
        <f t="shared" si="37"/>
        <v>54548.076449010747</v>
      </c>
      <c r="AT34" s="63">
        <v>54917</v>
      </c>
    </row>
    <row r="35" spans="3:46">
      <c r="D35" s="57" t="s">
        <v>85</v>
      </c>
      <c r="E35" s="57">
        <f>E34/$E$34</f>
        <v>1</v>
      </c>
      <c r="F35" s="57">
        <f t="shared" ref="F35:S35" si="38">F34/$E$34</f>
        <v>1.011016499900603</v>
      </c>
      <c r="G35" s="57">
        <f t="shared" si="38"/>
        <v>1.1012524020939634</v>
      </c>
      <c r="H35" s="57">
        <f t="shared" si="38"/>
        <v>1.1909648134649791</v>
      </c>
      <c r="I35" s="57">
        <f t="shared" si="38"/>
        <v>1.2080180239878073</v>
      </c>
      <c r="J35" s="57">
        <f t="shared" si="38"/>
        <v>1.1881883241667219</v>
      </c>
      <c r="K35" s="57">
        <f t="shared" si="38"/>
        <v>1.2796368696574116</v>
      </c>
      <c r="L35" s="57">
        <f>L34/$E$34</f>
        <v>1.3000972101576365</v>
      </c>
      <c r="M35" s="57">
        <f t="shared" si="38"/>
        <v>1.3208846946651276</v>
      </c>
      <c r="N35" s="57">
        <f t="shared" si="38"/>
        <v>1.3420045539433456</v>
      </c>
      <c r="O35" s="57">
        <f t="shared" si="38"/>
        <v>1.3634621023913551</v>
      </c>
      <c r="P35" s="57">
        <f t="shared" si="38"/>
        <v>1.3852627393810881</v>
      </c>
      <c r="Q35" s="57">
        <f t="shared" si="38"/>
        <v>1.4024001985177346</v>
      </c>
      <c r="R35" s="57">
        <f t="shared" si="38"/>
        <v>1.4197496697855898</v>
      </c>
      <c r="S35" s="57">
        <f t="shared" si="38"/>
        <v>1.4373137760439365</v>
      </c>
      <c r="T35" s="57">
        <f t="shared" ref="T35" si="39">T34/$E$34</f>
        <v>1.4550951726001573</v>
      </c>
      <c r="U35" s="57">
        <f t="shared" ref="U35" si="40">U34/$E$34</f>
        <v>1.473096547611159</v>
      </c>
      <c r="V35" s="57">
        <f t="shared" ref="V35" si="41">V34/$E$34</f>
        <v>1.4962458636742006</v>
      </c>
      <c r="W35" s="57">
        <f t="shared" ref="W35" si="42">W34/$E$34</f>
        <v>1.5197589650132688</v>
      </c>
      <c r="X35" s="57">
        <f t="shared" ref="X35" si="43">X34/$E$34</f>
        <v>1.5436415684161378</v>
      </c>
      <c r="Y35" s="57">
        <f t="shared" ref="Y35" si="44">Y34/$E$34</f>
        <v>1.5678994805083644</v>
      </c>
      <c r="Z35" s="57">
        <f t="shared" ref="Z35" si="45">Z34/$E$34</f>
        <v>1.5925385991650653</v>
      </c>
      <c r="AA35" s="57">
        <f t="shared" ref="AA35" si="46">AA34/$E$34</f>
        <v>1.6030348042389713</v>
      </c>
      <c r="AB35" s="57">
        <f t="shared" ref="AB35" si="47">AB34/$E$34</f>
        <v>1.6136001883714015</v>
      </c>
      <c r="AC35" s="57">
        <f t="shared" ref="AC35" si="48">AC34/$E$34</f>
        <v>1.6242352075121114</v>
      </c>
      <c r="AD35" s="57">
        <f t="shared" ref="AD35" si="49">AD34/$E$34</f>
        <v>1.6349403206159592</v>
      </c>
      <c r="AE35" s="57">
        <f t="shared" ref="AE35" si="50">AE34/$E$34</f>
        <v>1.6457159896627129</v>
      </c>
      <c r="AF35" s="57">
        <f t="shared" ref="AF35" si="51">AF34/$E$34</f>
        <v>1.6562230699223925</v>
      </c>
      <c r="AG35" s="57">
        <f t="shared" ref="AG35" si="52">AG34/$E$34</f>
        <v>1.6667972326776406</v>
      </c>
      <c r="AH35" s="57">
        <f t="shared" ref="AH35" si="53">AH34/$E$34</f>
        <v>1.6774389062169159</v>
      </c>
      <c r="AI35" s="57">
        <f t="shared" ref="AI35" si="54">AI34/$E$34</f>
        <v>1.6881485215630867</v>
      </c>
      <c r="AJ35" s="57">
        <f t="shared" ref="AJ35" si="55">AJ34/$E$34</f>
        <v>1.6989265124908886</v>
      </c>
      <c r="AK35" s="57">
        <f t="shared" ref="AK35" si="56">AK34/$E$34</f>
        <v>1.7108190159507748</v>
      </c>
      <c r="AL35" s="57">
        <f t="shared" ref="AL35" si="57">AL34/$E$34</f>
        <v>1.7227947670599872</v>
      </c>
      <c r="AM35" s="57">
        <f t="shared" ref="AM35" si="58">AM34/$E$34</f>
        <v>1.7348543485529475</v>
      </c>
      <c r="AN35" s="57">
        <f t="shared" ref="AN35" si="59">AN34/$E$34</f>
        <v>1.7469983472432233</v>
      </c>
      <c r="AO35" s="57">
        <f t="shared" ref="AO35" si="60">AO34/$E$34</f>
        <v>1.759227354052084</v>
      </c>
      <c r="AP35" s="57">
        <f t="shared" ref="AP35" si="61">AP34/$E$34</f>
        <v>1.7711254895080797</v>
      </c>
      <c r="AQ35" s="57">
        <f t="shared" ref="AQ35" si="62">AQ34/$E$34</f>
        <v>1.7831040953063555</v>
      </c>
      <c r="AR35" s="57">
        <f t="shared" ref="AR35" si="63">AR34/$E$34</f>
        <v>1.7951637156898317</v>
      </c>
      <c r="AS35" s="57">
        <f t="shared" ref="AS35" si="64">AS34/$E$34</f>
        <v>1.8073048985822924</v>
      </c>
      <c r="AT35" s="57">
        <f t="shared" ref="AT35" si="65">AT34/$E$34</f>
        <v>1.8195281956132794</v>
      </c>
    </row>
    <row r="36" spans="3:46">
      <c r="C36" t="s">
        <v>110</v>
      </c>
      <c r="D36" t="s">
        <v>84</v>
      </c>
      <c r="E36">
        <v>103963</v>
      </c>
      <c r="F36">
        <v>105834.4</v>
      </c>
      <c r="G36">
        <v>115577.5</v>
      </c>
      <c r="H36">
        <v>121003.1</v>
      </c>
      <c r="I36">
        <v>129951.5</v>
      </c>
      <c r="J36">
        <v>141422.9</v>
      </c>
      <c r="K36">
        <f>'2022交科院'!M3+'2022交科院'!N3+'2022交科院'!P3</f>
        <v>145058.83237019618</v>
      </c>
      <c r="L36">
        <f>($P36/$K36)^(0.2)*K36</f>
        <v>147687.70188149178</v>
      </c>
      <c r="M36">
        <f t="shared" si="31"/>
        <v>150364.21382030798</v>
      </c>
      <c r="N36">
        <f t="shared" si="31"/>
        <v>153089.23159994482</v>
      </c>
      <c r="O36">
        <f t="shared" si="31"/>
        <v>155863.63428115277</v>
      </c>
      <c r="P36">
        <f>'2022交科院'!M4+'2022交科院'!N4+'2022交科院'!P4</f>
        <v>158688.31685570822</v>
      </c>
      <c r="Q36">
        <f>($U36/$P36)^(0.2)*P36</f>
        <v>160887.3113107353</v>
      </c>
      <c r="R36">
        <f t="shared" si="32"/>
        <v>163116.77793100459</v>
      </c>
      <c r="S36">
        <f t="shared" si="32"/>
        <v>165377.13897899725</v>
      </c>
      <c r="T36">
        <f t="shared" si="32"/>
        <v>167668.82256861983</v>
      </c>
      <c r="U36">
        <f>'2022交科院'!M5+'2022交科院'!N5+'2022交科院'!P5</f>
        <v>169992.26274628937</v>
      </c>
      <c r="V36">
        <f>($Z36/$U36)^(0.2)*U36</f>
        <v>172140.47773565742</v>
      </c>
      <c r="W36">
        <f t="shared" si="33"/>
        <v>174315.840005531</v>
      </c>
      <c r="X36">
        <f t="shared" si="33"/>
        <v>176518.69261972938</v>
      </c>
      <c r="Y36">
        <f t="shared" si="33"/>
        <v>178749.38297741525</v>
      </c>
      <c r="Z36">
        <f>'2022交科院'!M6+'2022交科院'!N6+'2022交科院'!P6</f>
        <v>181008.26286788104</v>
      </c>
      <c r="AA36">
        <f>($AE36/$Z36)^(0.2)*Z36</f>
        <v>181998.95341207349</v>
      </c>
      <c r="AB36">
        <f t="shared" si="34"/>
        <v>182995.06618251573</v>
      </c>
      <c r="AC36">
        <f t="shared" si="34"/>
        <v>183996.63085602026</v>
      </c>
      <c r="AD36">
        <f t="shared" si="34"/>
        <v>185003.67727182605</v>
      </c>
      <c r="AE36">
        <f>'2022交科院'!M7+'2022交科院'!N7+'2022交科院'!P7</f>
        <v>186016.23543248748</v>
      </c>
      <c r="AF36">
        <f>($AJ36/$AE36)^(0.2)*AE36</f>
        <v>186932.17529725743</v>
      </c>
      <c r="AG36">
        <f t="shared" si="35"/>
        <v>187852.62522983906</v>
      </c>
      <c r="AH36">
        <f t="shared" si="35"/>
        <v>188777.6074377074</v>
      </c>
      <c r="AI36">
        <f t="shared" si="35"/>
        <v>189707.14423768659</v>
      </c>
      <c r="AJ36">
        <f>'2022交科院'!M8+'2022交科院'!N8+'2022交科院'!P8</f>
        <v>190641.25805648824</v>
      </c>
      <c r="AK36">
        <f>($AO36/$AJ36)^(0.2)*AJ36</f>
        <v>190972.37824021498</v>
      </c>
      <c r="AL36">
        <f t="shared" si="36"/>
        <v>191304.07353856898</v>
      </c>
      <c r="AM36">
        <f t="shared" si="36"/>
        <v>191636.34495045294</v>
      </c>
      <c r="AN36">
        <f t="shared" si="36"/>
        <v>191969.19347650447</v>
      </c>
      <c r="AO36">
        <f>'2022交科院'!M9+'2022交科院'!N9+'2022交科院'!P9</f>
        <v>192302.62011909921</v>
      </c>
      <c r="AP36">
        <f>($AT36/$AO36)^(0.2)*AO36</f>
        <v>192633.55157726113</v>
      </c>
      <c r="AQ36">
        <f t="shared" si="37"/>
        <v>192965.05253171973</v>
      </c>
      <c r="AR36">
        <f t="shared" si="37"/>
        <v>193297.12396251492</v>
      </c>
      <c r="AS36">
        <f t="shared" si="37"/>
        <v>193629.7668513731</v>
      </c>
      <c r="AT36">
        <f>'2022交科院'!M10+'2022交科院'!N10+'2022交科院'!P10</f>
        <v>193962.98218171025</v>
      </c>
    </row>
    <row r="37" spans="3:46">
      <c r="D37" s="57" t="s">
        <v>85</v>
      </c>
      <c r="E37" s="57">
        <f>E36/$E36</f>
        <v>1</v>
      </c>
      <c r="F37" s="57">
        <f t="shared" ref="F37:J37" si="66">F36/$E36</f>
        <v>1.0180006348412416</v>
      </c>
      <c r="G37" s="57">
        <f t="shared" si="66"/>
        <v>1.1117176303107836</v>
      </c>
      <c r="H37" s="57">
        <f t="shared" si="66"/>
        <v>1.1639054278926158</v>
      </c>
      <c r="I37" s="57">
        <f t="shared" si="66"/>
        <v>1.2499783576849457</v>
      </c>
      <c r="J37" s="57">
        <f t="shared" si="66"/>
        <v>1.3603195367582697</v>
      </c>
      <c r="K37" s="57">
        <f t="shared" ref="K37" si="67">K36/$E36</f>
        <v>1.3952928673681615</v>
      </c>
      <c r="L37" s="57">
        <f t="shared" ref="L37" si="68">L36/$E36</f>
        <v>1.4205794550127622</v>
      </c>
      <c r="M37" s="57">
        <f t="shared" ref="M37" si="69">M36/$E36</f>
        <v>1.4463243059579656</v>
      </c>
      <c r="N37" s="57">
        <f t="shared" ref="N37" si="70">N36/$E36</f>
        <v>1.4725357252093996</v>
      </c>
      <c r="O37" s="57">
        <f t="shared" ref="O37" si="71">O36/$E36</f>
        <v>1.4992221682824924</v>
      </c>
      <c r="P37" s="57">
        <f t="shared" ref="P37" si="72">P36/$E36</f>
        <v>1.5263922439301312</v>
      </c>
      <c r="Q37" s="57">
        <f t="shared" ref="Q37" si="73">Q36/$E36</f>
        <v>1.5475439465072698</v>
      </c>
      <c r="R37" s="57">
        <f t="shared" ref="R37" si="74">R36/$E36</f>
        <v>1.5689887549513248</v>
      </c>
      <c r="S37" s="57">
        <f t="shared" ref="S37" si="75">S36/$E36</f>
        <v>1.5907307309234751</v>
      </c>
      <c r="T37" s="57">
        <f t="shared" ref="T37" si="76">T36/$E36</f>
        <v>1.6127739923686295</v>
      </c>
      <c r="U37" s="57">
        <f t="shared" ref="U37" si="77">U36/$E36</f>
        <v>1.6351227142953684</v>
      </c>
      <c r="V37" s="57">
        <f t="shared" ref="V37" si="78">V36/$E36</f>
        <v>1.6557859790084686</v>
      </c>
      <c r="W37" s="57">
        <f t="shared" ref="W37" si="79">W36/$E36</f>
        <v>1.6767103681649338</v>
      </c>
      <c r="X37" s="57">
        <f t="shared" ref="X37" si="80">X36/$E36</f>
        <v>1.6978991816293236</v>
      </c>
      <c r="Y37" s="57">
        <f t="shared" ref="Y37" si="81">Y36/$E36</f>
        <v>1.7193557609670291</v>
      </c>
      <c r="Z37" s="57">
        <f t="shared" ref="Z37" si="82">Z36/$E36</f>
        <v>1.7410834899712497</v>
      </c>
      <c r="AA37" s="57">
        <f t="shared" ref="AA37" si="83">AA36/$E36</f>
        <v>1.7506127508062819</v>
      </c>
      <c r="AB37" s="57">
        <f t="shared" ref="AB37" si="84">AB36/$E36</f>
        <v>1.7601941669874448</v>
      </c>
      <c r="AC37" s="57">
        <f t="shared" ref="AC37" si="85">AC36/$E36</f>
        <v>1.7698280239702611</v>
      </c>
      <c r="AD37" s="57">
        <f t="shared" ref="AD37" si="86">AD36/$E36</f>
        <v>1.7795146087726021</v>
      </c>
      <c r="AE37" s="57">
        <f t="shared" ref="AE37" si="87">AE36/$E36</f>
        <v>1.7892542099832389</v>
      </c>
      <c r="AF37" s="57">
        <f t="shared" ref="AF37" si="88">AF36/$E36</f>
        <v>1.7980644584828971</v>
      </c>
      <c r="AG37" s="57">
        <f t="shared" ref="AG37" si="89">AG36/$E36</f>
        <v>1.8069180884529983</v>
      </c>
      <c r="AH37" s="57">
        <f t="shared" ref="AH37" si="90">AH36/$E36</f>
        <v>1.815815313502952</v>
      </c>
      <c r="AI37" s="57">
        <f t="shared" ref="AI37" si="91">AI36/$E36</f>
        <v>1.8247563482939757</v>
      </c>
      <c r="AJ37" s="57">
        <f t="shared" ref="AJ37" si="92">AJ36/$E36</f>
        <v>1.8337414085442729</v>
      </c>
      <c r="AK37" s="57">
        <f t="shared" ref="AK37" si="93">AK36/$E36</f>
        <v>1.8369263895829764</v>
      </c>
      <c r="AL37" s="57">
        <f t="shared" ref="AL37" si="94">AL36/$E36</f>
        <v>1.8401169025381048</v>
      </c>
      <c r="AM37" s="57">
        <f t="shared" ref="AM37" si="95">AM36/$E36</f>
        <v>1.8433129570179096</v>
      </c>
      <c r="AN37" s="57">
        <f t="shared" ref="AN37" si="96">AN36/$E36</f>
        <v>1.8465145626473309</v>
      </c>
      <c r="AO37" s="57">
        <f t="shared" ref="AO37" si="97">AO36/$E36</f>
        <v>1.8497217290680263</v>
      </c>
      <c r="AP37" s="57">
        <f t="shared" ref="AP37" si="98">AP36/$E36</f>
        <v>1.8529048947920042</v>
      </c>
      <c r="AQ37" s="57">
        <f t="shared" ref="AQ37" si="99">AQ36/$E36</f>
        <v>1.8560935383907711</v>
      </c>
      <c r="AR37" s="57">
        <f t="shared" ref="AR37" si="100">AR36/$E36</f>
        <v>1.8592876692911413</v>
      </c>
      <c r="AS37" s="57">
        <f t="shared" ref="AS37" si="101">AS36/$E36</f>
        <v>1.8624872969361514</v>
      </c>
      <c r="AT37" s="57">
        <f t="shared" ref="AT37" si="102">AT36/$E36</f>
        <v>1.8656924307850895</v>
      </c>
    </row>
    <row r="38" spans="3:46">
      <c r="C38" t="s">
        <v>66</v>
      </c>
      <c r="D38" t="s">
        <v>84</v>
      </c>
      <c r="E38">
        <f>E44+E45</f>
        <v>6003.4063882649998</v>
      </c>
      <c r="F38">
        <f t="shared" ref="F38:AT38" si="103">F44+F45</f>
        <v>6075.4650161250001</v>
      </c>
      <c r="G38">
        <f t="shared" si="103"/>
        <v>6987.7955309999998</v>
      </c>
      <c r="H38">
        <f t="shared" si="103"/>
        <v>7760.2091208017628</v>
      </c>
      <c r="I38">
        <f t="shared" si="103"/>
        <v>8211</v>
      </c>
      <c r="J38">
        <f t="shared" si="103"/>
        <v>8544.4555111879326</v>
      </c>
      <c r="K38">
        <f t="shared" si="103"/>
        <v>8943.7019173411754</v>
      </c>
      <c r="L38">
        <f t="shared" si="103"/>
        <v>9350.4103583711767</v>
      </c>
      <c r="M38">
        <f t="shared" si="103"/>
        <v>9699.6830655745616</v>
      </c>
      <c r="N38">
        <f t="shared" si="103"/>
        <v>10010.375815500898</v>
      </c>
      <c r="O38">
        <f t="shared" si="103"/>
        <v>10294.550732344846</v>
      </c>
      <c r="P38">
        <f t="shared" si="103"/>
        <v>10577.516277278155</v>
      </c>
      <c r="Q38">
        <f t="shared" si="103"/>
        <v>10851.072101638852</v>
      </c>
      <c r="R38">
        <f t="shared" si="103"/>
        <v>11140.646986368889</v>
      </c>
      <c r="S38">
        <f t="shared" si="103"/>
        <v>11435.168318011227</v>
      </c>
      <c r="T38">
        <f t="shared" si="103"/>
        <v>11733.428846177005</v>
      </c>
      <c r="U38">
        <f t="shared" si="103"/>
        <v>12029.77141787775</v>
      </c>
      <c r="V38">
        <f t="shared" si="103"/>
        <v>12344.311592869972</v>
      </c>
      <c r="W38">
        <f t="shared" si="103"/>
        <v>12654.493271975423</v>
      </c>
      <c r="X38">
        <f t="shared" si="103"/>
        <v>12963.247717721864</v>
      </c>
      <c r="Y38">
        <f t="shared" si="103"/>
        <v>13269.397348221606</v>
      </c>
      <c r="Z38">
        <f t="shared" si="103"/>
        <v>13571.488761336941</v>
      </c>
      <c r="AA38">
        <f t="shared" si="103"/>
        <v>13877.185006821681</v>
      </c>
      <c r="AB38">
        <f t="shared" si="103"/>
        <v>14175.947402720092</v>
      </c>
      <c r="AC38">
        <f t="shared" si="103"/>
        <v>14465.872164011329</v>
      </c>
      <c r="AD38">
        <f t="shared" si="103"/>
        <v>14745.094069266042</v>
      </c>
      <c r="AE38">
        <f t="shared" si="103"/>
        <v>15011.528088885952</v>
      </c>
      <c r="AF38">
        <f t="shared" si="103"/>
        <v>15279.949050443629</v>
      </c>
      <c r="AG38">
        <f t="shared" si="103"/>
        <v>15532.312779479405</v>
      </c>
      <c r="AH38">
        <f t="shared" si="103"/>
        <v>15766.558947430789</v>
      </c>
      <c r="AI38">
        <f t="shared" si="103"/>
        <v>15980.954161897744</v>
      </c>
      <c r="AJ38">
        <f t="shared" si="103"/>
        <v>16173.674033819889</v>
      </c>
      <c r="AK38">
        <f t="shared" si="103"/>
        <v>16366.022414249017</v>
      </c>
      <c r="AL38">
        <f t="shared" si="103"/>
        <v>16531.754833050923</v>
      </c>
      <c r="AM38">
        <f t="shared" si="103"/>
        <v>16668.417993684769</v>
      </c>
      <c r="AN38">
        <f t="shared" si="103"/>
        <v>16773.623084200302</v>
      </c>
      <c r="AO38">
        <f t="shared" si="103"/>
        <v>16845.078331063185</v>
      </c>
      <c r="AP38">
        <f t="shared" si="103"/>
        <v>16897.924794373586</v>
      </c>
      <c r="AQ38">
        <f t="shared" si="103"/>
        <v>16913.175165262932</v>
      </c>
      <c r="AR38">
        <f t="shared" si="103"/>
        <v>16888.958007351808</v>
      </c>
      <c r="AS38">
        <f t="shared" si="103"/>
        <v>16823.651497812793</v>
      </c>
      <c r="AT38">
        <f t="shared" si="103"/>
        <v>16692.694553475696</v>
      </c>
    </row>
    <row r="39" spans="3:46">
      <c r="D39" s="57" t="s">
        <v>85</v>
      </c>
      <c r="E39" s="57">
        <f>E38/$E$38</f>
        <v>1</v>
      </c>
      <c r="F39" s="57">
        <f t="shared" ref="F39:AT39" si="104">F38/$E$38</f>
        <v>1.0120029568547708</v>
      </c>
      <c r="G39" s="57">
        <f t="shared" si="104"/>
        <v>1.1639717652063684</v>
      </c>
      <c r="H39" s="57">
        <f t="shared" si="104"/>
        <v>1.2926343177384805</v>
      </c>
      <c r="I39" s="57">
        <f t="shared" si="104"/>
        <v>1.3677235004530488</v>
      </c>
      <c r="J39" s="57">
        <f t="shared" si="104"/>
        <v>1.423267884694593</v>
      </c>
      <c r="K39" s="57">
        <f t="shared" si="104"/>
        <v>1.4897711963700544</v>
      </c>
      <c r="L39" s="57">
        <f t="shared" si="104"/>
        <v>1.5575174748537171</v>
      </c>
      <c r="M39" s="57">
        <f t="shared" si="104"/>
        <v>1.6156965626273045</v>
      </c>
      <c r="N39" s="57">
        <f t="shared" si="104"/>
        <v>1.6674493059587663</v>
      </c>
      <c r="O39" s="57">
        <f t="shared" si="104"/>
        <v>1.7147849181870891</v>
      </c>
      <c r="P39" s="57">
        <f t="shared" si="104"/>
        <v>1.7619190827984386</v>
      </c>
      <c r="Q39" s="57">
        <f t="shared" si="104"/>
        <v>1.8074858505080882</v>
      </c>
      <c r="R39" s="57">
        <f t="shared" si="104"/>
        <v>1.855720946718812</v>
      </c>
      <c r="S39" s="57">
        <f t="shared" si="104"/>
        <v>1.9047799829716376</v>
      </c>
      <c r="T39" s="57">
        <f t="shared" si="104"/>
        <v>1.9544618650359262</v>
      </c>
      <c r="U39" s="57">
        <f t="shared" si="104"/>
        <v>2.0038242690670796</v>
      </c>
      <c r="V39" s="57">
        <f t="shared" si="104"/>
        <v>2.0562178860654328</v>
      </c>
      <c r="W39" s="57">
        <f t="shared" si="104"/>
        <v>2.1078854992577982</v>
      </c>
      <c r="X39" s="57">
        <f t="shared" si="104"/>
        <v>2.1593153751945615</v>
      </c>
      <c r="Y39" s="57">
        <f t="shared" si="104"/>
        <v>2.2103113615895817</v>
      </c>
      <c r="Z39" s="57">
        <f t="shared" si="104"/>
        <v>2.2606313621988758</v>
      </c>
      <c r="AA39" s="57">
        <f t="shared" si="104"/>
        <v>2.3115518273005375</v>
      </c>
      <c r="AB39" s="57">
        <f t="shared" si="104"/>
        <v>2.3613173065262001</v>
      </c>
      <c r="AC39" s="57">
        <f t="shared" si="104"/>
        <v>2.4096106824099248</v>
      </c>
      <c r="AD39" s="57">
        <f t="shared" si="104"/>
        <v>2.4561212611041334</v>
      </c>
      <c r="AE39" s="57">
        <f t="shared" si="104"/>
        <v>2.5005017348532896</v>
      </c>
      <c r="AF39" s="57">
        <f t="shared" si="104"/>
        <v>2.5452131776905369</v>
      </c>
      <c r="AG39" s="57">
        <f t="shared" si="104"/>
        <v>2.587249933611155</v>
      </c>
      <c r="AH39" s="57">
        <f t="shared" si="104"/>
        <v>2.6262688093629731</v>
      </c>
      <c r="AI39" s="57">
        <f t="shared" si="104"/>
        <v>2.6619810701364632</v>
      </c>
      <c r="AJ39" s="57">
        <f t="shared" si="104"/>
        <v>2.6940828236174301</v>
      </c>
      <c r="AK39" s="57">
        <f t="shared" si="104"/>
        <v>2.7261226969808452</v>
      </c>
      <c r="AL39" s="57">
        <f t="shared" si="104"/>
        <v>2.7537290937634897</v>
      </c>
      <c r="AM39" s="57">
        <f t="shared" si="104"/>
        <v>2.776493363212412</v>
      </c>
      <c r="AN39" s="57">
        <f t="shared" si="104"/>
        <v>2.7940175959082327</v>
      </c>
      <c r="AO39" s="57">
        <f t="shared" si="104"/>
        <v>2.8059200463241432</v>
      </c>
      <c r="AP39" s="57">
        <f t="shared" si="104"/>
        <v>2.8147227926139333</v>
      </c>
      <c r="AQ39" s="57">
        <f t="shared" si="104"/>
        <v>2.8172630788952611</v>
      </c>
      <c r="AR39" s="57">
        <f t="shared" si="104"/>
        <v>2.8132291760832739</v>
      </c>
      <c r="AS39" s="57">
        <f t="shared" si="104"/>
        <v>2.8023509337462782</v>
      </c>
      <c r="AT39" s="57">
        <f t="shared" si="104"/>
        <v>2.7805371607201703</v>
      </c>
    </row>
    <row r="40" spans="3:46">
      <c r="C40" t="s">
        <v>52</v>
      </c>
      <c r="D40" t="s">
        <v>84</v>
      </c>
      <c r="E40">
        <f>E46+E47</f>
        <v>61859.382378924005</v>
      </c>
      <c r="F40">
        <f t="shared" ref="F40:AT40" si="105">F46+F47</f>
        <v>62040.737315400009</v>
      </c>
      <c r="G40">
        <f t="shared" si="105"/>
        <v>71251.68733320001</v>
      </c>
      <c r="H40">
        <f t="shared" si="105"/>
        <v>68856.53778684001</v>
      </c>
      <c r="I40">
        <f t="shared" si="105"/>
        <v>73950.664132289763</v>
      </c>
      <c r="J40">
        <f t="shared" si="105"/>
        <v>74379.692378560794</v>
      </c>
      <c r="K40">
        <f t="shared" si="105"/>
        <v>74876.185184986811</v>
      </c>
      <c r="L40">
        <f t="shared" si="105"/>
        <v>75362.605315013308</v>
      </c>
      <c r="M40">
        <f>M46+M47</f>
        <v>75764.758806089143</v>
      </c>
      <c r="N40">
        <f t="shared" si="105"/>
        <v>76111.449975596304</v>
      </c>
      <c r="O40">
        <f t="shared" si="105"/>
        <v>76420.114924364432</v>
      </c>
      <c r="P40">
        <f t="shared" si="105"/>
        <v>76720.194063674731</v>
      </c>
      <c r="Q40">
        <f t="shared" si="105"/>
        <v>77003.64240261291</v>
      </c>
      <c r="R40">
        <f t="shared" si="105"/>
        <v>77297.205506841128</v>
      </c>
      <c r="S40">
        <f t="shared" si="105"/>
        <v>77589.131049226096</v>
      </c>
      <c r="T40">
        <f t="shared" si="105"/>
        <v>77878.236359679591</v>
      </c>
      <c r="U40">
        <f t="shared" si="105"/>
        <v>78159.223968975843</v>
      </c>
      <c r="V40">
        <f t="shared" si="105"/>
        <v>78451.168905660481</v>
      </c>
      <c r="W40">
        <f t="shared" si="105"/>
        <v>78732.780574274802</v>
      </c>
      <c r="X40">
        <f t="shared" si="105"/>
        <v>79007.20705105293</v>
      </c>
      <c r="Y40">
        <f t="shared" si="105"/>
        <v>79273.763128579594</v>
      </c>
      <c r="Z40">
        <f t="shared" si="105"/>
        <v>79531.584323124669</v>
      </c>
      <c r="AA40">
        <f t="shared" si="105"/>
        <v>79787.504311529177</v>
      </c>
      <c r="AB40">
        <f t="shared" si="105"/>
        <v>80032.896874308077</v>
      </c>
      <c r="AC40">
        <f t="shared" si="105"/>
        <v>80266.728749249363</v>
      </c>
      <c r="AD40">
        <f t="shared" si="105"/>
        <v>80488.059821008399</v>
      </c>
      <c r="AE40">
        <f t="shared" si="105"/>
        <v>80695.826332643497</v>
      </c>
      <c r="AF40">
        <f t="shared" si="105"/>
        <v>80901.957924783346</v>
      </c>
      <c r="AG40">
        <f t="shared" si="105"/>
        <v>81092.840384261945</v>
      </c>
      <c r="AH40">
        <f t="shared" si="105"/>
        <v>81267.551621759427</v>
      </c>
      <c r="AI40">
        <f t="shared" si="105"/>
        <v>81425.420783927708</v>
      </c>
      <c r="AJ40">
        <f t="shared" si="105"/>
        <v>81565.69755611998</v>
      </c>
      <c r="AK40">
        <f t="shared" si="105"/>
        <v>81704.273984091618</v>
      </c>
      <c r="AL40">
        <f t="shared" si="105"/>
        <v>81822.472238386777</v>
      </c>
      <c r="AM40">
        <f t="shared" si="105"/>
        <v>81919.101144218512</v>
      </c>
      <c r="AN40">
        <f t="shared" si="105"/>
        <v>81992.964580826534</v>
      </c>
      <c r="AO40">
        <f t="shared" si="105"/>
        <v>82042.862885833936</v>
      </c>
      <c r="AP40">
        <f t="shared" si="105"/>
        <v>82079.632211043747</v>
      </c>
      <c r="AQ40">
        <f t="shared" si="105"/>
        <v>82090.214616439785</v>
      </c>
      <c r="AR40">
        <f t="shared" si="105"/>
        <v>82073.423043590316</v>
      </c>
      <c r="AS40">
        <f t="shared" si="105"/>
        <v>82028.085485654839</v>
      </c>
      <c r="AT40">
        <f t="shared" si="105"/>
        <v>81936.86911152293</v>
      </c>
    </row>
    <row r="41" spans="3:46">
      <c r="D41" s="57" t="s">
        <v>85</v>
      </c>
      <c r="E41" s="57">
        <f>E40/$E40</f>
        <v>1</v>
      </c>
      <c r="F41" s="57">
        <f t="shared" ref="F41" si="106">F40/$E40</f>
        <v>1.0029317288582855</v>
      </c>
      <c r="G41" s="57">
        <f t="shared" ref="G41" si="107">G40/$E40</f>
        <v>1.1518331511417748</v>
      </c>
      <c r="H41" s="57">
        <f t="shared" ref="H41" si="108">H40/$E40</f>
        <v>1.1131138905502553</v>
      </c>
      <c r="I41" s="57">
        <f t="shared" ref="I41" si="109">I40/$E40</f>
        <v>1.195463990883384</v>
      </c>
      <c r="J41" s="57">
        <f t="shared" ref="J41" si="110">J40/$E40</f>
        <v>1.2023995312941009</v>
      </c>
      <c r="K41" s="57">
        <f t="shared" ref="K41" si="111">K40/$E40</f>
        <v>1.2104256833074645</v>
      </c>
      <c r="L41" s="57">
        <f t="shared" ref="L41" si="112">L40/$E40</f>
        <v>1.2182890034914082</v>
      </c>
      <c r="M41" s="57">
        <f t="shared" ref="M41" si="113">M40/$E40</f>
        <v>1.2247900947666559</v>
      </c>
      <c r="N41" s="57">
        <f t="shared" ref="N41" si="114">N40/$E40</f>
        <v>1.2303945989853287</v>
      </c>
      <c r="O41" s="57">
        <f t="shared" ref="O41" si="115">O40/$E40</f>
        <v>1.235384382861239</v>
      </c>
      <c r="P41" s="57">
        <f t="shared" ref="P41" si="116">P40/$E40</f>
        <v>1.2402353711474159</v>
      </c>
      <c r="Q41" s="57">
        <f t="shared" ref="Q41" si="117">Q40/$E40</f>
        <v>1.2448175109625517</v>
      </c>
      <c r="R41" s="57">
        <f t="shared" ref="R41" si="118">R40/$E40</f>
        <v>1.2495631630033364</v>
      </c>
      <c r="S41" s="57">
        <f t="shared" ref="S41" si="119">S40/$E40</f>
        <v>1.2542823427163952</v>
      </c>
      <c r="T41" s="57">
        <f t="shared" ref="T41" si="120">T40/$E40</f>
        <v>1.2589559314160457</v>
      </c>
      <c r="U41" s="57">
        <f t="shared" ref="U41" si="121">U40/$E40</f>
        <v>1.2634982918226698</v>
      </c>
      <c r="V41" s="57">
        <f t="shared" ref="V41" si="122">V40/$E40</f>
        <v>1.2682177850580907</v>
      </c>
      <c r="W41" s="57">
        <f t="shared" ref="W41" si="123">W40/$E40</f>
        <v>1.2727702338182365</v>
      </c>
      <c r="X41" s="57">
        <f t="shared" ref="X41" si="124">X40/$E40</f>
        <v>1.2772065289480052</v>
      </c>
      <c r="Y41" s="57">
        <f t="shared" ref="Y41" si="125">Y40/$E40</f>
        <v>1.2815155935922957</v>
      </c>
      <c r="Z41" s="57">
        <f t="shared" ref="Z41" si="126">Z40/$E40</f>
        <v>1.2856834527695145</v>
      </c>
      <c r="AA41" s="57">
        <f t="shared" ref="AA41" si="127">AA40/$E40</f>
        <v>1.289820577625318</v>
      </c>
      <c r="AB41" s="57">
        <f t="shared" ref="AB41" si="128">AB40/$E40</f>
        <v>1.2937875193137385</v>
      </c>
      <c r="AC41" s="57">
        <f t="shared" ref="AC41" si="129">AC40/$E40</f>
        <v>1.2975675744314721</v>
      </c>
      <c r="AD41" s="57">
        <f t="shared" ref="AD41" si="130">AD40/$E40</f>
        <v>1.3011455453592007</v>
      </c>
      <c r="AE41" s="57">
        <f t="shared" ref="AE41" si="131">AE40/$E40</f>
        <v>1.304504235725076</v>
      </c>
      <c r="AF41" s="57">
        <f t="shared" ref="AF41" si="132">AF40/$E40</f>
        <v>1.3078364964786215</v>
      </c>
      <c r="AG41" s="57">
        <f t="shared" ref="AG41" si="133">AG40/$E40</f>
        <v>1.3109222443819766</v>
      </c>
      <c r="AH41" s="57">
        <f t="shared" ref="AH41" si="134">AH40/$E40</f>
        <v>1.3137465732190683</v>
      </c>
      <c r="AI41" s="57">
        <f t="shared" ref="AI41" si="135">AI40/$E40</f>
        <v>1.3162986381782888</v>
      </c>
      <c r="AJ41" s="57">
        <f t="shared" ref="AJ41" si="136">AJ40/$E40</f>
        <v>1.3185663099007932</v>
      </c>
      <c r="AK41" s="57">
        <f t="shared" ref="AK41" si="137">AK40/$E40</f>
        <v>1.3208064943747149</v>
      </c>
      <c r="AL41" s="57">
        <f t="shared" ref="AL41" si="138">AL40/$E40</f>
        <v>1.3227172514781582</v>
      </c>
      <c r="AM41" s="57">
        <f t="shared" ref="AM41" si="139">AM40/$E40</f>
        <v>1.3242793250410632</v>
      </c>
      <c r="AN41" s="57">
        <f t="shared" ref="AN41" si="140">AN40/$E40</f>
        <v>1.3254733789382644</v>
      </c>
      <c r="AO41" s="57">
        <f t="shared" ref="AO41" si="141">AO40/$E40</f>
        <v>1.3262800197918982</v>
      </c>
      <c r="AP41" s="57">
        <f t="shared" ref="AP41" si="142">AP40/$E40</f>
        <v>1.3268744215430277</v>
      </c>
      <c r="AQ41" s="57">
        <f t="shared" ref="AQ41" si="143">AQ40/$E40</f>
        <v>1.3270454934966922</v>
      </c>
      <c r="AR41" s="57">
        <f t="shared" ref="AR41" si="144">AR40/$E40</f>
        <v>1.3267740460265798</v>
      </c>
      <c r="AS41" s="57">
        <f t="shared" ref="AS41" si="145">AS40/$E40</f>
        <v>1.3260411328258344</v>
      </c>
      <c r="AT41" s="57">
        <f t="shared" ref="AT41" si="146">AT40/$E40</f>
        <v>1.3245665566075793</v>
      </c>
    </row>
    <row r="43" spans="3:46">
      <c r="E43">
        <v>2019</v>
      </c>
      <c r="F43">
        <v>2020</v>
      </c>
      <c r="G43">
        <v>2021</v>
      </c>
      <c r="H43">
        <v>2022</v>
      </c>
      <c r="I43">
        <v>2023</v>
      </c>
      <c r="J43">
        <v>2024</v>
      </c>
      <c r="K43">
        <v>2025</v>
      </c>
      <c r="L43">
        <v>2026</v>
      </c>
      <c r="M43">
        <v>2027</v>
      </c>
      <c r="N43">
        <v>2028</v>
      </c>
      <c r="O43">
        <v>2029</v>
      </c>
      <c r="P43">
        <v>2030</v>
      </c>
      <c r="Q43">
        <v>2031</v>
      </c>
      <c r="R43">
        <v>2032</v>
      </c>
      <c r="S43">
        <v>2033</v>
      </c>
      <c r="T43">
        <v>2034</v>
      </c>
      <c r="U43">
        <v>2035</v>
      </c>
      <c r="V43">
        <v>2036</v>
      </c>
      <c r="W43">
        <v>2037</v>
      </c>
      <c r="X43">
        <v>2038</v>
      </c>
      <c r="Y43">
        <v>2039</v>
      </c>
      <c r="Z43">
        <v>2040</v>
      </c>
      <c r="AA43">
        <v>2041</v>
      </c>
      <c r="AB43">
        <v>2042</v>
      </c>
      <c r="AC43">
        <v>2043</v>
      </c>
      <c r="AD43">
        <v>2044</v>
      </c>
      <c r="AE43">
        <v>2045</v>
      </c>
      <c r="AF43">
        <v>2046</v>
      </c>
      <c r="AG43">
        <v>2047</v>
      </c>
      <c r="AH43">
        <v>2048</v>
      </c>
      <c r="AI43">
        <v>2049</v>
      </c>
      <c r="AJ43">
        <v>2050</v>
      </c>
      <c r="AK43">
        <v>2051</v>
      </c>
      <c r="AL43">
        <v>2052</v>
      </c>
      <c r="AM43">
        <v>2053</v>
      </c>
      <c r="AN43">
        <v>2054</v>
      </c>
      <c r="AO43">
        <v>2055</v>
      </c>
      <c r="AP43">
        <v>2056</v>
      </c>
      <c r="AQ43">
        <v>2057</v>
      </c>
      <c r="AR43">
        <v>2058</v>
      </c>
      <c r="AS43">
        <v>2059</v>
      </c>
      <c r="AT43">
        <v>2060</v>
      </c>
    </row>
    <row r="44" spans="3:46">
      <c r="C44" t="s">
        <v>118</v>
      </c>
      <c r="E44">
        <f>2.5*1.2*13334090/10^4*0.91351</f>
        <v>3654.2473667700001</v>
      </c>
      <c r="F44">
        <f>2.5*1.2*14670670/10^4*0.84025</f>
        <v>3698.1091402500001</v>
      </c>
      <c r="G44">
        <f>2.5*1.2*15788570/10^4*0.898</f>
        <v>4253.4407579999997</v>
      </c>
      <c r="H44">
        <v>4723.6055517923769</v>
      </c>
      <c r="I44">
        <v>4997.9999999999991</v>
      </c>
      <c r="J44">
        <v>5200.9729198535242</v>
      </c>
      <c r="K44">
        <v>5443.9924714250628</v>
      </c>
      <c r="L44">
        <v>5691.5541311824545</v>
      </c>
      <c r="M44">
        <v>5904.1549094801676</v>
      </c>
      <c r="N44">
        <v>6093.272235522285</v>
      </c>
      <c r="O44">
        <v>6266.2482718620804</v>
      </c>
      <c r="P44">
        <v>6438.4881687780071</v>
      </c>
      <c r="Q44">
        <v>6605.0004096932153</v>
      </c>
      <c r="R44">
        <v>6781.2633830071491</v>
      </c>
      <c r="S44">
        <v>6960.537237050311</v>
      </c>
      <c r="T44">
        <v>7142.0871237599149</v>
      </c>
      <c r="U44">
        <v>7322.4695587081951</v>
      </c>
      <c r="V44">
        <v>7513.9287956599828</v>
      </c>
      <c r="W44">
        <v>7702.7350351154755</v>
      </c>
      <c r="X44">
        <v>7890.6725238306999</v>
      </c>
      <c r="Y44">
        <v>8077.0244728305443</v>
      </c>
      <c r="Z44">
        <v>8260.9062025529201</v>
      </c>
      <c r="AA44">
        <v>8446.982178065371</v>
      </c>
      <c r="AB44">
        <v>8628.8375494817956</v>
      </c>
      <c r="AC44">
        <v>8805.3134911373309</v>
      </c>
      <c r="AD44">
        <v>8975.274650857591</v>
      </c>
      <c r="AE44">
        <v>9137.4518801914492</v>
      </c>
      <c r="AF44">
        <v>9300.8385524439473</v>
      </c>
      <c r="AG44">
        <v>9454.4512570744191</v>
      </c>
      <c r="AH44">
        <v>9597.035881044827</v>
      </c>
      <c r="AI44">
        <v>9727.5373159377559</v>
      </c>
      <c r="AJ44">
        <v>9844.8450640642805</v>
      </c>
      <c r="AK44">
        <v>9961.9266869341845</v>
      </c>
      <c r="AL44">
        <v>10062.807289683171</v>
      </c>
      <c r="AM44">
        <v>10145.993561373336</v>
      </c>
      <c r="AN44">
        <v>10210.031442556707</v>
      </c>
      <c r="AO44">
        <v>10253.525940647156</v>
      </c>
      <c r="AP44">
        <v>10285.693353096967</v>
      </c>
      <c r="AQ44">
        <v>10294.976187551349</v>
      </c>
      <c r="AR44">
        <v>10280.235308822841</v>
      </c>
      <c r="AS44">
        <v>10240.483520407786</v>
      </c>
      <c r="AT44">
        <v>10160.770597767814</v>
      </c>
    </row>
    <row r="45" spans="3:46">
      <c r="C45" t="s">
        <v>119</v>
      </c>
      <c r="E45">
        <f>2.5*1.8/10^4*5714610*0.91351</f>
        <v>2349.1590214949997</v>
      </c>
      <c r="F45">
        <f>2.5*1.8/10^4*6287430*0.84025</f>
        <v>2377.355875875</v>
      </c>
      <c r="G45">
        <f>2.5*1.8/10^4*6766530*0.898</f>
        <v>2734.354773</v>
      </c>
      <c r="H45">
        <v>3036.6035690093854</v>
      </c>
      <c r="I45">
        <v>3213</v>
      </c>
      <c r="J45">
        <v>3343.4825913344089</v>
      </c>
      <c r="K45">
        <v>3499.7094459161126</v>
      </c>
      <c r="L45">
        <v>3658.8562271887213</v>
      </c>
      <c r="M45">
        <v>3795.5281560943931</v>
      </c>
      <c r="N45">
        <v>3917.1035799786123</v>
      </c>
      <c r="O45">
        <v>4028.3024604827656</v>
      </c>
      <c r="P45">
        <v>4139.028108500147</v>
      </c>
      <c r="Q45">
        <v>4246.0716919456381</v>
      </c>
      <c r="R45">
        <v>4359.3836033617399</v>
      </c>
      <c r="S45">
        <v>4474.6310809609158</v>
      </c>
      <c r="T45">
        <v>4591.3417224170889</v>
      </c>
      <c r="U45">
        <v>4707.3018591695545</v>
      </c>
      <c r="V45">
        <v>4830.3827972099889</v>
      </c>
      <c r="W45">
        <v>4951.7582368599478</v>
      </c>
      <c r="X45">
        <v>5072.5751938911635</v>
      </c>
      <c r="Y45">
        <v>5192.3728753910627</v>
      </c>
      <c r="Z45">
        <v>5310.5825587840209</v>
      </c>
      <c r="AA45">
        <v>5430.2028287563089</v>
      </c>
      <c r="AB45">
        <v>5547.1098532382966</v>
      </c>
      <c r="AC45">
        <v>5660.5586728739981</v>
      </c>
      <c r="AD45">
        <v>5769.8194184084514</v>
      </c>
      <c r="AE45">
        <v>5874.0762086945042</v>
      </c>
      <c r="AF45">
        <v>5979.1104979996808</v>
      </c>
      <c r="AG45">
        <v>6077.8615224049863</v>
      </c>
      <c r="AH45">
        <v>6169.523066385962</v>
      </c>
      <c r="AI45">
        <v>6253.4168459599878</v>
      </c>
      <c r="AJ45">
        <v>6328.8289697556083</v>
      </c>
      <c r="AK45">
        <v>6404.0957273148324</v>
      </c>
      <c r="AL45">
        <v>6468.9475433677535</v>
      </c>
      <c r="AM45">
        <v>6522.4244323114317</v>
      </c>
      <c r="AN45">
        <v>6563.5916416435966</v>
      </c>
      <c r="AO45">
        <v>6591.55239041603</v>
      </c>
      <c r="AP45">
        <v>6612.23144127662</v>
      </c>
      <c r="AQ45">
        <v>6618.1989777115814</v>
      </c>
      <c r="AR45">
        <v>6608.722698528969</v>
      </c>
      <c r="AS45">
        <v>6583.1679774050053</v>
      </c>
      <c r="AT45">
        <v>6531.9239557078799</v>
      </c>
    </row>
    <row r="46" spans="3:46">
      <c r="C46" t="s">
        <v>120</v>
      </c>
      <c r="E46">
        <f>6*2.92*0.91351/10^4*1162700</f>
        <v>1860.865910904</v>
      </c>
      <c r="F46">
        <f>6*2.92/10^4*0.84025*1061900</f>
        <v>1563.2421041999999</v>
      </c>
      <c r="G46">
        <f>6*2.92*0.898/10^4*958800</f>
        <v>1508.4762048</v>
      </c>
      <c r="H46">
        <f>6*2.92*0.87/10^4*966321</f>
        <v>1472.90512104</v>
      </c>
      <c r="I46">
        <v>1298.365849516618</v>
      </c>
      <c r="J46">
        <v>1305.8983798863226</v>
      </c>
      <c r="K46">
        <v>1314.6153983466447</v>
      </c>
      <c r="L46">
        <v>1323.1555689151476</v>
      </c>
      <c r="M46">
        <v>1330.216254105786</v>
      </c>
      <c r="N46">
        <v>1336.3031767872624</v>
      </c>
      <c r="O46">
        <v>1341.722465892042</v>
      </c>
      <c r="P46">
        <v>1346.9910123101765</v>
      </c>
      <c r="Q46">
        <v>1351.9675686088622</v>
      </c>
      <c r="R46">
        <v>1357.1217117620079</v>
      </c>
      <c r="S46">
        <v>1362.2471039309842</v>
      </c>
      <c r="T46">
        <v>1367.3229807525261</v>
      </c>
      <c r="U46">
        <v>1372.2563335537254</v>
      </c>
      <c r="V46">
        <v>1377.3820662321032</v>
      </c>
      <c r="W46">
        <v>1382.3263757612256</v>
      </c>
      <c r="X46">
        <v>1387.14453351319</v>
      </c>
      <c r="Y46">
        <v>1391.8245091713204</v>
      </c>
      <c r="Z46">
        <v>1396.3511248306481</v>
      </c>
      <c r="AA46">
        <v>1400.8443606528265</v>
      </c>
      <c r="AB46">
        <v>1405.1527644646915</v>
      </c>
      <c r="AC46">
        <v>1409.2581950854242</v>
      </c>
      <c r="AD46">
        <v>1413.1441467314401</v>
      </c>
      <c r="AE46">
        <v>1416.7919428201626</v>
      </c>
      <c r="AF46">
        <v>1420.4110343169218</v>
      </c>
      <c r="AG46">
        <v>1423.7623938965385</v>
      </c>
      <c r="AH46">
        <v>1426.8298322617668</v>
      </c>
      <c r="AI46">
        <v>1429.6015711130153</v>
      </c>
      <c r="AJ46">
        <v>1432.0644370335842</v>
      </c>
      <c r="AK46">
        <v>1434.4974496878658</v>
      </c>
      <c r="AL46">
        <v>1436.5726788781647</v>
      </c>
      <c r="AM46">
        <v>1438.269210922605</v>
      </c>
      <c r="AN46">
        <v>1439.5660453019184</v>
      </c>
      <c r="AO46">
        <v>1440.4421193159999</v>
      </c>
      <c r="AP46">
        <v>1441.0876853392715</v>
      </c>
      <c r="AQ46">
        <v>1441.2734826398525</v>
      </c>
      <c r="AR46">
        <v>1440.978669807497</v>
      </c>
      <c r="AS46">
        <v>1440.1826696956034</v>
      </c>
      <c r="AT46">
        <v>1438.5811664977721</v>
      </c>
    </row>
    <row r="47" spans="3:46">
      <c r="C47" t="s">
        <v>121</v>
      </c>
      <c r="E47">
        <f>6*14.27*0.91351/10^4*7671000</f>
        <v>59998.516468020003</v>
      </c>
      <c r="F47">
        <f>6*14.27/10^4*0.84025*8406400</f>
        <v>60477.49521120001</v>
      </c>
      <c r="G47">
        <f>6*14.27*0.898/10^4*9070900</f>
        <v>69743.211128400013</v>
      </c>
      <c r="H47">
        <f>6*14.27*0.87/10^4*9046070</f>
        <v>67383.632665800003</v>
      </c>
      <c r="I47">
        <v>72652.298282773147</v>
      </c>
      <c r="J47">
        <v>73073.793998674475</v>
      </c>
      <c r="K47">
        <v>73561.569786640161</v>
      </c>
      <c r="L47">
        <v>74039.449746098166</v>
      </c>
      <c r="M47">
        <v>74434.542551983352</v>
      </c>
      <c r="N47">
        <v>74775.146798809044</v>
      </c>
      <c r="O47">
        <v>75078.392458472386</v>
      </c>
      <c r="P47">
        <v>75373.203051364559</v>
      </c>
      <c r="Q47">
        <v>75651.67483400405</v>
      </c>
      <c r="R47">
        <v>75940.083795079117</v>
      </c>
      <c r="S47">
        <v>76226.883945295107</v>
      </c>
      <c r="T47">
        <v>76510.913378927071</v>
      </c>
      <c r="U47">
        <v>76786.967635422116</v>
      </c>
      <c r="V47">
        <v>77073.786839428372</v>
      </c>
      <c r="W47">
        <v>77350.454198513573</v>
      </c>
      <c r="X47">
        <v>77620.062517539744</v>
      </c>
      <c r="Y47">
        <v>77881.938619408276</v>
      </c>
      <c r="Z47">
        <v>78135.233198294023</v>
      </c>
      <c r="AA47">
        <v>78386.659950876347</v>
      </c>
      <c r="AB47">
        <v>78627.744109843392</v>
      </c>
      <c r="AC47">
        <v>78857.470554163941</v>
      </c>
      <c r="AD47">
        <v>79074.915674276956</v>
      </c>
      <c r="AE47">
        <v>79279.03438982334</v>
      </c>
      <c r="AF47">
        <v>79481.54689046643</v>
      </c>
      <c r="AG47">
        <v>79669.077990365404</v>
      </c>
      <c r="AH47">
        <v>79840.721789497664</v>
      </c>
      <c r="AI47">
        <v>79995.819212814691</v>
      </c>
      <c r="AJ47">
        <v>80133.6331190864</v>
      </c>
      <c r="AK47">
        <v>80269.776534403747</v>
      </c>
      <c r="AL47">
        <v>80385.899559508616</v>
      </c>
      <c r="AM47">
        <v>80480.831933295907</v>
      </c>
      <c r="AN47">
        <v>80553.398535524611</v>
      </c>
      <c r="AO47">
        <v>80602.420766517942</v>
      </c>
      <c r="AP47">
        <v>80638.544525704478</v>
      </c>
      <c r="AQ47">
        <v>80648.941133799934</v>
      </c>
      <c r="AR47">
        <v>80632.444373782811</v>
      </c>
      <c r="AS47">
        <v>80587.902815959242</v>
      </c>
      <c r="AT47">
        <v>80498.287945025164</v>
      </c>
    </row>
  </sheetData>
  <mergeCells count="6">
    <mergeCell ref="B6:C6"/>
    <mergeCell ref="A1:C1"/>
    <mergeCell ref="A2:C2"/>
    <mergeCell ref="A3:C3"/>
    <mergeCell ref="A4:C4"/>
    <mergeCell ref="A5:C5"/>
  </mergeCells>
  <phoneticPr fontId="40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3"/>
  </sheetPr>
  <dimension ref="A1:AQ7"/>
  <sheetViews>
    <sheetView tabSelected="1" topLeftCell="K1" workbookViewId="0">
      <selection activeCell="AC2" sqref="AC2"/>
    </sheetView>
  </sheetViews>
  <sheetFormatPr defaultRowHeight="12.9"/>
  <cols>
    <col min="1" max="1" width="16.5" customWidth="1"/>
  </cols>
  <sheetData>
    <row r="1" spans="1:43" ht="77.45">
      <c r="A1" s="3" t="s">
        <v>10</v>
      </c>
      <c r="B1">
        <v>2019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  <c r="AH1">
        <v>2051</v>
      </c>
      <c r="AI1">
        <v>2052</v>
      </c>
      <c r="AJ1">
        <v>2053</v>
      </c>
      <c r="AK1">
        <v>2054</v>
      </c>
      <c r="AL1">
        <v>2055</v>
      </c>
      <c r="AM1">
        <v>2056</v>
      </c>
      <c r="AN1">
        <v>2057</v>
      </c>
      <c r="AO1">
        <v>2058</v>
      </c>
      <c r="AP1">
        <v>2059</v>
      </c>
      <c r="AQ1">
        <v>2060</v>
      </c>
    </row>
    <row r="2" spans="1:43">
      <c r="A2" t="s">
        <v>5</v>
      </c>
      <c r="B2">
        <f>passenger!E36</f>
        <v>1</v>
      </c>
      <c r="C2">
        <f>passenger!F36*1.05</f>
        <v>0.9783580099700907</v>
      </c>
      <c r="D2">
        <f>passenger!G36*1.05</f>
        <v>1.0347181088460071</v>
      </c>
      <c r="E2">
        <f>passenger!H36*1.02</f>
        <v>0.97397053202807859</v>
      </c>
      <c r="F2">
        <f>passenger!I36*1.4</f>
        <v>1.2998638774197417</v>
      </c>
      <c r="G2">
        <f>passenger!J36*1.4</f>
        <v>1.2825775359809459</v>
      </c>
      <c r="H2">
        <f>passenger!K36*1.4</f>
        <v>1.3494691297152879</v>
      </c>
      <c r="I2">
        <f>passenger!L36*1.35</f>
        <v>1.3603775432794745</v>
      </c>
      <c r="J2">
        <f>passenger!M36*1.34</f>
        <v>1.3950761012507182</v>
      </c>
      <c r="K2">
        <f>passenger!N36*1.32</f>
        <v>1.4089739718361713</v>
      </c>
      <c r="L2">
        <f>passenger!O36*1.3</f>
        <v>1.415126563414725</v>
      </c>
      <c r="M2">
        <f>passenger!P36*1.28</f>
        <v>1.4169204991691264</v>
      </c>
      <c r="N2">
        <f>passenger!Q36*1.27</f>
        <v>1.4252644588293304</v>
      </c>
      <c r="O2">
        <f>passenger!R36*1.26</f>
        <v>1.4314504904469749</v>
      </c>
      <c r="P2">
        <f>passenger!S36*1.25</f>
        <v>1.4346335523571507</v>
      </c>
      <c r="Q2">
        <f>passenger!T36*1.24</f>
        <v>1.4348909603758053</v>
      </c>
      <c r="R2">
        <f>passenger!U36*1.23</f>
        <v>1.4318558183859382</v>
      </c>
      <c r="S2">
        <f>passenger!V36*1.22</f>
        <v>1.4268784245253245</v>
      </c>
      <c r="T2">
        <f>passenger!W36*1.21</f>
        <v>1.4192326366067198</v>
      </c>
      <c r="U2">
        <f>passenger!X36*1.2</f>
        <v>1.409332283810889</v>
      </c>
      <c r="V2">
        <f>passenger!Y36*1.19</f>
        <v>1.3974233060286112</v>
      </c>
      <c r="W2">
        <f>passenger!Z36*1.18</f>
        <v>1.3837209664784482</v>
      </c>
      <c r="X2">
        <f>passenger!AA36*1.17</f>
        <v>1.3685529193967247</v>
      </c>
      <c r="Y2">
        <f>passenger!AB36*1.16</f>
        <v>1.351931068742668</v>
      </c>
      <c r="Z2">
        <f>passenger!AC36*1.15</f>
        <v>1.3340246514994527</v>
      </c>
      <c r="AA2">
        <f>passenger!AD36*1.14</f>
        <v>1.3150010837199086</v>
      </c>
      <c r="AB2">
        <f>passenger!AE36*1.13</f>
        <v>1.2949940516300735</v>
      </c>
      <c r="AC2">
        <f>passenger!AF36*1.12</f>
        <v>1.2741958640124251</v>
      </c>
      <c r="AD2">
        <f>passenger!AG36*1.1</f>
        <v>1.2413604644827851</v>
      </c>
      <c r="AE2">
        <f>passenger!AH36*1.08</f>
        <v>1.2080865020306473</v>
      </c>
      <c r="AF2">
        <f>passenger!AI36*1.06</f>
        <v>1.1745252462138409</v>
      </c>
      <c r="AG2">
        <f>passenger!AJ36*1.04</f>
        <v>1.1407976715231611</v>
      </c>
      <c r="AH2">
        <f>passenger!AK36*1.1</f>
        <v>1.1940335360586372</v>
      </c>
      <c r="AI2">
        <f>passenger!AL36</f>
        <v>1.073426035748577</v>
      </c>
      <c r="AJ2">
        <f>passenger!AM36</f>
        <v>1.0607539543804403</v>
      </c>
      <c r="AK2">
        <f>passenger!AN36</f>
        <v>1.0474713860956908</v>
      </c>
      <c r="AL2">
        <f>passenger!AO36</f>
        <v>1.0335746442302569</v>
      </c>
      <c r="AM2">
        <f>passenger!AP36</f>
        <v>1.019051278313561</v>
      </c>
      <c r="AN2">
        <f>passenger!AQ36</f>
        <v>1.0038884088115476</v>
      </c>
      <c r="AO2">
        <f>passenger!AR36</f>
        <v>0.98806988795540396</v>
      </c>
      <c r="AP2">
        <f>passenger!AS36</f>
        <v>0.97157615633255356</v>
      </c>
      <c r="AQ2">
        <f>passenger!AT36</f>
        <v>0.95439536050067719</v>
      </c>
    </row>
    <row r="3" spans="1:43">
      <c r="A3" t="s">
        <v>4</v>
      </c>
      <c r="B3">
        <f>passenger!E38</f>
        <v>1</v>
      </c>
      <c r="C3">
        <f>passenger!F38</f>
        <v>0.72638681616108225</v>
      </c>
      <c r="D3">
        <f>passenger!G38</f>
        <v>0.70959871205371039</v>
      </c>
      <c r="E3">
        <f>passenger!H38</f>
        <v>0.64426415785036162</v>
      </c>
      <c r="F3">
        <f>passenger!I38</f>
        <v>0.76400637311512787</v>
      </c>
      <c r="G3" s="81">
        <f>passenger!J38</f>
        <v>0.76112540281291752</v>
      </c>
      <c r="H3" s="81">
        <f>passenger!K38</f>
        <v>0.75782468436877115</v>
      </c>
      <c r="I3" s="81">
        <f>passenger!L38</f>
        <v>0.75462803352260688</v>
      </c>
      <c r="J3">
        <f>passenger!M38</f>
        <v>0.75201467523568954</v>
      </c>
      <c r="K3">
        <f>passenger!N38</f>
        <v>0.74978241667076462</v>
      </c>
      <c r="L3">
        <f>passenger!O38</f>
        <v>0.74781065381441392</v>
      </c>
      <c r="M3">
        <f>passenger!P38</f>
        <v>0.74590712379009938</v>
      </c>
      <c r="N3">
        <f>passenger!Q38</f>
        <v>0.74412124742575536</v>
      </c>
      <c r="O3">
        <f>passenger!R38</f>
        <v>0.74228341046450175</v>
      </c>
      <c r="P3">
        <f>passenger!S38</f>
        <v>0.74046782072253237</v>
      </c>
      <c r="Q3">
        <f>passenger!T38</f>
        <v>0.73868146091580356</v>
      </c>
      <c r="R3">
        <f>passenger!U38</f>
        <v>0.73733244555008315</v>
      </c>
      <c r="S3">
        <f>passenger!V38</f>
        <v>0.7359394272620593</v>
      </c>
      <c r="T3">
        <f>passenger!W38</f>
        <v>0.73460424937675406</v>
      </c>
      <c r="U3">
        <f>passenger!X38</f>
        <v>0.73331107933473672</v>
      </c>
      <c r="V3">
        <f>passenger!Y38</f>
        <v>0.73206243982074692</v>
      </c>
      <c r="W3">
        <f>passenger!Z38</f>
        <v>0.7308616437230282</v>
      </c>
      <c r="X3">
        <f>passenger!AA38</f>
        <v>0.72967629119409061</v>
      </c>
      <c r="Y3">
        <f>passenger!AB38</f>
        <v>0.72854591390634038</v>
      </c>
      <c r="Z3">
        <f>passenger!AC38</f>
        <v>0.72747441880342134</v>
      </c>
      <c r="AA3">
        <f>passenger!AD38</f>
        <v>0.72646524123387723</v>
      </c>
      <c r="AB3">
        <f>passenger!AE38</f>
        <v>0.72552235054387193</v>
      </c>
      <c r="AC3">
        <f>passenger!AF38</f>
        <v>0.72459098208099637</v>
      </c>
      <c r="AD3">
        <f>passenger!AG38</f>
        <v>0.72373225650774964</v>
      </c>
      <c r="AE3">
        <f>passenger!AH38</f>
        <v>0.72294943084835472</v>
      </c>
      <c r="AF3">
        <f>passenger!AI38</f>
        <v>0.72224465811758964</v>
      </c>
      <c r="AG3">
        <f>passenger!AJ38</f>
        <v>0.72162048953785374</v>
      </c>
      <c r="AH3">
        <f>passenger!AK38</f>
        <v>0.72100569154325145</v>
      </c>
      <c r="AI3">
        <f>passenger!AL38</f>
        <v>0.72048281540213144</v>
      </c>
      <c r="AJ3">
        <f>passenger!AM38</f>
        <v>0.72005640674696003</v>
      </c>
      <c r="AK3">
        <f>passenger!AN38</f>
        <v>0.71973111278304891</v>
      </c>
      <c r="AL3">
        <f>passenger!AO38</f>
        <v>0.71951169784308</v>
      </c>
      <c r="AM3">
        <f>passenger!AP38</f>
        <v>0.71935018149056595</v>
      </c>
      <c r="AN3">
        <f>passenger!AQ38</f>
        <v>0.71930373165674732</v>
      </c>
      <c r="AO3">
        <f>passenger!AR38</f>
        <v>0.71937741951021295</v>
      </c>
      <c r="AP3">
        <f>passenger!AS38</f>
        <v>0.71957644731960901</v>
      </c>
      <c r="AQ3">
        <f>passenger!AT38</f>
        <v>0.7199772554839079</v>
      </c>
    </row>
    <row r="4" spans="1:43">
      <c r="A4" t="s">
        <v>3</v>
      </c>
      <c r="B4">
        <f>passenger!E30</f>
        <v>1</v>
      </c>
      <c r="C4">
        <f>passenger!F30</f>
        <v>0.53918310508914769</v>
      </c>
      <c r="D4">
        <f>passenger!G30</f>
        <v>0.5578413197440476</v>
      </c>
      <c r="E4">
        <f>passenger!H30</f>
        <v>0.33436990081416113</v>
      </c>
      <c r="F4">
        <f>passenger!I30</f>
        <v>0.88071215603188302</v>
      </c>
      <c r="G4">
        <f>passenger!J30</f>
        <v>1.1033207179653663</v>
      </c>
      <c r="H4">
        <f>passenger!K30</f>
        <v>1.2495194484549734</v>
      </c>
      <c r="I4">
        <f>passenger!L30*1.02</f>
        <v>1.350581414143956</v>
      </c>
      <c r="J4">
        <f>passenger!M30*1.04</f>
        <v>1.4592560866260185</v>
      </c>
      <c r="K4">
        <f>passenger!N30*1.06</f>
        <v>1.5760921878438274</v>
      </c>
      <c r="L4">
        <f>passenger!O30*1.08</f>
        <v>1.7016768223026257</v>
      </c>
      <c r="M4">
        <f>passenger!P30*1.1</f>
        <v>1.836638104106687</v>
      </c>
      <c r="N4">
        <f>passenger!Q30*1.15</f>
        <v>2.0023180722773808</v>
      </c>
      <c r="O4">
        <f>passenger!R30*1.14</f>
        <v>2.069876338126575</v>
      </c>
      <c r="P4">
        <f>passenger!S30*1.1</f>
        <v>2.0827471817778784</v>
      </c>
      <c r="Q4">
        <f>passenger!T30*1.06</f>
        <v>2.0929268875409308</v>
      </c>
      <c r="R4">
        <f>passenger!U30*1.02</f>
        <v>2.100161465319129</v>
      </c>
      <c r="S4">
        <f>passenger!V30*1.02</f>
        <v>2.1070008350032232</v>
      </c>
      <c r="T4">
        <f>passenger!W30*1.015</f>
        <v>2.1035004067568117</v>
      </c>
      <c r="U4">
        <f>passenger!X30*1.01</f>
        <v>2.0999548340020144</v>
      </c>
      <c r="V4">
        <f>passenger!Y30*1.01</f>
        <v>2.1067935307721499</v>
      </c>
      <c r="W4">
        <f>passenger!Z30*1.01</f>
        <v>2.1136544983896184</v>
      </c>
      <c r="X4">
        <f>passenger!AA30*1.01</f>
        <v>2.1247206421089015</v>
      </c>
      <c r="Y4">
        <f>passenger!AB30*1.01</f>
        <v>2.1358447231764641</v>
      </c>
      <c r="Z4">
        <f>passenger!AC30*1.01</f>
        <v>2.1470270449261877</v>
      </c>
      <c r="AA4">
        <f>passenger!AD30*1.01</f>
        <v>2.1582679122800736</v>
      </c>
      <c r="AB4">
        <f>passenger!AE30*1.01</f>
        <v>2.1695676317565549</v>
      </c>
      <c r="AC4">
        <f>passenger!AF30*1.01</f>
        <v>2.1553879499100379</v>
      </c>
      <c r="AD4">
        <f>passenger!AG30*1.01</f>
        <v>2.1413009424629381</v>
      </c>
      <c r="AE4">
        <f>passenger!AH30*1.01</f>
        <v>2.1273060037215323</v>
      </c>
      <c r="AF4">
        <f>passenger!AI30*1.01</f>
        <v>2.1134025319507375</v>
      </c>
      <c r="AG4">
        <f>passenger!AJ30*1.01</f>
        <v>2.0995899293482441</v>
      </c>
      <c r="AH4">
        <f>passenger!AK30*1.01</f>
        <v>2.0523116786057041</v>
      </c>
      <c r="AI4">
        <f>passenger!AL30*1.01</f>
        <v>2.0060980324138105</v>
      </c>
      <c r="AJ4">
        <f>passenger!AM30*1.01</f>
        <v>1.9609250181671583</v>
      </c>
      <c r="AK4">
        <f>passenger!AN30*1.01</f>
        <v>1.9167692030718722</v>
      </c>
      <c r="AL4">
        <f>passenger!AO30*1.01</f>
        <v>1.8736076819902099</v>
      </c>
      <c r="AM4">
        <f>passenger!AP30*1.01</f>
        <v>1.8141804595535331</v>
      </c>
      <c r="AN4">
        <f>passenger!AQ30*1.01</f>
        <v>1.7566381540076681</v>
      </c>
      <c r="AO4">
        <f>passenger!AR30*1.01</f>
        <v>1.7009209794238844</v>
      </c>
      <c r="AP4">
        <f>passenger!AS30*1.01</f>
        <v>1.6469710461678138</v>
      </c>
      <c r="AQ4">
        <f>passenger!AT30*1.01</f>
        <v>1.5947323007526506</v>
      </c>
    </row>
    <row r="5" spans="1:43">
      <c r="A5" t="s">
        <v>6</v>
      </c>
      <c r="B5">
        <f>passenger!E32</f>
        <v>1</v>
      </c>
      <c r="C5">
        <f>passenger!F32</f>
        <v>0.56207417078046595</v>
      </c>
      <c r="D5">
        <f>passenger!G32</f>
        <v>0.65057865176179397</v>
      </c>
      <c r="E5">
        <f>passenger!H32</f>
        <v>0.44724817428909469</v>
      </c>
      <c r="F5">
        <f>passenger!I32</f>
        <v>1.0015503243441719</v>
      </c>
      <c r="G5">
        <f>passenger!J32</f>
        <v>1.0742863748249085</v>
      </c>
      <c r="H5">
        <f>passenger!K32</f>
        <v>1.0609864571130831</v>
      </c>
      <c r="I5">
        <f>passenger!L32</f>
        <v>1.092014418521257</v>
      </c>
      <c r="J5">
        <f>passenger!M32</f>
        <v>1.1239497754788206</v>
      </c>
      <c r="K5">
        <f>passenger!N32</f>
        <v>1.156819064266138</v>
      </c>
      <c r="L5">
        <f>passenger!O32</f>
        <v>1.1906495972023974</v>
      </c>
      <c r="M5">
        <f>passenger!P32</f>
        <v>1.2254694853404384</v>
      </c>
      <c r="N5">
        <f>passenger!Q32</f>
        <v>1.2613076618252728</v>
      </c>
      <c r="O5">
        <f>passenger!R32</f>
        <v>1.2981939059357173</v>
      </c>
      <c r="P5">
        <f>passenger!S32</f>
        <v>1.3361588678291063</v>
      </c>
      <c r="Q5">
        <f>passenger!T32</f>
        <v>1.3752340940096532</v>
      </c>
      <c r="R5">
        <f>passenger!U32</f>
        <v>1.415452053541618</v>
      </c>
      <c r="S5">
        <f>passenger!V32</f>
        <v>1.4437610946124506</v>
      </c>
      <c r="T5">
        <f>passenger!W32</f>
        <v>1.4726363165046996</v>
      </c>
      <c r="U5">
        <f>passenger!X32</f>
        <v>1.5020890428347937</v>
      </c>
      <c r="V5">
        <f>passenger!Y32</f>
        <v>1.5321308236914897</v>
      </c>
      <c r="W5">
        <f>passenger!Z32</f>
        <v>1.5627734401653193</v>
      </c>
      <c r="X5">
        <f>passenger!AA32</f>
        <v>1.5940289089686257</v>
      </c>
      <c r="Y5">
        <f>passenger!AB32</f>
        <v>1.6259094871479984</v>
      </c>
      <c r="Z5">
        <f>passenger!AC32</f>
        <v>1.6584276768909583</v>
      </c>
      <c r="AA5">
        <f>passenger!AD32</f>
        <v>1.6915962304287775</v>
      </c>
      <c r="AB5">
        <f>passenger!AE32</f>
        <v>1.7254281550373531</v>
      </c>
      <c r="AC5">
        <f>passenger!AF32</f>
        <v>1.7426824365877267</v>
      </c>
      <c r="AD5">
        <f>passenger!AG32</f>
        <v>1.760109260953604</v>
      </c>
      <c r="AE5">
        <f>passenger!AH32</f>
        <v>1.77771035356314</v>
      </c>
      <c r="AF5">
        <f>passenger!AI32</f>
        <v>1.7954874570987716</v>
      </c>
      <c r="AG5">
        <f>passenger!AJ32</f>
        <v>1.8134423316697592</v>
      </c>
      <c r="AH5">
        <f>passenger!AK32</f>
        <v>1.8315767549864568</v>
      </c>
      <c r="AI5">
        <f>passenger!AL32</f>
        <v>1.8498925225363214</v>
      </c>
      <c r="AJ5">
        <f>passenger!AM32</f>
        <v>1.8683914477616848</v>
      </c>
      <c r="AK5">
        <f>passenger!AN32</f>
        <v>1.8870753622393015</v>
      </c>
      <c r="AL5">
        <f>passenger!AO32</f>
        <v>1.8870753622393015</v>
      </c>
      <c r="AM5">
        <f>passenger!AP32</f>
        <v>1.8965107390504978</v>
      </c>
      <c r="AN5">
        <f>passenger!AQ32</f>
        <v>1.9059932927457501</v>
      </c>
      <c r="AO5">
        <f>passenger!AR32</f>
        <v>1.9155232592094786</v>
      </c>
      <c r="AP5">
        <f>passenger!AS32</f>
        <v>1.9251008755055259</v>
      </c>
      <c r="AQ5">
        <f>passenger!AT32</f>
        <v>1.9347263798830534</v>
      </c>
    </row>
    <row r="6" spans="1:43">
      <c r="A6" t="s">
        <v>7</v>
      </c>
      <c r="B6">
        <f>passenger!E34</f>
        <v>1</v>
      </c>
      <c r="C6">
        <f>passenger!F34</f>
        <v>0.41147132169576056</v>
      </c>
      <c r="D6">
        <f>passenger!G34</f>
        <v>0.41271820448877805</v>
      </c>
      <c r="E6">
        <f>passenger!H34</f>
        <v>0.28179551122194513</v>
      </c>
      <c r="F6">
        <f>passenger!I34</f>
        <v>0.67082294264339148</v>
      </c>
      <c r="G6">
        <f>passenger!J34</f>
        <v>0.68204488778054861</v>
      </c>
      <c r="H6">
        <f>passenger!K34</f>
        <v>0.69792418952618451</v>
      </c>
      <c r="I6">
        <f>passenger!L34</f>
        <v>0.71188267331670829</v>
      </c>
      <c r="J6">
        <f>passenger!M34</f>
        <v>0.72612032678304239</v>
      </c>
      <c r="K6">
        <f>passenger!N34</f>
        <v>0.74064273331870334</v>
      </c>
      <c r="L6">
        <f>passenger!O34</f>
        <v>0.75545558798507739</v>
      </c>
      <c r="M6">
        <f>passenger!P34</f>
        <v>0.77056469974477904</v>
      </c>
      <c r="N6">
        <f>passenger!Q34</f>
        <v>0.78597599373967464</v>
      </c>
      <c r="O6">
        <f>passenger!R34</f>
        <v>0.80169551361446811</v>
      </c>
      <c r="P6">
        <f>passenger!S34</f>
        <v>0.81772942388675751</v>
      </c>
      <c r="Q6">
        <f>passenger!T34</f>
        <v>0.83408401236449281</v>
      </c>
      <c r="R6">
        <f>passenger!U34</f>
        <v>0.85076569261178281</v>
      </c>
      <c r="S6">
        <f>passenger!V34</f>
        <v>0.85501952107484169</v>
      </c>
      <c r="T6">
        <f>passenger!W34</f>
        <v>0.85929461868021584</v>
      </c>
      <c r="U6">
        <f>passenger!X34</f>
        <v>0.86359109177361681</v>
      </c>
      <c r="V6">
        <f>passenger!Y34</f>
        <v>0.86790904723248463</v>
      </c>
      <c r="W6">
        <f>passenger!Z34</f>
        <v>0.87224859246864705</v>
      </c>
      <c r="X6">
        <f>passenger!AA34</f>
        <v>0.87660983543099025</v>
      </c>
      <c r="Y6">
        <f>passenger!AB34</f>
        <v>0.88099288460814518</v>
      </c>
      <c r="Z6">
        <f>passenger!AC34</f>
        <v>0.88539784903118579</v>
      </c>
      <c r="AA6">
        <f>passenger!AD34</f>
        <v>0.88982483827634162</v>
      </c>
      <c r="AB6">
        <f>passenger!AE34</f>
        <v>0.89427396246772328</v>
      </c>
      <c r="AC6">
        <f>passenger!AF34</f>
        <v>0.89606251039265872</v>
      </c>
      <c r="AD6">
        <f>passenger!AG34</f>
        <v>0.89785463541344412</v>
      </c>
      <c r="AE6">
        <f>passenger!AH34</f>
        <v>0.89965034468427085</v>
      </c>
      <c r="AF6">
        <f>passenger!AI34</f>
        <v>0.90144964537363936</v>
      </c>
      <c r="AG6">
        <f>passenger!AJ34</f>
        <v>0.90325254466438676</v>
      </c>
      <c r="AH6">
        <f>passenger!AK34</f>
        <v>0.90505904975371543</v>
      </c>
      <c r="AI6">
        <f>passenger!AL34</f>
        <v>0.90686916785322291</v>
      </c>
      <c r="AJ6">
        <f>passenger!AM34</f>
        <v>0.90868290618892933</v>
      </c>
      <c r="AK6">
        <f>passenger!AN34</f>
        <v>0.91050027200130723</v>
      </c>
      <c r="AL6">
        <f>passenger!AO34</f>
        <v>0.91050027200130723</v>
      </c>
      <c r="AM6">
        <f>passenger!AP34</f>
        <v>0.91232127254530981</v>
      </c>
      <c r="AN6">
        <f>passenger!AQ34</f>
        <v>0.91414591509040033</v>
      </c>
      <c r="AO6">
        <f>passenger!AR34</f>
        <v>0.91597420692058129</v>
      </c>
      <c r="AP6">
        <f>passenger!AS34</f>
        <v>0.91780615533442234</v>
      </c>
      <c r="AQ6">
        <f>passenger!AT34</f>
        <v>0.9196417676450912</v>
      </c>
    </row>
    <row r="7" spans="1:43">
      <c r="A7" t="s">
        <v>8</v>
      </c>
      <c r="B7">
        <v>1</v>
      </c>
      <c r="C7">
        <f>1</f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  <c r="AL7">
        <v>1</v>
      </c>
      <c r="AM7">
        <v>1</v>
      </c>
      <c r="AN7">
        <v>1</v>
      </c>
      <c r="AO7">
        <v>1</v>
      </c>
      <c r="AP7">
        <v>1</v>
      </c>
      <c r="AQ7" cm="1">
        <f t="array" ref="AQ7">TREND(R7:AP7,$R$1:$AP$1,$AQ$1,TRUE)</f>
        <v>1</v>
      </c>
    </row>
  </sheetData>
  <phoneticPr fontId="40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3"/>
  </sheetPr>
  <dimension ref="A1:AQ24"/>
  <sheetViews>
    <sheetView workbookViewId="0">
      <selection activeCell="D4" sqref="D4"/>
    </sheetView>
  </sheetViews>
  <sheetFormatPr defaultRowHeight="12.9"/>
  <cols>
    <col min="1" max="1" width="16.5" customWidth="1"/>
  </cols>
  <sheetData>
    <row r="1" spans="1:43" ht="77.45">
      <c r="A1" s="3" t="s">
        <v>10</v>
      </c>
      <c r="B1">
        <v>2019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  <c r="AH1">
        <v>2051</v>
      </c>
      <c r="AI1">
        <v>2052</v>
      </c>
      <c r="AJ1">
        <v>2053</v>
      </c>
      <c r="AK1">
        <v>2054</v>
      </c>
      <c r="AL1">
        <v>2055</v>
      </c>
      <c r="AM1">
        <v>2056</v>
      </c>
      <c r="AN1">
        <v>2057</v>
      </c>
      <c r="AO1">
        <v>2058</v>
      </c>
      <c r="AP1">
        <v>2059</v>
      </c>
      <c r="AQ1">
        <v>2060</v>
      </c>
    </row>
    <row r="2" spans="1:43">
      <c r="A2" t="s">
        <v>5</v>
      </c>
      <c r="B2">
        <f>freight!AK21</f>
        <v>1</v>
      </c>
      <c r="C2">
        <v>1</v>
      </c>
      <c r="D2">
        <f>freight!AM21</f>
        <v>1.057595536783396</v>
      </c>
      <c r="E2">
        <f>freight!AN21</f>
        <v>1.0863933051750942</v>
      </c>
      <c r="F2">
        <f>freight!AO21</f>
        <v>1.1151910735667925</v>
      </c>
      <c r="G2">
        <f>freight!AP21</f>
        <v>1.1439888419584905</v>
      </c>
      <c r="H2">
        <f>freight!AQ21</f>
        <v>1.1727866103501885</v>
      </c>
      <c r="I2">
        <f>freight!AR21</f>
        <v>1.2015843787418867</v>
      </c>
      <c r="J2">
        <f>freight!AS21</f>
        <v>1.2303821471335847</v>
      </c>
      <c r="K2">
        <f>freight!AT21</f>
        <v>1.2591799155252827</v>
      </c>
      <c r="L2">
        <f>freight!AU21</f>
        <v>1.2879776839169812</v>
      </c>
      <c r="M2">
        <f>freight!AV21</f>
        <v>1.3059262761573727</v>
      </c>
      <c r="N2">
        <f>freight!AW21</f>
        <v>1.3238748683977639</v>
      </c>
      <c r="O2">
        <f>freight!AX21</f>
        <v>1.3418234606381554</v>
      </c>
      <c r="P2">
        <f>freight!AY21</f>
        <v>1.3597720528785471</v>
      </c>
      <c r="Q2">
        <f>freight!AZ21</f>
        <v>1.3777206451189385</v>
      </c>
      <c r="R2">
        <f>freight!BA21</f>
        <v>1.3956692373593298</v>
      </c>
      <c r="S2">
        <f>freight!BB21</f>
        <v>1.4136178295997215</v>
      </c>
      <c r="T2">
        <f>freight!BC21</f>
        <v>1.431566421840113</v>
      </c>
      <c r="U2">
        <f>freight!BD21</f>
        <v>1.4495150140805042</v>
      </c>
      <c r="V2">
        <f>freight!BE21</f>
        <v>1.4674636063208959</v>
      </c>
      <c r="W2">
        <f>freight!BF21</f>
        <v>1.4800940971567269</v>
      </c>
      <c r="X2">
        <f>freight!BG21</f>
        <v>1.4927245879925579</v>
      </c>
      <c r="Y2">
        <f>freight!BH21</f>
        <v>1.5053550788283889</v>
      </c>
      <c r="Z2">
        <f>freight!BI21</f>
        <v>1.5179855696642199</v>
      </c>
      <c r="AA2">
        <f>freight!BJ21</f>
        <v>1.5306160605000509</v>
      </c>
      <c r="AB2">
        <f>freight!BK21</f>
        <v>1.543246551335882</v>
      </c>
      <c r="AC2">
        <f>freight!BL21</f>
        <v>1.555877042171713</v>
      </c>
      <c r="AD2">
        <f>freight!BM21</f>
        <v>1.568507533007544</v>
      </c>
      <c r="AE2">
        <f>freight!BN21</f>
        <v>1.5811380238433754</v>
      </c>
      <c r="AF2">
        <f>freight!BO21</f>
        <v>1.5937685146792064</v>
      </c>
      <c r="AG2">
        <f>freight!BP21</f>
        <v>1.5972585187259489</v>
      </c>
      <c r="AH2">
        <f>freight!BQ21</f>
        <v>1.6007485227726919</v>
      </c>
      <c r="AI2">
        <f>freight!BR21</f>
        <v>1.6042385268194346</v>
      </c>
      <c r="AJ2">
        <f>freight!BS21</f>
        <v>1.6077285308661775</v>
      </c>
      <c r="AK2">
        <f>freight!BT21</f>
        <v>1.6112185349129202</v>
      </c>
      <c r="AL2">
        <f>freight!BU21</f>
        <v>1.6147085389596629</v>
      </c>
      <c r="AM2">
        <f>freight!BV21</f>
        <v>1.6181985430064059</v>
      </c>
      <c r="AN2">
        <f>freight!BW21</f>
        <v>1.6216885470531488</v>
      </c>
      <c r="AO2">
        <f>freight!BX21</f>
        <v>1.6251785510998913</v>
      </c>
      <c r="AP2">
        <f>freight!BY21</f>
        <v>1.6286685551466342</v>
      </c>
      <c r="AQ2" cm="1">
        <f t="array" ref="AQ2">TREND(R2:AP2,$R$1:$AP$1,$AQ$1,TRUE)</f>
        <v>1.6710721043145611</v>
      </c>
    </row>
    <row r="3" spans="1:43">
      <c r="A3" t="s">
        <v>4</v>
      </c>
      <c r="B3">
        <f>freight!AK22</f>
        <v>1</v>
      </c>
      <c r="C3">
        <v>1</v>
      </c>
      <c r="D3">
        <f>freight!AM22*0.95</f>
        <v>1.0047157599442265</v>
      </c>
      <c r="E3">
        <f>freight!AN22</f>
        <v>1.0863933051750942</v>
      </c>
      <c r="F3">
        <f>freight!AO22</f>
        <v>1.1151910735667925</v>
      </c>
      <c r="G3">
        <f>freight!AP22</f>
        <v>1.1439888419584905</v>
      </c>
      <c r="H3">
        <f>freight!AQ22</f>
        <v>1.1727866103501885</v>
      </c>
      <c r="I3">
        <f>freight!AR22</f>
        <v>1.2015843787418865</v>
      </c>
      <c r="J3">
        <f>freight!AS22</f>
        <v>1.2303821471335847</v>
      </c>
      <c r="K3">
        <f>freight!AT22</f>
        <v>1.259179915525283</v>
      </c>
      <c r="L3">
        <f>freight!AU22</f>
        <v>1.2879776839169812</v>
      </c>
      <c r="M3">
        <f>freight!AV22</f>
        <v>1.3059262761573727</v>
      </c>
      <c r="N3">
        <f>freight!AW22</f>
        <v>1.3238748683977639</v>
      </c>
      <c r="O3">
        <f>freight!AX22</f>
        <v>1.3418234606381556</v>
      </c>
      <c r="P3">
        <f>freight!AY22</f>
        <v>1.3597720528785471</v>
      </c>
      <c r="Q3">
        <f>freight!AZ22</f>
        <v>1.3777206451189385</v>
      </c>
      <c r="R3">
        <f>freight!BA22</f>
        <v>1.3956692373593298</v>
      </c>
      <c r="S3">
        <f>freight!BB22</f>
        <v>1.4136178295997213</v>
      </c>
      <c r="T3">
        <f>freight!BC22</f>
        <v>1.431566421840113</v>
      </c>
      <c r="U3">
        <f>freight!BD22</f>
        <v>1.4495150140805044</v>
      </c>
      <c r="V3">
        <f>freight!BE22</f>
        <v>1.4674636063208959</v>
      </c>
      <c r="W3">
        <f>freight!BF22</f>
        <v>1.4800940971567269</v>
      </c>
      <c r="X3">
        <f>freight!BG22</f>
        <v>1.4927245879925581</v>
      </c>
      <c r="Y3">
        <f>freight!BH22</f>
        <v>1.5053550788283889</v>
      </c>
      <c r="Z3">
        <f>freight!BI22</f>
        <v>1.5179855696642202</v>
      </c>
      <c r="AA3">
        <f>freight!BJ22</f>
        <v>1.5306160605000512</v>
      </c>
      <c r="AB3">
        <f>freight!BK22</f>
        <v>1.543246551335882</v>
      </c>
      <c r="AC3">
        <f>freight!BL22</f>
        <v>1.5558770421717132</v>
      </c>
      <c r="AD3">
        <f>freight!BM22</f>
        <v>1.5685075330075442</v>
      </c>
      <c r="AE3">
        <f>freight!BN22</f>
        <v>1.5811380238433754</v>
      </c>
      <c r="AF3">
        <f>freight!BO22</f>
        <v>1.5937685146792062</v>
      </c>
      <c r="AG3">
        <f>freight!BP22</f>
        <v>1.5972585187259492</v>
      </c>
      <c r="AH3">
        <f>freight!BQ22</f>
        <v>1.6007485227726919</v>
      </c>
      <c r="AI3">
        <f>freight!BR22</f>
        <v>1.6042385268194348</v>
      </c>
      <c r="AJ3">
        <f>freight!BS22</f>
        <v>1.6077285308661775</v>
      </c>
      <c r="AK3">
        <f>freight!BT22</f>
        <v>1.6112185349129202</v>
      </c>
      <c r="AL3">
        <f>freight!BU22</f>
        <v>1.6147085389596629</v>
      </c>
      <c r="AM3">
        <f>freight!BV22</f>
        <v>1.6181985430064059</v>
      </c>
      <c r="AN3">
        <f>freight!BW22</f>
        <v>1.6216885470531486</v>
      </c>
      <c r="AO3">
        <f>freight!BX22</f>
        <v>1.6251785510998915</v>
      </c>
      <c r="AP3">
        <f>freight!BY22</f>
        <v>1.6286685551466342</v>
      </c>
      <c r="AQ3" cm="1">
        <f t="array" ref="AQ3">TREND(R3:AP3,$R$1:$AP$1,$AQ$1,TRUE)</f>
        <v>1.6710721043145611</v>
      </c>
    </row>
    <row r="4" spans="1:43">
      <c r="A4" t="s">
        <v>3</v>
      </c>
      <c r="B4">
        <f>freight!E32</f>
        <v>1</v>
      </c>
      <c r="C4">
        <f>freight!F32</f>
        <v>0.91261398176291797</v>
      </c>
      <c r="D4">
        <f>freight!G32</f>
        <v>1.0568389057750762</v>
      </c>
      <c r="E4">
        <f>freight!H32</f>
        <v>0.96542553191489366</v>
      </c>
      <c r="F4">
        <f>freight!I32</f>
        <v>1.0775835866261398</v>
      </c>
      <c r="G4">
        <f>freight!J32</f>
        <v>1.3445668693009118</v>
      </c>
      <c r="H4">
        <f>freight!K32</f>
        <v>1.3984176791404332</v>
      </c>
      <c r="I4">
        <f>freight!L32*1.02</f>
        <v>1.4819836471950065</v>
      </c>
      <c r="J4">
        <f>freight!M32*1.04</f>
        <v>1.5594219166732097</v>
      </c>
      <c r="K4">
        <f>freight!N32*1.06</f>
        <v>1.6330486094795564</v>
      </c>
      <c r="L4">
        <f>freight!O32*1.08</f>
        <v>1.7043469127667845</v>
      </c>
      <c r="M4">
        <f>freight!P32*1.1</f>
        <v>1.7768072906740804</v>
      </c>
      <c r="N4">
        <f>freight!Q32*1.12</f>
        <v>1.8492162726981716</v>
      </c>
      <c r="O4">
        <f>freight!R32*1.1</f>
        <v>1.8577381242923523</v>
      </c>
      <c r="P4">
        <f>freight!S32*1.08</f>
        <v>1.8652919917105339</v>
      </c>
      <c r="Q4">
        <f>freight!T32*1.06</f>
        <v>1.8716789463530799</v>
      </c>
      <c r="R4">
        <f>freight!U32*1.04</f>
        <v>1.8761182774104475</v>
      </c>
      <c r="S4">
        <f>freight!V32*1.02</f>
        <v>1.8812772138251508</v>
      </c>
      <c r="T4">
        <f>freight!W32</f>
        <v>1.8841136199395006</v>
      </c>
      <c r="U4">
        <f>freight!X32</f>
        <v>1.9235165719601217</v>
      </c>
      <c r="V4">
        <f>freight!Y32</f>
        <v>1.9624541614497415</v>
      </c>
      <c r="W4">
        <f>freight!Z32</f>
        <v>2.0007489709435924</v>
      </c>
      <c r="X4">
        <f>freight!AA32</f>
        <v>2.0393775226920829</v>
      </c>
      <c r="Y4">
        <f>freight!AB32</f>
        <v>2.0770110905861077</v>
      </c>
      <c r="Z4">
        <f>freight!AC32</f>
        <v>2.1134214730578313</v>
      </c>
      <c r="AA4">
        <f>freight!AD32</f>
        <v>2.1483873310415347</v>
      </c>
      <c r="AB4">
        <f>freight!AE32</f>
        <v>2.1816615540060962</v>
      </c>
      <c r="AC4">
        <f>freight!AF32</f>
        <v>2.2150989241955128</v>
      </c>
      <c r="AD4">
        <f>freight!AG32</f>
        <v>2.2464571415849068</v>
      </c>
      <c r="AE4">
        <f>freight!AH32</f>
        <v>2.2754965466913193</v>
      </c>
      <c r="AF4">
        <f>freight!AI32</f>
        <v>2.3020186253936443</v>
      </c>
      <c r="AG4">
        <f>freight!AJ32</f>
        <v>2.325813632347574</v>
      </c>
      <c r="AH4">
        <f>freight!AK32</f>
        <v>2.3495223448300533</v>
      </c>
      <c r="AI4">
        <f>freight!AL32</f>
        <v>2.3699160960534305</v>
      </c>
      <c r="AJ4">
        <f>freight!AM32</f>
        <v>2.3867087247538286</v>
      </c>
      <c r="AK4">
        <f>freight!AN32</f>
        <v>2.3996207689142492</v>
      </c>
      <c r="AL4">
        <f>freight!AO32</f>
        <v>2.4083827652373375</v>
      </c>
      <c r="AM4">
        <f>freight!AP32</f>
        <v>2.4148589855453437</v>
      </c>
      <c r="AN4">
        <f>freight!AQ32</f>
        <v>2.4167270506965299</v>
      </c>
      <c r="AO4">
        <f>freight!AR32</f>
        <v>2.413760998151631</v>
      </c>
      <c r="AP4">
        <f>freight!AS32</f>
        <v>2.4057607935759342</v>
      </c>
      <c r="AQ4">
        <f>freight!AT32</f>
        <v>2.3897093564136922</v>
      </c>
    </row>
    <row r="5" spans="1:43">
      <c r="A5" t="s">
        <v>6</v>
      </c>
      <c r="B5">
        <f>freight!E35</f>
        <v>1</v>
      </c>
      <c r="C5">
        <f>freight!F35</f>
        <v>1.011016499900603</v>
      </c>
      <c r="D5">
        <f>freight!G35</f>
        <v>1.1012524020939634</v>
      </c>
      <c r="E5">
        <f>freight!H35</f>
        <v>1.1909648134649791</v>
      </c>
      <c r="F5">
        <f>freight!I35</f>
        <v>1.2080180239878073</v>
      </c>
      <c r="G5">
        <f>freight!J35</f>
        <v>1.1881883241667219</v>
      </c>
      <c r="H5">
        <f>freight!K35</f>
        <v>1.2796368696574116</v>
      </c>
      <c r="I5">
        <f>freight!L35</f>
        <v>1.3000972101576365</v>
      </c>
      <c r="J5">
        <f>freight!M35</f>
        <v>1.3208846946651276</v>
      </c>
      <c r="K5">
        <f>freight!N35</f>
        <v>1.3420045539433456</v>
      </c>
      <c r="L5">
        <f>freight!O35</f>
        <v>1.3634621023913551</v>
      </c>
      <c r="M5">
        <f>freight!P35</f>
        <v>1.3852627393810881</v>
      </c>
      <c r="N5">
        <f>freight!Q35</f>
        <v>1.4024001985177346</v>
      </c>
      <c r="O5">
        <f>freight!R35</f>
        <v>1.4197496697855898</v>
      </c>
      <c r="P5">
        <f>freight!S35</f>
        <v>1.4373137760439365</v>
      </c>
      <c r="Q5">
        <f>freight!T35</f>
        <v>1.4550951726001573</v>
      </c>
      <c r="R5">
        <f>freight!U35</f>
        <v>1.473096547611159</v>
      </c>
      <c r="S5">
        <f>freight!V35</f>
        <v>1.4962458636742006</v>
      </c>
      <c r="T5">
        <f>freight!W35</f>
        <v>1.5197589650132688</v>
      </c>
      <c r="U5">
        <f>freight!X35</f>
        <v>1.5436415684161378</v>
      </c>
      <c r="V5">
        <f>freight!Y35</f>
        <v>1.5678994805083644</v>
      </c>
      <c r="W5">
        <f>freight!Z35</f>
        <v>1.5925385991650653</v>
      </c>
      <c r="X5">
        <f>freight!AA35</f>
        <v>1.6030348042389713</v>
      </c>
      <c r="Y5">
        <f>freight!AB35</f>
        <v>1.6136001883714015</v>
      </c>
      <c r="Z5">
        <f>freight!AC35</f>
        <v>1.6242352075121114</v>
      </c>
      <c r="AA5">
        <f>freight!AD35</f>
        <v>1.6349403206159592</v>
      </c>
      <c r="AB5">
        <f>freight!AE35</f>
        <v>1.6457159896627129</v>
      </c>
      <c r="AC5">
        <f>freight!AF35</f>
        <v>1.6562230699223925</v>
      </c>
      <c r="AD5">
        <f>freight!AG35</f>
        <v>1.6667972326776406</v>
      </c>
      <c r="AE5">
        <f>freight!AH35</f>
        <v>1.6774389062169159</v>
      </c>
      <c r="AF5">
        <f>freight!AI35</f>
        <v>1.6881485215630867</v>
      </c>
      <c r="AG5">
        <f>freight!AJ35</f>
        <v>1.6989265124908886</v>
      </c>
      <c r="AH5">
        <f>freight!AK35</f>
        <v>1.7108190159507748</v>
      </c>
      <c r="AI5">
        <f>freight!AL35</f>
        <v>1.7227947670599872</v>
      </c>
      <c r="AJ5">
        <f>freight!AM35</f>
        <v>1.7348543485529475</v>
      </c>
      <c r="AK5">
        <f>freight!AN35</f>
        <v>1.7469983472432233</v>
      </c>
      <c r="AL5">
        <f>freight!AO35</f>
        <v>1.759227354052084</v>
      </c>
      <c r="AM5">
        <f>freight!AP35</f>
        <v>1.7711254895080797</v>
      </c>
      <c r="AN5">
        <f>freight!AQ35</f>
        <v>1.7831040953063555</v>
      </c>
      <c r="AO5">
        <f>freight!AR35</f>
        <v>1.7951637156898317</v>
      </c>
      <c r="AP5">
        <f>freight!AS35</f>
        <v>1.8073048985822924</v>
      </c>
      <c r="AQ5">
        <f>freight!AT35</f>
        <v>1.8195281956132794</v>
      </c>
    </row>
    <row r="6" spans="1:43">
      <c r="A6" t="s">
        <v>7</v>
      </c>
      <c r="B6">
        <f>freight!E37</f>
        <v>1</v>
      </c>
      <c r="C6">
        <f>freight!F37</f>
        <v>1.0180006348412416</v>
      </c>
      <c r="D6">
        <f>freight!G37</f>
        <v>1.1117176303107836</v>
      </c>
      <c r="E6">
        <f>freight!H37</f>
        <v>1.1639054278926158</v>
      </c>
      <c r="F6">
        <f>freight!I37</f>
        <v>1.2499783576849457</v>
      </c>
      <c r="G6">
        <f>freight!J37</f>
        <v>1.3603195367582697</v>
      </c>
      <c r="H6">
        <f>freight!K37</f>
        <v>1.3952928673681615</v>
      </c>
      <c r="I6">
        <f>freight!L37*1.02</f>
        <v>1.4489910441130174</v>
      </c>
      <c r="J6">
        <f>freight!M37*1.04</f>
        <v>1.5041772781962843</v>
      </c>
      <c r="K6">
        <f>freight!N37*1.06</f>
        <v>1.5608878687219636</v>
      </c>
      <c r="L6">
        <f>freight!O37*1.08</f>
        <v>1.6191599417450919</v>
      </c>
      <c r="M6">
        <f>freight!P37*1.1</f>
        <v>1.6790314683231444</v>
      </c>
      <c r="N6">
        <f>freight!Q37*1.12</f>
        <v>1.7332492200881424</v>
      </c>
      <c r="O6">
        <f>freight!R37*1.11</f>
        <v>1.7415775179959707</v>
      </c>
      <c r="P6">
        <f>freight!S37*1.1</f>
        <v>1.7498038040158228</v>
      </c>
      <c r="Q6">
        <f>freight!T37*1.08</f>
        <v>1.7417959117581199</v>
      </c>
      <c r="R6">
        <f>freight!U37*1.07</f>
        <v>1.7495813042960442</v>
      </c>
      <c r="S6">
        <f>freight!V37*1.06</f>
        <v>1.7551331377489767</v>
      </c>
      <c r="T6">
        <f>freight!W37*1.05</f>
        <v>1.7605458865731805</v>
      </c>
      <c r="U6">
        <f>freight!X37*1.04</f>
        <v>1.7658151488944966</v>
      </c>
      <c r="V6">
        <f>freight!Y37*1.03</f>
        <v>1.77093643379604</v>
      </c>
      <c r="W6">
        <f>freight!Z37*1.02</f>
        <v>1.7759051597706748</v>
      </c>
      <c r="X6">
        <f>freight!AA37*1.015</f>
        <v>1.7768719420683758</v>
      </c>
      <c r="Y6">
        <f>freight!AB37*1.01</f>
        <v>1.7777961086573193</v>
      </c>
      <c r="Z6">
        <f>freight!AC37*1.005</f>
        <v>1.7786771640901122</v>
      </c>
      <c r="AA6">
        <f>freight!AD37</f>
        <v>1.7795146087726021</v>
      </c>
      <c r="AB6">
        <f>freight!AE37</f>
        <v>1.7892542099832389</v>
      </c>
      <c r="AC6">
        <f>freight!AF37</f>
        <v>1.7980644584828971</v>
      </c>
      <c r="AD6">
        <f>freight!AG37</f>
        <v>1.8069180884529983</v>
      </c>
      <c r="AE6">
        <f>freight!AH37</f>
        <v>1.815815313502952</v>
      </c>
      <c r="AF6">
        <f>freight!AI37</f>
        <v>1.8247563482939757</v>
      </c>
      <c r="AG6">
        <f>freight!AJ37</f>
        <v>1.8337414085442729</v>
      </c>
      <c r="AH6">
        <f>freight!AK37</f>
        <v>1.8369263895829764</v>
      </c>
      <c r="AI6">
        <f>freight!AL37</f>
        <v>1.8401169025381048</v>
      </c>
      <c r="AJ6">
        <f>freight!AM37</f>
        <v>1.8433129570179096</v>
      </c>
      <c r="AK6">
        <f>freight!AN37</f>
        <v>1.8465145626473309</v>
      </c>
      <c r="AL6">
        <f>freight!AO37</f>
        <v>1.8497217290680263</v>
      </c>
      <c r="AM6">
        <f>freight!AP37</f>
        <v>1.8529048947920042</v>
      </c>
      <c r="AN6">
        <f>freight!AQ37</f>
        <v>1.8560935383907711</v>
      </c>
      <c r="AO6">
        <f>freight!AR37</f>
        <v>1.8592876692911413</v>
      </c>
      <c r="AP6">
        <f>freight!AS37</f>
        <v>1.8624872969361514</v>
      </c>
      <c r="AQ6">
        <f>freight!AT37</f>
        <v>1.8656924307850895</v>
      </c>
    </row>
    <row r="7" spans="1:43">
      <c r="A7" t="s">
        <v>8</v>
      </c>
      <c r="B7">
        <v>1</v>
      </c>
      <c r="C7">
        <f>1</f>
        <v>1</v>
      </c>
      <c r="D7">
        <f>1</f>
        <v>1</v>
      </c>
      <c r="E7">
        <f>1</f>
        <v>1</v>
      </c>
      <c r="F7">
        <f>1</f>
        <v>1</v>
      </c>
      <c r="G7">
        <f>1</f>
        <v>1</v>
      </c>
      <c r="H7">
        <f>1</f>
        <v>1</v>
      </c>
      <c r="I7">
        <f>1</f>
        <v>1</v>
      </c>
      <c r="J7">
        <f>1</f>
        <v>1</v>
      </c>
      <c r="K7">
        <f>1</f>
        <v>1</v>
      </c>
      <c r="L7">
        <f>1</f>
        <v>1</v>
      </c>
      <c r="M7">
        <f>1</f>
        <v>1</v>
      </c>
      <c r="N7">
        <f>1</f>
        <v>1</v>
      </c>
      <c r="O7">
        <f>1</f>
        <v>1</v>
      </c>
      <c r="P7">
        <f>1</f>
        <v>1</v>
      </c>
      <c r="Q7">
        <f>1</f>
        <v>1</v>
      </c>
      <c r="R7">
        <f>1</f>
        <v>1</v>
      </c>
      <c r="S7">
        <f>1</f>
        <v>1</v>
      </c>
      <c r="T7">
        <f>1</f>
        <v>1</v>
      </c>
      <c r="U7">
        <f>1</f>
        <v>1</v>
      </c>
      <c r="V7">
        <f>1</f>
        <v>1</v>
      </c>
      <c r="W7">
        <f>1</f>
        <v>1</v>
      </c>
      <c r="X7">
        <f>1</f>
        <v>1</v>
      </c>
      <c r="Y7">
        <f>1</f>
        <v>1</v>
      </c>
      <c r="Z7">
        <f>1</f>
        <v>1</v>
      </c>
      <c r="AA7">
        <f>1</f>
        <v>1</v>
      </c>
      <c r="AB7">
        <f>1</f>
        <v>1</v>
      </c>
      <c r="AC7">
        <f>1</f>
        <v>1</v>
      </c>
      <c r="AD7">
        <f>1</f>
        <v>1</v>
      </c>
      <c r="AE7">
        <f>1</f>
        <v>1</v>
      </c>
      <c r="AF7">
        <f>1</f>
        <v>1</v>
      </c>
      <c r="AG7" cm="1">
        <f t="array" ref="AG7">TREND($V7:$AF7,$W$1:$AG$1,AH$1)</f>
        <v>1</v>
      </c>
      <c r="AH7" cm="1">
        <f t="array" ref="AH7">TREND($V7:$AF7,$W$1:$AG$1,AI$1)</f>
        <v>1</v>
      </c>
      <c r="AI7" cm="1">
        <f t="array" ref="AI7">TREND($V7:$AF7,$W$1:$AG$1,AJ$1)</f>
        <v>1</v>
      </c>
      <c r="AJ7" cm="1">
        <f t="array" ref="AJ7">TREND($V7:$AF7,$W$1:$AG$1,AK$1)</f>
        <v>1</v>
      </c>
      <c r="AK7" cm="1">
        <f t="array" ref="AK7">TREND($V7:$AF7,$W$1:$AG$1,AL$1)</f>
        <v>1</v>
      </c>
      <c r="AL7" cm="1">
        <f t="array" ref="AL7">TREND($V7:$AF7,$W$1:$AG$1,AM$1)</f>
        <v>1</v>
      </c>
      <c r="AM7" cm="1">
        <f t="array" ref="AM7">TREND($V7:$AF7,$W$1:$AG$1,AN$1)</f>
        <v>1</v>
      </c>
      <c r="AN7" cm="1">
        <f t="array" ref="AN7">TREND($V7:$AF7,$W$1:$AG$1,AO$1)</f>
        <v>1</v>
      </c>
      <c r="AO7" cm="1">
        <f t="array" ref="AO7">TREND($V7:$AF7,$W$1:$AG$1,AP$1)</f>
        <v>1</v>
      </c>
      <c r="AP7" cm="1">
        <f t="array" ref="AP7">TREND($V7:$AF7,$W$1:$AG$1,AQ$1)</f>
        <v>1</v>
      </c>
      <c r="AQ7" cm="1">
        <f t="array" ref="AQ7">TREND(R7:AP7,$R$1:$AP$1,$AQ$1,TRUE)</f>
        <v>1</v>
      </c>
    </row>
    <row r="24" spans="14:14">
      <c r="N24" t="s">
        <v>64</v>
      </c>
    </row>
  </sheetData>
  <phoneticPr fontId="40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BD1DE36A36CC7845A4126EF01914151E" ma:contentTypeVersion="14" ma:contentTypeDescription="新建文档。" ma:contentTypeScope="" ma:versionID="310835f059701aa681930bc3a1715053">
  <xsd:schema xmlns:xsd="http://www.w3.org/2001/XMLSchema" xmlns:xs="http://www.w3.org/2001/XMLSchema" xmlns:p="http://schemas.microsoft.com/office/2006/metadata/properties" xmlns:ns1="http://schemas.microsoft.com/sharepoint/v3" xmlns:ns2="2e2398b5-f60e-4ca0-a4ba-6048b5e4e90c" xmlns:ns3="a06c533b-533a-4f75-b7db-110f073002e4" targetNamespace="http://schemas.microsoft.com/office/2006/metadata/properties" ma:root="true" ma:fieldsID="7ba933288dd05553e9ce0f804d4dc608" ns1:_="" ns2:_="" ns3:_="">
    <xsd:import namespace="http://schemas.microsoft.com/sharepoint/v3"/>
    <xsd:import namespace="2e2398b5-f60e-4ca0-a4ba-6048b5e4e90c"/>
    <xsd:import namespace="a06c533b-533a-4f75-b7db-110f073002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DateTaken" minOccurs="0"/>
                <xsd:element ref="ns1:_ip_UnifiedCompliancePolicyProperties" minOccurs="0"/>
                <xsd:element ref="ns1:_ip_UnifiedCompliancePolicyUIAction" minOccurs="0"/>
                <xsd:element ref="ns2:MediaServiceEventHashCode" minOccurs="0"/>
                <xsd:element ref="ns2:MediaServiceGenerationTime" minOccurs="0"/>
                <xsd:element ref="ns2:MediaServiceAutoKeyPoints" minOccurs="0"/>
                <xsd:element ref="ns2:MediaServiceKeyPoint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5" nillable="true" ma:displayName="统一合规性策略属性" ma:hidden="true" ma:internalName="_ip_UnifiedCompliancePolicyProperties">
      <xsd:simpleType>
        <xsd:restriction base="dms:Note"/>
      </xsd:simpleType>
    </xsd:element>
    <xsd:element name="_ip_UnifiedCompliancePolicyUIAction" ma:index="16" nillable="true" ma:displayName="统一合规性策略 UI 操作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2398b5-f60e-4ca0-a4ba-6048b5e4e90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MediaServiceAutoTags" ma:internalName="MediaServiceAutoTags" ma:readOnly="true">
      <xsd:simpleType>
        <xsd:restriction base="dms:Text"/>
      </xsd:simpleType>
    </xsd:element>
    <xsd:element name="MediaServiceOCR" ma:index="13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6c533b-533a-4f75-b7db-110f073002e4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共享对象: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共享对象详细信息" ma:description="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ADDFF6AF-0E01-497B-A1FE-BB038233C02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447F67E-7323-42C4-9E2C-56E0CFB6E61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2e2398b5-f60e-4ca0-a4ba-6048b5e4e90c"/>
    <ds:schemaRef ds:uri="a06c533b-533a-4f75-b7db-110f073002e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88A8530-D958-492E-B15F-BAB6AA6D6879}">
  <ds:schemaRefs>
    <ds:schemaRef ds:uri="http://schemas.microsoft.com/office/2006/metadata/properties"/>
    <ds:schemaRef ds:uri="http://schemas.microsoft.com/sharepoint/v3"/>
    <ds:schemaRef ds:uri="2e2398b5-f60e-4ca0-a4ba-6048b5e4e90c"/>
    <ds:schemaRef ds:uri="http://purl.org/dc/elements/1.1/"/>
    <ds:schemaRef ds:uri="http://purl.org/dc/dcmitype/"/>
    <ds:schemaRef ds:uri="http://www.w3.org/XML/1998/namespac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a06c533b-533a-4f75-b7db-110f073002e4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7</vt:i4>
      </vt:variant>
      <vt:variant>
        <vt:lpstr>命名范围</vt:lpstr>
      </vt:variant>
      <vt:variant>
        <vt:i4>2</vt:i4>
      </vt:variant>
    </vt:vector>
  </HeadingPairs>
  <TitlesOfParts>
    <vt:vector size="9" baseType="lpstr">
      <vt:lpstr>About </vt:lpstr>
      <vt:lpstr>raw data</vt:lpstr>
      <vt:lpstr>passenger</vt:lpstr>
      <vt:lpstr>2022交科院</vt:lpstr>
      <vt:lpstr>freight</vt:lpstr>
      <vt:lpstr>BCDTRtSY-psgr</vt:lpstr>
      <vt:lpstr>BCDTRtSY-frgt</vt:lpstr>
      <vt:lpstr>'About '!_Toc93782300</vt:lpstr>
      <vt:lpstr>'About '!_Toc93782301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wcy3015@126.com</cp:lastModifiedBy>
  <dcterms:created xsi:type="dcterms:W3CDTF">2017-06-26T22:04:22Z</dcterms:created>
  <dcterms:modified xsi:type="dcterms:W3CDTF">2026-10-20T03:07:00Z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0x010100BD1DE36A36CC7845A4126EF01914151E</vt:lpwstr>
  </property>
</Properties>
</file>