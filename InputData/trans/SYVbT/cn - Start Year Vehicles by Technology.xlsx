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autoCompressPictures="0" defaultThemeVersion="124226"/>
  <mc:AlternateContent xmlns:mc="http://schemas.openxmlformats.org/markup-compatibility/2006">
    <mc:Choice Requires="x15">
      <x15ac:absPath xmlns:x15ac="http://schemas.microsoft.com/office/spreadsheetml/2010/11/ac" url="D:\EPS-trans\伊皮埃斯\SYVbT\"/>
    </mc:Choice>
  </mc:AlternateContent>
  <xr:revisionPtr revIDLastSave="0" documentId="13_ncr:1_{4CCC4F62-29DA-43E0-8F85-0710089EB672}" xr6:coauthVersionLast="47" xr6:coauthVersionMax="47" xr10:uidLastSave="{00000000-0000-0000-0000-000000000000}"/>
  <bookViews>
    <workbookView xWindow="-108" yWindow="-108" windowWidth="23256" windowHeight="12576" activeTab="4" xr2:uid="{00000000-000D-0000-FFFF-FFFF00000000}"/>
  </bookViews>
  <sheets>
    <sheet name="About" sheetId="1" r:id="rId1"/>
    <sheet name="2020 China National Data" sheetId="17" r:id="rId2"/>
    <sheet name="table" sheetId="16" r:id="rId3"/>
    <sheet name="SYVbT-passenger" sheetId="2" r:id="rId4"/>
    <sheet name="SYVbT-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7" i="16" l="1"/>
  <c r="B74" i="17"/>
  <c r="D69" i="17"/>
  <c r="A72" i="17" l="1"/>
  <c r="E102" i="17" l="1"/>
  <c r="E101" i="17"/>
  <c r="D141" i="17"/>
  <c r="C141" i="17"/>
  <c r="C142" i="17" s="1"/>
  <c r="B13" i="16" l="1"/>
  <c r="F3" i="16"/>
  <c r="B3" i="16"/>
  <c r="F4" i="16"/>
  <c r="B4" i="16"/>
  <c r="H13" i="16"/>
  <c r="H3" i="16"/>
  <c r="C4" i="16"/>
  <c r="C13" i="16"/>
  <c r="D13" i="16" s="1"/>
  <c r="D2" i="4" s="1"/>
  <c r="C14" i="16"/>
  <c r="C161" i="17"/>
  <c r="C160" i="17"/>
  <c r="C159" i="17"/>
  <c r="C158" i="17"/>
  <c r="C3" i="16" s="1"/>
  <c r="D3" i="16" s="1"/>
  <c r="C153" i="17"/>
  <c r="C152" i="17"/>
  <c r="C151" i="17"/>
  <c r="C150" i="17"/>
  <c r="C149" i="17"/>
  <c r="C148" i="17"/>
  <c r="C144" i="17"/>
  <c r="E13" i="16"/>
  <c r="E14" i="16"/>
  <c r="C140" i="17"/>
  <c r="E4" i="16" s="1"/>
  <c r="C139" i="17"/>
  <c r="E3" i="16" s="1"/>
  <c r="C112" i="17"/>
  <c r="C111" i="17"/>
  <c r="C110" i="17"/>
  <c r="C109" i="17"/>
  <c r="D4" i="16" l="1"/>
  <c r="E15" i="16" l="1"/>
  <c r="E4" i="4" s="1"/>
  <c r="D81" i="17"/>
  <c r="B6" i="16" s="1"/>
  <c r="C81" i="17"/>
  <c r="E6" i="16" s="1"/>
  <c r="E81" i="17"/>
  <c r="E16" i="16" s="1"/>
  <c r="E10" i="17" l="1"/>
  <c r="B1" i="17"/>
  <c r="D1" i="17" s="1"/>
  <c r="H55" i="17"/>
  <c r="H47" i="17"/>
  <c r="G44" i="17"/>
  <c r="G45" i="17" s="1"/>
  <c r="H44" i="17"/>
  <c r="H43" i="17"/>
  <c r="H54" i="17" s="1"/>
  <c r="B14" i="16"/>
  <c r="E20" i="17"/>
  <c r="D20" i="17"/>
  <c r="D18" i="17" s="1"/>
  <c r="D13" i="17"/>
  <c r="C74" i="17"/>
  <c r="B68" i="17"/>
  <c r="E7" i="16"/>
  <c r="S26" i="17"/>
  <c r="F13" i="16" s="1"/>
  <c r="R21" i="17"/>
  <c r="R26" i="17" s="1"/>
  <c r="Q21" i="17"/>
  <c r="Q26" i="17" s="1"/>
  <c r="S20" i="17"/>
  <c r="S25" i="17" s="1"/>
  <c r="R20" i="17"/>
  <c r="R25" i="17" s="1"/>
  <c r="Q20" i="17"/>
  <c r="A13" i="17"/>
  <c r="C13" i="17" s="1"/>
  <c r="F13" i="17" s="1"/>
  <c r="G55" i="17" l="1"/>
  <c r="G54" i="17"/>
  <c r="H45" i="17"/>
  <c r="J14" i="16"/>
  <c r="D74" i="17"/>
  <c r="E17" i="16" s="1"/>
  <c r="E6" i="4" s="1"/>
  <c r="C17" i="16"/>
  <c r="C6" i="4" s="1"/>
  <c r="S22" i="17"/>
  <c r="U27" i="17" s="1"/>
  <c r="Q27" i="17" s="1"/>
  <c r="S27" i="17" s="1"/>
  <c r="H2" i="4" s="1"/>
  <c r="Q25" i="17"/>
  <c r="A18" i="17"/>
  <c r="C7" i="16"/>
  <c r="G3" i="2"/>
  <c r="H3" i="2"/>
  <c r="B4" i="2"/>
  <c r="C4" i="2"/>
  <c r="D4" i="2"/>
  <c r="F4" i="2"/>
  <c r="G4" i="2"/>
  <c r="H4" i="2"/>
  <c r="C5" i="2"/>
  <c r="D5" i="2"/>
  <c r="F5" i="2"/>
  <c r="G5" i="2"/>
  <c r="H5" i="2"/>
  <c r="B6" i="2"/>
  <c r="D6" i="2"/>
  <c r="F6" i="2"/>
  <c r="G6" i="2"/>
  <c r="H6" i="2"/>
  <c r="B7" i="2"/>
  <c r="C7" i="2"/>
  <c r="E7" i="2"/>
  <c r="F7" i="2"/>
  <c r="G7" i="2"/>
  <c r="H7" i="2"/>
  <c r="G2" i="2"/>
  <c r="F3" i="4"/>
  <c r="G3" i="4"/>
  <c r="H3" i="4"/>
  <c r="B4" i="4"/>
  <c r="C4" i="4"/>
  <c r="D4" i="4"/>
  <c r="F4" i="4"/>
  <c r="G4" i="4"/>
  <c r="H4" i="4"/>
  <c r="B5" i="4"/>
  <c r="C5" i="4"/>
  <c r="D5" i="4"/>
  <c r="F5" i="4"/>
  <c r="G5" i="4"/>
  <c r="H5" i="4"/>
  <c r="B6" i="4"/>
  <c r="D6" i="4"/>
  <c r="F6" i="4"/>
  <c r="G6" i="4"/>
  <c r="H6" i="4"/>
  <c r="B7" i="4"/>
  <c r="C7" i="4"/>
  <c r="D7" i="4"/>
  <c r="E7" i="4"/>
  <c r="F7" i="4"/>
  <c r="G7" i="4"/>
  <c r="H7" i="4"/>
  <c r="F2" i="4"/>
  <c r="G2" i="4"/>
  <c r="E6" i="17"/>
  <c r="F6" i="17"/>
  <c r="D8" i="16"/>
  <c r="D7" i="2" s="1"/>
  <c r="H28" i="17"/>
  <c r="G28" i="17"/>
  <c r="H29" i="17"/>
  <c r="H34" i="17" s="1"/>
  <c r="F10" i="17"/>
  <c r="E80" i="17"/>
  <c r="F80" i="17" s="1"/>
  <c r="C80" i="17"/>
  <c r="E5" i="4"/>
  <c r="E5" i="16"/>
  <c r="E4" i="2" s="1"/>
  <c r="H2" i="2" l="1"/>
  <c r="H56" i="17"/>
  <c r="B22" i="17"/>
  <c r="E22" i="17"/>
  <c r="H50" i="17" s="1"/>
  <c r="D22" i="17"/>
  <c r="D23" i="17" s="1"/>
  <c r="A22" i="17"/>
  <c r="C22" i="17"/>
  <c r="H48" i="17" s="1"/>
  <c r="H49" i="17" s="1"/>
  <c r="D80" i="17"/>
  <c r="B5" i="2"/>
  <c r="E7" i="17"/>
  <c r="F7" i="17" s="1"/>
  <c r="B2" i="2"/>
  <c r="E6" i="2"/>
  <c r="F2" i="2"/>
  <c r="C6" i="2"/>
  <c r="E11" i="17"/>
  <c r="F11" i="17" s="1"/>
  <c r="B3" i="4" s="1"/>
  <c r="F3" i="2"/>
  <c r="B3" i="2"/>
  <c r="C2" i="2"/>
  <c r="C3" i="2"/>
  <c r="C3" i="4" l="1"/>
  <c r="H58" i="17"/>
  <c r="C2" i="4" s="1"/>
  <c r="H51" i="17"/>
  <c r="D14" i="17" s="1"/>
  <c r="B2" i="4"/>
  <c r="G33" i="17"/>
  <c r="H33" i="17"/>
  <c r="H36" i="17" s="1"/>
  <c r="H32" i="17"/>
  <c r="G32" i="17"/>
  <c r="E5" i="2"/>
  <c r="J13" i="16" l="1"/>
  <c r="E3" i="2"/>
  <c r="D3" i="2"/>
  <c r="E3" i="4"/>
  <c r="J10" i="16" l="1"/>
  <c r="E2" i="4"/>
  <c r="E2" i="2"/>
  <c r="D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用户</author>
    <author>Wenyi Xi</author>
  </authors>
  <commentList>
    <comment ref="A4" authorId="0" shapeId="0" xr:uid="{00000000-0006-0000-0100-000001000000}">
      <text>
        <r>
          <rPr>
            <b/>
            <sz val="9"/>
            <color indexed="81"/>
            <rFont val="宋体"/>
            <family val="3"/>
            <charset val="134"/>
          </rPr>
          <t>Windows 用户:</t>
        </r>
        <r>
          <rPr>
            <sz val="9"/>
            <color indexed="81"/>
            <rFont val="宋体"/>
            <family val="3"/>
            <charset val="134"/>
          </rPr>
          <t xml:space="preserve">
http://www.stats.gov.cn/tjsj/ndsj/2019/indexch.htm</t>
        </r>
      </text>
    </comment>
    <comment ref="I5" authorId="0" shapeId="0" xr:uid="{00000000-0006-0000-0100-000002000000}">
      <text>
        <r>
          <rPr>
            <b/>
            <sz val="9"/>
            <color indexed="81"/>
            <rFont val="宋体"/>
            <family val="3"/>
            <charset val="134"/>
          </rPr>
          <t>Windows 用户:</t>
        </r>
        <r>
          <rPr>
            <sz val="9"/>
            <color indexed="81"/>
            <rFont val="宋体"/>
            <family val="3"/>
            <charset val="134"/>
          </rPr>
          <t xml:space="preserve">
http://www.sohu.com/a/288800709_146550</t>
        </r>
      </text>
    </comment>
    <comment ref="D12" authorId="1" shapeId="0" xr:uid="{00000000-0006-0000-0100-000003000000}">
      <text>
        <r>
          <rPr>
            <b/>
            <sz val="9"/>
            <color indexed="81"/>
            <rFont val="Tahoma"/>
            <family val="2"/>
          </rPr>
          <t>Wenyi Xi:</t>
        </r>
        <r>
          <rPr>
            <sz val="9"/>
            <color indexed="81"/>
            <rFont val="Tahoma"/>
            <family val="2"/>
          </rPr>
          <t xml:space="preserve">
</t>
        </r>
        <r>
          <rPr>
            <sz val="9"/>
            <color indexed="81"/>
            <rFont val="宋体"/>
            <family val="3"/>
            <charset val="134"/>
          </rPr>
          <t>低速载货汽车</t>
        </r>
        <r>
          <rPr>
            <sz val="9"/>
            <color indexed="81"/>
            <rFont val="Tahoma"/>
            <family val="2"/>
          </rPr>
          <t>(</t>
        </r>
        <r>
          <rPr>
            <sz val="9"/>
            <color indexed="81"/>
            <rFont val="宋体"/>
            <family val="3"/>
            <charset val="134"/>
          </rPr>
          <t>原四轮农用运输车</t>
        </r>
        <r>
          <rPr>
            <sz val="9"/>
            <color indexed="81"/>
            <rFont val="Tahoma"/>
            <family val="2"/>
          </rPr>
          <t>)</t>
        </r>
        <r>
          <rPr>
            <sz val="9"/>
            <color indexed="81"/>
            <rFont val="宋体"/>
            <family val="3"/>
            <charset val="134"/>
          </rPr>
          <t>指以柴油机为动力，最高设计车速小于等于</t>
        </r>
        <r>
          <rPr>
            <sz val="9"/>
            <color indexed="81"/>
            <rFont val="Tahoma"/>
            <family val="2"/>
          </rPr>
          <t>70km</t>
        </r>
        <r>
          <rPr>
            <sz val="9"/>
            <color indexed="81"/>
            <rFont val="宋体"/>
            <family val="3"/>
            <charset val="134"/>
          </rPr>
          <t>／</t>
        </r>
        <r>
          <rPr>
            <sz val="9"/>
            <color indexed="81"/>
            <rFont val="Tahoma"/>
            <family val="2"/>
          </rPr>
          <t>h</t>
        </r>
        <r>
          <rPr>
            <sz val="9"/>
            <color indexed="81"/>
            <rFont val="宋体"/>
            <family val="3"/>
            <charset val="134"/>
          </rPr>
          <t>，最大设计总质量小于等于</t>
        </r>
        <r>
          <rPr>
            <sz val="9"/>
            <color indexed="81"/>
            <rFont val="Tahoma"/>
            <family val="2"/>
          </rPr>
          <t>4500kg</t>
        </r>
        <r>
          <rPr>
            <sz val="9"/>
            <color indexed="81"/>
            <rFont val="宋体"/>
            <family val="3"/>
            <charset val="134"/>
          </rPr>
          <t>，长小于等于</t>
        </r>
        <r>
          <rPr>
            <sz val="9"/>
            <color indexed="81"/>
            <rFont val="Tahoma"/>
            <family val="2"/>
          </rPr>
          <t>6m</t>
        </r>
        <r>
          <rPr>
            <sz val="9"/>
            <color indexed="81"/>
            <rFont val="宋体"/>
            <family val="3"/>
            <charset val="134"/>
          </rPr>
          <t>，宽小于等于</t>
        </r>
        <r>
          <rPr>
            <sz val="9"/>
            <color indexed="81"/>
            <rFont val="Tahoma"/>
            <family val="2"/>
          </rPr>
          <t>2m</t>
        </r>
        <r>
          <rPr>
            <sz val="9"/>
            <color indexed="81"/>
            <rFont val="宋体"/>
            <family val="3"/>
            <charset val="134"/>
          </rPr>
          <t>，高小于等于</t>
        </r>
        <r>
          <rPr>
            <sz val="9"/>
            <color indexed="81"/>
            <rFont val="Tahoma"/>
            <family val="2"/>
          </rPr>
          <t>2</t>
        </r>
        <r>
          <rPr>
            <sz val="9"/>
            <color indexed="81"/>
            <rFont val="宋体"/>
            <family val="3"/>
            <charset val="134"/>
          </rPr>
          <t>．</t>
        </r>
        <r>
          <rPr>
            <sz val="9"/>
            <color indexed="81"/>
            <rFont val="Tahoma"/>
            <family val="2"/>
          </rPr>
          <t xml:space="preserve"> 5m</t>
        </r>
        <r>
          <rPr>
            <sz val="9"/>
            <color indexed="81"/>
            <rFont val="宋体"/>
            <family val="3"/>
            <charset val="134"/>
          </rPr>
          <t>，具有四个轮的货车。</t>
        </r>
      </text>
    </comment>
    <comment ref="I13" authorId="0" shapeId="0" xr:uid="{00000000-0006-0000-0100-000004000000}">
      <text>
        <r>
          <rPr>
            <b/>
            <sz val="9"/>
            <color indexed="81"/>
            <rFont val="宋体"/>
            <family val="3"/>
            <charset val="134"/>
          </rPr>
          <t>Windows 用户:</t>
        </r>
        <r>
          <rPr>
            <sz val="9"/>
            <color indexed="81"/>
            <rFont val="宋体"/>
            <family val="3"/>
            <charset val="134"/>
          </rPr>
          <t xml:space="preserve">
https://baijiahao.baidu.com/s?id=1622349088177624657&amp;wfr=spider&amp;for=pc</t>
        </r>
      </text>
    </comment>
    <comment ref="G18" authorId="1" shapeId="0" xr:uid="{00000000-0006-0000-0100-000005000000}">
      <text>
        <r>
          <rPr>
            <b/>
            <sz val="9"/>
            <color indexed="81"/>
            <rFont val="Tahoma"/>
            <family val="2"/>
          </rPr>
          <t>Wenyi Xi:</t>
        </r>
        <r>
          <rPr>
            <sz val="9"/>
            <color indexed="81"/>
            <rFont val="Tahoma"/>
            <family val="2"/>
          </rPr>
          <t xml:space="preserve">
http://www.mee.gov.cn/hjzl/sthjzk/ydyhjgl/201909/P020190905586230826402.pdf</t>
        </r>
      </text>
    </comment>
    <comment ref="A19" authorId="0" shapeId="0" xr:uid="{00000000-0006-0000-0100-000006000000}">
      <text>
        <r>
          <rPr>
            <b/>
            <sz val="9"/>
            <color indexed="81"/>
            <rFont val="宋体"/>
            <family val="3"/>
            <charset val="134"/>
          </rPr>
          <t>Windows 用户:</t>
        </r>
        <r>
          <rPr>
            <sz val="9"/>
            <color indexed="81"/>
            <rFont val="宋体"/>
            <family val="3"/>
            <charset val="134"/>
          </rPr>
          <t xml:space="preserve">
http://www.mee.gov.cn/hjzl/sthjzk/ydyhjgl/201909/P020190905586230826402.pdf
中国移动源环境管理年报</t>
        </r>
      </text>
    </comment>
    <comment ref="L21" authorId="0" shapeId="0" xr:uid="{00000000-0006-0000-0100-000007000000}">
      <text>
        <r>
          <rPr>
            <b/>
            <sz val="9"/>
            <color indexed="81"/>
            <rFont val="宋体"/>
            <family val="3"/>
            <charset val="134"/>
          </rPr>
          <t>Windows 用户:</t>
        </r>
        <r>
          <rPr>
            <sz val="9"/>
            <color indexed="81"/>
            <rFont val="宋体"/>
            <family val="3"/>
            <charset val="134"/>
          </rPr>
          <t xml:space="preserve">
http://www.sohu.com/a/288908266_99922905</t>
        </r>
      </text>
    </comment>
    <comment ref="F27" authorId="0" shapeId="0" xr:uid="{00000000-0006-0000-0100-000008000000}">
      <text>
        <r>
          <rPr>
            <b/>
            <sz val="9"/>
            <color indexed="81"/>
            <rFont val="宋体"/>
            <family val="3"/>
            <charset val="134"/>
          </rPr>
          <t>Windows 用户:</t>
        </r>
        <r>
          <rPr>
            <sz val="9"/>
            <color indexed="81"/>
            <rFont val="宋体"/>
            <family val="3"/>
            <charset val="134"/>
          </rPr>
          <t xml:space="preserve">
http://www.mee.gov.cn/hjzl/sthjzk/ydyhjgl/201909/P020190905586230826402.pdf
中国移动源环境管理年报</t>
        </r>
      </text>
    </comment>
    <comment ref="J34" authorId="0" shapeId="0" xr:uid="{00000000-0006-0000-0100-000009000000}">
      <text>
        <r>
          <rPr>
            <b/>
            <sz val="9"/>
            <color indexed="81"/>
            <rFont val="宋体"/>
            <family val="3"/>
            <charset val="134"/>
          </rPr>
          <t>Windows 用户:</t>
        </r>
        <r>
          <rPr>
            <sz val="9"/>
            <color indexed="81"/>
            <rFont val="宋体"/>
            <family val="3"/>
            <charset val="134"/>
          </rPr>
          <t xml:space="preserve">
http://www.mee.gov.cn/hjzl/sthjzk/ydyhjgl/201909/P020190905586230826402.pdf
中国移动源环境管理年报</t>
        </r>
      </text>
    </comment>
    <comment ref="A61" authorId="0" shapeId="0" xr:uid="{00000000-0006-0000-0100-00000A000000}">
      <text>
        <r>
          <rPr>
            <b/>
            <sz val="9"/>
            <color indexed="81"/>
            <rFont val="宋体"/>
            <family val="3"/>
            <charset val="134"/>
          </rPr>
          <t>Windows 用户:</t>
        </r>
        <r>
          <rPr>
            <sz val="9"/>
            <color indexed="81"/>
            <rFont val="宋体"/>
            <family val="3"/>
            <charset val="134"/>
          </rPr>
          <t xml:space="preserve">
http://www.caac.gov.cn/XXGK/XXGK/TZTG/201905/P020190508527175796080.pdf
2018年民航行业发展统计公报</t>
        </r>
      </text>
    </comment>
    <comment ref="A65" authorId="0" shapeId="0" xr:uid="{00000000-0006-0000-0100-00000B000000}">
      <text>
        <r>
          <rPr>
            <b/>
            <sz val="9"/>
            <color indexed="81"/>
            <rFont val="宋体"/>
            <family val="3"/>
            <charset val="134"/>
          </rPr>
          <t>Windows 用户:</t>
        </r>
        <r>
          <rPr>
            <sz val="9"/>
            <color indexed="81"/>
            <rFont val="宋体"/>
            <family val="3"/>
            <charset val="134"/>
          </rPr>
          <t xml:space="preserve">
http://www.stats.gov.cn/tjsj/ndsj/2019/indexch.htm
Table 16-24</t>
        </r>
      </text>
    </comment>
    <comment ref="A67" authorId="0" shapeId="0" xr:uid="{00000000-0006-0000-0100-00000C000000}">
      <text>
        <r>
          <rPr>
            <b/>
            <sz val="9"/>
            <color indexed="81"/>
            <rFont val="宋体"/>
            <family val="3"/>
            <charset val="134"/>
          </rPr>
          <t>Windows 用户:</t>
        </r>
        <r>
          <rPr>
            <sz val="9"/>
            <color indexed="81"/>
            <rFont val="宋体"/>
            <family val="3"/>
            <charset val="134"/>
          </rPr>
          <t xml:space="preserve">
http://www.hqhunt.com/energydetail?article_id=3697</t>
        </r>
      </text>
    </comment>
    <comment ref="E72" authorId="0" shapeId="0" xr:uid="{00000000-0006-0000-0100-00000D000000}">
      <text>
        <r>
          <rPr>
            <b/>
            <sz val="9"/>
            <color indexed="81"/>
            <rFont val="宋体"/>
            <family val="3"/>
            <charset val="134"/>
          </rPr>
          <t>Windows 用户:</t>
        </r>
        <r>
          <rPr>
            <sz val="9"/>
            <color indexed="81"/>
            <rFont val="宋体"/>
            <family val="3"/>
            <charset val="134"/>
          </rPr>
          <t xml:space="preserve">
https://www.sohu.com/a/246377060_99897235</t>
        </r>
      </text>
    </comment>
    <comment ref="A77" authorId="0" shapeId="0" xr:uid="{00000000-0006-0000-0100-00000E000000}">
      <text>
        <r>
          <rPr>
            <b/>
            <sz val="9"/>
            <color indexed="81"/>
            <rFont val="宋体"/>
            <family val="3"/>
            <charset val="134"/>
          </rPr>
          <t>Windows 用户:</t>
        </r>
        <r>
          <rPr>
            <sz val="9"/>
            <color indexed="81"/>
            <rFont val="宋体"/>
            <family val="3"/>
            <charset val="134"/>
          </rPr>
          <t xml:space="preserve">
2018年铁道统计公报http://www.mot.gov.cn/tongjishuju/tielu/201905/P020190530365089148979.pdf</t>
        </r>
      </text>
    </comment>
  </commentList>
</comments>
</file>

<file path=xl/sharedStrings.xml><?xml version="1.0" encoding="utf-8"?>
<sst xmlns="http://schemas.openxmlformats.org/spreadsheetml/2006/main" count="345" uniqueCount="259">
  <si>
    <t>Aircraft</t>
    <phoneticPr fontId="37" type="noConversion"/>
  </si>
  <si>
    <t>Note</t>
    <phoneticPr fontId="37" type="noConversion"/>
  </si>
  <si>
    <t>Start Year is the year prior to the model's first simulated year.</t>
    <phoneticPr fontId="37" type="noConversion"/>
  </si>
  <si>
    <t>Rail</t>
    <phoneticPr fontId="37" type="noConversion"/>
  </si>
  <si>
    <t>*Rail vehicle stock is measured in cars, instead of trains</t>
    <phoneticPr fontId="37" type="noConversion"/>
  </si>
  <si>
    <t>We only consider Aero Transport under Civil Aviation, and do not include General Aircraft.</t>
    <phoneticPr fontId="37" type="noConversion"/>
  </si>
  <si>
    <t>Motorbikes</t>
  </si>
  <si>
    <t>As for motorbikes, it could refer to two-wheel or three wheel motorbikes.</t>
  </si>
  <si>
    <t xml:space="preserve">Two-wheel are basically all for passenger use. </t>
    <phoneticPr fontId="37" type="noConversion"/>
  </si>
  <si>
    <t>While three-wheels can be used either for passenger or for freight, and mostly used in rural area. So we just assume no for freight use.</t>
    <phoneticPr fontId="37" type="noConversion"/>
  </si>
  <si>
    <t>In China, there are emerging electric bicycles, but they are not considered</t>
    <phoneticPr fontId="37" type="noConversion"/>
  </si>
  <si>
    <t>under the category of Motorbikes in China's statistics system.</t>
  </si>
  <si>
    <t>Road Transport</t>
    <phoneticPr fontId="37" type="noConversion"/>
  </si>
  <si>
    <t>HDV in US context includes Medium and Heavy Duty Vehicles in China's context.</t>
  </si>
  <si>
    <t>US HDV</t>
    <phoneticPr fontId="37" type="noConversion"/>
  </si>
  <si>
    <t>Electric passenger HDV is taken equal to electric city buses</t>
    <phoneticPr fontId="37" type="noConversion"/>
  </si>
  <si>
    <t>8501 lbs =</t>
    <phoneticPr fontId="37" type="noConversion"/>
  </si>
  <si>
    <t>about 4000 kg</t>
    <phoneticPr fontId="37" type="noConversion"/>
  </si>
  <si>
    <t>HDV</t>
    <phoneticPr fontId="37" type="noConversion"/>
  </si>
  <si>
    <t>battery electric vehicle</t>
  </si>
  <si>
    <t>natural gas vehicle</t>
  </si>
  <si>
    <t>gasoline vehicle</t>
  </si>
  <si>
    <t>diesel vehicle</t>
  </si>
  <si>
    <t>plugin hybrid vehicle</t>
  </si>
  <si>
    <t>LDVs</t>
  </si>
  <si>
    <t>HDVs</t>
  </si>
  <si>
    <t>aircraft</t>
  </si>
  <si>
    <t>rail</t>
  </si>
  <si>
    <t>ships</t>
  </si>
  <si>
    <t>motorbikes</t>
  </si>
  <si>
    <t>Number of Vehicles</t>
  </si>
  <si>
    <t>LPG vehicle</t>
  </si>
  <si>
    <t>hydrogen vehicle</t>
  </si>
  <si>
    <t>载货</t>
    <phoneticPr fontId="37" type="noConversion"/>
  </si>
  <si>
    <t>载客</t>
    <phoneticPr fontId="37" type="noConversion"/>
  </si>
  <si>
    <t>载客车</t>
    <phoneticPr fontId="37" type="noConversion"/>
  </si>
  <si>
    <t>大型</t>
    <phoneticPr fontId="37" type="noConversion"/>
  </si>
  <si>
    <t>中型</t>
    <phoneticPr fontId="37" type="noConversion"/>
  </si>
  <si>
    <t>小型</t>
    <phoneticPr fontId="37" type="noConversion"/>
  </si>
  <si>
    <t>微型</t>
    <phoneticPr fontId="37" type="noConversion"/>
  </si>
  <si>
    <t>重型</t>
    <phoneticPr fontId="37" type="noConversion"/>
  </si>
  <si>
    <t>轻型</t>
    <phoneticPr fontId="37" type="noConversion"/>
  </si>
  <si>
    <t>客运飞机</t>
    <phoneticPr fontId="37" type="noConversion"/>
  </si>
  <si>
    <t>货运飞机</t>
    <phoneticPr fontId="37" type="noConversion"/>
  </si>
  <si>
    <t>铁路客车</t>
    <phoneticPr fontId="37" type="noConversion"/>
  </si>
  <si>
    <t>铁路货车</t>
    <phoneticPr fontId="37" type="noConversion"/>
  </si>
  <si>
    <t>机动船</t>
    <phoneticPr fontId="37" type="noConversion"/>
  </si>
  <si>
    <t>截至2018年底，全国汽车保有量达2.4亿辆，</t>
    <phoneticPr fontId="37" type="noConversion"/>
  </si>
  <si>
    <t>比2017年增加2285万辆，增长10.51%。</t>
    <phoneticPr fontId="37" type="noConversion"/>
  </si>
  <si>
    <t>其中，私家车（私人小微型载客汽车）持续快速增长，2018年保有量达1.89亿辆，</t>
    <phoneticPr fontId="37" type="noConversion"/>
  </si>
  <si>
    <t>2018年纯电动汽车保有量211万辆，新能源</t>
    <phoneticPr fontId="37" type="noConversion"/>
  </si>
  <si>
    <t>汽车保有量261万辆</t>
    <phoneticPr fontId="37" type="noConversion"/>
  </si>
  <si>
    <t>汽车总=</t>
    <phoneticPr fontId="37" type="noConversion"/>
  </si>
  <si>
    <t>纯电动=</t>
    <phoneticPr fontId="37" type="noConversion"/>
  </si>
  <si>
    <t>新能源总=</t>
    <phoneticPr fontId="37" type="noConversion"/>
  </si>
  <si>
    <t>http://www.sohu.com/a/288800709_146550</t>
    <phoneticPr fontId="37" type="noConversion"/>
  </si>
  <si>
    <t>铁路机车</t>
    <phoneticPr fontId="37" type="noConversion"/>
  </si>
  <si>
    <t>内燃机</t>
    <phoneticPr fontId="37" type="noConversion"/>
  </si>
  <si>
    <t>电动</t>
    <phoneticPr fontId="37" type="noConversion"/>
  </si>
  <si>
    <t>驳船</t>
    <phoneticPr fontId="37" type="noConversion"/>
  </si>
  <si>
    <t>天然气</t>
    <phoneticPr fontId="37" type="noConversion"/>
  </si>
  <si>
    <t>柴油</t>
    <phoneticPr fontId="37" type="noConversion"/>
  </si>
  <si>
    <t>客运</t>
    <phoneticPr fontId="37" type="noConversion"/>
  </si>
  <si>
    <t>货运</t>
    <phoneticPr fontId="37" type="noConversion"/>
  </si>
  <si>
    <t>LNG</t>
    <phoneticPr fontId="37" type="noConversion"/>
  </si>
  <si>
    <t>柴油</t>
    <phoneticPr fontId="37" type="noConversion"/>
  </si>
  <si>
    <t>插电式混合动力</t>
    <phoneticPr fontId="37" type="noConversion"/>
  </si>
  <si>
    <t>新能源货车</t>
    <phoneticPr fontId="37" type="noConversion"/>
  </si>
  <si>
    <t>纯电动</t>
    <phoneticPr fontId="37" type="noConversion"/>
  </si>
  <si>
    <t>左表中</t>
    <phoneticPr fontId="37" type="noConversion"/>
  </si>
  <si>
    <t>数量</t>
    <phoneticPr fontId="37" type="noConversion"/>
  </si>
  <si>
    <t>新能源客车</t>
    <phoneticPr fontId="37" type="noConversion"/>
  </si>
  <si>
    <t>LDV</t>
    <phoneticPr fontId="37" type="noConversion"/>
  </si>
  <si>
    <t>载货车</t>
    <phoneticPr fontId="37" type="noConversion"/>
  </si>
  <si>
    <t xml:space="preserve">Yangzi River about </t>
    <phoneticPr fontId="37" type="noConversion"/>
  </si>
  <si>
    <t>120000 freight ships</t>
  </si>
  <si>
    <t>LDV</t>
    <phoneticPr fontId="37" type="noConversion"/>
  </si>
  <si>
    <t>HDV</t>
    <phoneticPr fontId="37" type="noConversion"/>
  </si>
  <si>
    <t>(LDV和HDV的比例)</t>
    <phoneticPr fontId="37" type="noConversion"/>
  </si>
  <si>
    <t>天然气</t>
    <phoneticPr fontId="37" type="noConversion"/>
  </si>
  <si>
    <t>汽油车</t>
    <phoneticPr fontId="37" type="noConversion"/>
  </si>
  <si>
    <t>柴油车</t>
    <phoneticPr fontId="37" type="noConversion"/>
  </si>
  <si>
    <t>LDV载客汽车总=</t>
    <phoneticPr fontId="37" type="noConversion"/>
  </si>
  <si>
    <t>摩托车</t>
    <phoneticPr fontId="37" type="noConversion"/>
  </si>
  <si>
    <t>LDV</t>
    <phoneticPr fontId="37" type="noConversion"/>
  </si>
  <si>
    <t>柴油客车</t>
    <phoneticPr fontId="37" type="noConversion"/>
  </si>
  <si>
    <t>柴油货车</t>
    <phoneticPr fontId="37" type="noConversion"/>
  </si>
  <si>
    <t>左图中</t>
    <phoneticPr fontId="37" type="noConversion"/>
  </si>
  <si>
    <t>Start Year：2018</t>
    <phoneticPr fontId="37" type="noConversion"/>
  </si>
  <si>
    <t>some sources are noted in 2018 China National Data directly</t>
    <phoneticPr fontId="37" type="noConversion"/>
  </si>
  <si>
    <t>These errors lead to a total number of road vehicles a little bit larger than the official amount, 240 million</t>
    <phoneticPr fontId="37" type="noConversion"/>
  </si>
  <si>
    <t xml:space="preserve">Low-speed vehicles are not categorized. The amount of them are small(compare to </t>
    <phoneticPr fontId="37" type="noConversion"/>
  </si>
  <si>
    <t>other vehicles). Besides, their categories are hard to define.</t>
    <phoneticPr fontId="37" type="noConversion"/>
  </si>
  <si>
    <t>http://www.stats.gov.cn/tjsj/ndsj/2019/indexch.htm</t>
    <phoneticPr fontId="37" type="noConversion"/>
  </si>
  <si>
    <t>中国统计年鉴2019 China Statistic Yearbook 2019</t>
    <phoneticPr fontId="37" type="noConversion"/>
  </si>
  <si>
    <t>gasoline, diesel, natural gas</t>
    <phoneticPr fontId="37" type="noConversion"/>
  </si>
  <si>
    <t>aircraft</t>
    <phoneticPr fontId="37" type="noConversion"/>
  </si>
  <si>
    <t>LDV, LDH</t>
    <phoneticPr fontId="37" type="noConversion"/>
  </si>
  <si>
    <t xml:space="preserve">中国移动源环境管理年报2019 China Mobile Source Environmental Management Annual Report 2019 </t>
    <phoneticPr fontId="37" type="noConversion"/>
  </si>
  <si>
    <t>2018年民航行业发展统计公报 Development Statistics Bulletin of civil aviation industry in 2018</t>
    <phoneticPr fontId="37" type="noConversion"/>
  </si>
  <si>
    <t>News</t>
    <phoneticPr fontId="37" type="noConversion"/>
  </si>
  <si>
    <t xml:space="preserve">plugin </t>
    <phoneticPr fontId="37" type="noConversion"/>
  </si>
  <si>
    <t>Source：</t>
    <phoneticPr fontId="37" type="noConversion"/>
  </si>
  <si>
    <t>Other notes and assumptions are indicated in 2018 China National Data</t>
    <phoneticPr fontId="37" type="noConversion"/>
  </si>
  <si>
    <t>We account fuel oil into diesel in terms of ships</t>
    <phoneticPr fontId="37" type="noConversion"/>
  </si>
  <si>
    <t>其他汽车</t>
    <phoneticPr fontId="37" type="noConversion"/>
  </si>
  <si>
    <t>民用汽车保有量</t>
    <phoneticPr fontId="37" type="noConversion"/>
  </si>
  <si>
    <t>公安部统计:</t>
    <phoneticPr fontId="37" type="noConversion"/>
  </si>
  <si>
    <t>新能源乘用车</t>
    <phoneticPr fontId="37" type="noConversion"/>
  </si>
  <si>
    <t>Passenger LDV</t>
    <phoneticPr fontId="37" type="noConversion"/>
  </si>
  <si>
    <t>Passenger HDV</t>
    <phoneticPr fontId="37" type="noConversion"/>
  </si>
  <si>
    <t>Freight LDV</t>
    <phoneticPr fontId="37" type="noConversion"/>
  </si>
  <si>
    <t>Freight HDV</t>
    <phoneticPr fontId="37" type="noConversion"/>
  </si>
  <si>
    <t>Battery</t>
    <phoneticPr fontId="37" type="noConversion"/>
  </si>
  <si>
    <t>Plug-in</t>
    <phoneticPr fontId="37" type="noConversion"/>
  </si>
  <si>
    <t>Other</t>
    <phoneticPr fontId="37" type="noConversion"/>
  </si>
  <si>
    <t>高工产研氢电研究所(GGII)数据统计，2018年全年国内各地新增氢燃料电池汽车运行数量为875辆。  </t>
  </si>
  <si>
    <t>https://www.gg-lb.com/asdisp2-65b095fb-36457-.html</t>
  </si>
  <si>
    <t>2018年国内氢燃料电池汽车产量为1619辆，其中专用车909辆，客车710辆</t>
  </si>
  <si>
    <t>Hydrogen</t>
    <phoneticPr fontId="37" type="noConversion"/>
  </si>
  <si>
    <t>新能源=纯电动+氢燃料+混合动力</t>
    <phoneticPr fontId="37" type="noConversion"/>
  </si>
  <si>
    <t>干散货或集散两用船254艘（占91%）、旅游客船1艘（湖南），其他船25艘</t>
  </si>
  <si>
    <t>低速汽车</t>
    <phoneticPr fontId="37" type="noConversion"/>
  </si>
  <si>
    <t>新能源</t>
    <phoneticPr fontId="37" type="noConversion"/>
  </si>
  <si>
    <t>汽车</t>
    <phoneticPr fontId="37" type="noConversion"/>
  </si>
  <si>
    <t>其他燃料</t>
    <phoneticPr fontId="37" type="noConversion"/>
  </si>
  <si>
    <t>民用汽车</t>
    <phoneticPr fontId="37" type="noConversion"/>
  </si>
  <si>
    <t>低速车中有5w辆新能源</t>
    <phoneticPr fontId="37" type="noConversion"/>
  </si>
  <si>
    <t>Ships船舶</t>
    <phoneticPr fontId="37" type="noConversion"/>
  </si>
  <si>
    <t>Rails火车</t>
    <phoneticPr fontId="37" type="noConversion"/>
  </si>
  <si>
    <t>MEE报告中数据</t>
    <phoneticPr fontId="37" type="noConversion"/>
  </si>
  <si>
    <t>基于统计年鉴民用汽车总量乘以MEE的比例得出</t>
    <phoneticPr fontId="37" type="noConversion"/>
  </si>
  <si>
    <t>天然气车</t>
    <phoneticPr fontId="37" type="noConversion"/>
  </si>
  <si>
    <t>假设产量比例为存量结构比例</t>
    <phoneticPr fontId="37" type="noConversion"/>
  </si>
  <si>
    <t>客车</t>
    <phoneticPr fontId="37" type="noConversion"/>
  </si>
  <si>
    <t>货车</t>
    <phoneticPr fontId="37" type="noConversion"/>
  </si>
  <si>
    <t>http://www.sohu.com/a/324249451_775892</t>
  </si>
  <si>
    <t>截至2018年年底，我国天然气汽车保有量为670万辆，同比增加62万辆，增幅为10.20%；其中，2018年我国CNG汽车保有量为626万辆，同比增加41.4万辆，增幅为9.25%；2018年我国LNG汽车保有量为44万辆，同比增加41.4万辆，增幅为25.71%。</t>
  </si>
  <si>
    <t>Total Natural Gas Vehicle</t>
    <phoneticPr fontId="37" type="noConversion"/>
  </si>
  <si>
    <t>MEE的统计口径中天然气指LNG</t>
    <phoneticPr fontId="37" type="noConversion"/>
  </si>
  <si>
    <t>其他燃料都假设为CNG</t>
    <phoneticPr fontId="37" type="noConversion"/>
  </si>
  <si>
    <t>CNG</t>
    <phoneticPr fontId="37" type="noConversion"/>
  </si>
  <si>
    <t>汽车（其他燃料）</t>
    <phoneticPr fontId="37" type="noConversion"/>
  </si>
  <si>
    <t>http://blog.sina.com.cn/s/blog_199ebdfd60102ynbf.html</t>
  </si>
  <si>
    <t>中国天然气汽车保有量达到608万辆</t>
  </si>
  <si>
    <t>2017年年底，我国天然气汽车保有量为608万辆，同比增加50.4万辆，增幅为9%。其中，压缩天然气（CNG）汽车保有量为573万辆，同比增加41.4万辆，增幅为7.8%；液化天然气（LNG）汽车保有量为35万辆，同比增加9万辆，增幅为34.6%。值得关注的是，LNG重卡保有量为25.5万辆，同比增加8.5万辆，增幅高达50%。</t>
  </si>
  <si>
    <t>http://paper.people.com.cn/zgnyb/html/2018-09/10/content_1880612.htm</t>
  </si>
  <si>
    <t>http://www.360che.com/news/190417/109378_all.html</t>
  </si>
  <si>
    <t>截止2017年底中国LNG重卡保有量已达25.5万辆</t>
  </si>
  <si>
    <t>uncertain</t>
    <phoneticPr fontId="37" type="noConversion"/>
  </si>
  <si>
    <t>2018年机动车保有量</t>
    <phoneticPr fontId="37" type="noConversion"/>
  </si>
  <si>
    <t>There is seldom HDV gasoline cars, therefore assume 0 for gasoline HDVs.</t>
    <phoneticPr fontId="37" type="noConversion"/>
  </si>
  <si>
    <t>为了和HDV Freight总量对上，调整为用MEE的柴油车总量数据</t>
    <phoneticPr fontId="37" type="noConversion"/>
  </si>
  <si>
    <t>低速汽车中有一部分新能源5w、CNG4百万，其余为柴油</t>
    <phoneticPr fontId="37" type="noConversion"/>
  </si>
  <si>
    <t>其中4百万CNG中有大部分作为客运，小部分作为货运</t>
    <phoneticPr fontId="37" type="noConversion"/>
  </si>
  <si>
    <t>http://www.mee.gov.cn/hjzl/sthjzk/ydyhjgl/201909/P020190905586230826402.pdf</t>
    <phoneticPr fontId="37" type="noConversion"/>
  </si>
  <si>
    <t>还有拖拉机、摩托车等</t>
    <phoneticPr fontId="37" type="noConversion"/>
  </si>
  <si>
    <t>拖拉机不纳入本次核算范围</t>
    <phoneticPr fontId="37" type="noConversion"/>
  </si>
  <si>
    <t>目前模型中均纳入货运LDV</t>
    <phoneticPr fontId="37" type="noConversion"/>
  </si>
  <si>
    <t>http://www.gov.cn/xinwen/2020-07/18/content_5528056.htm</t>
  </si>
  <si>
    <t>2020年摩托车保有量</t>
    <phoneticPr fontId="37" type="noConversion"/>
  </si>
  <si>
    <t>总数</t>
    <phoneticPr fontId="37" type="noConversion"/>
  </si>
  <si>
    <t>12.68万艘</t>
    <phoneticPr fontId="37" type="noConversion"/>
  </si>
  <si>
    <t>https://k.sina.cn/article_1002429827_3bbfdd8301900xxt7.html?ivk_sa=1024320u</t>
    <phoneticPr fontId="37" type="noConversion"/>
  </si>
  <si>
    <t>2020年火车数据</t>
    <phoneticPr fontId="37" type="noConversion"/>
  </si>
  <si>
    <t>http://www.caac.gov.cn/XXGK/XXGK/TZTG/201905/P020190508527175796080.pdf</t>
    <phoneticPr fontId="37" type="noConversion"/>
  </si>
  <si>
    <t>Airplane飞机</t>
    <phoneticPr fontId="37" type="noConversion"/>
  </si>
  <si>
    <t>2020年氢燃料汽车</t>
    <phoneticPr fontId="37" type="noConversion"/>
  </si>
  <si>
    <t>2020汽车保有量</t>
    <phoneticPr fontId="37" type="noConversion"/>
  </si>
  <si>
    <t>https://baijiahao.baidu.com/s?id=1728074260743425167&amp;wfr=spider&amp;for=pc</t>
  </si>
  <si>
    <t>2020年全国乘用车保有量</t>
    <phoneticPr fontId="37" type="noConversion"/>
  </si>
  <si>
    <t>2020年全国货运车辆保有辆</t>
    <phoneticPr fontId="37" type="noConversion"/>
  </si>
  <si>
    <t>插电混动汽车</t>
    <phoneticPr fontId="37" type="noConversion"/>
  </si>
  <si>
    <t>400万辆</t>
    <phoneticPr fontId="37" type="noConversion"/>
  </si>
  <si>
    <t>纯电动汽车</t>
    <phoneticPr fontId="37" type="noConversion"/>
  </si>
  <si>
    <t>92万辆</t>
    <phoneticPr fontId="37" type="noConversion"/>
  </si>
  <si>
    <t>https://www.google.com/search?q=amount+of+Battery+electric+bus+china++2020&amp;newwindow=1&amp;sxsrf=AJOqlzXrgvHq6IVryNK3AYabAwShz60Sxg%3A1676443023549&amp;ei=j33sY56BIYGQseMPpaufmAY&amp;ved=0ahUKEwjehJ739Jb9AhUBSGwGHaXVB2MQ4dUDCA8&amp;uact=5&amp;oq=amount+of+Battery+electric+bus+china++2020&amp;gs_lcp=Cgxnd3Mtd2l6LXNlcnAQAzIKCAAQRxDWBBCwAzIKCAAQRxDWBBCwAzIKCAAQRxDWBBCwAzIKCAAQRxDWBBCwAzIKCAAQRxDWBBCwAzIKCAAQRxDWBBCwAzIKCAAQRxDWBBCwAzIKCAAQRxDWBBCwA0oECEEYAEoECEYYAFCNCVjGCmDYDGgBcAB4AIABAIgBAJIBAJgBAKABAqABAcgBCMABAQ&amp;sclient=gws-wiz-serp</t>
  </si>
  <si>
    <t>https://theicct.org/wp-content/uploads/2021/06/china-green-future-ev-fs-feb2021-01.pdf</t>
  </si>
  <si>
    <t>纯电HDV passenger</t>
    <phoneticPr fontId="37" type="noConversion"/>
  </si>
  <si>
    <t>纯电LDV passenger</t>
    <phoneticPr fontId="37" type="noConversion"/>
  </si>
  <si>
    <t>纯电HDV freight</t>
    <phoneticPr fontId="37" type="noConversion"/>
  </si>
  <si>
    <t>纯电LDV freight</t>
    <phoneticPr fontId="37" type="noConversion"/>
  </si>
  <si>
    <t>http://www.stats.gov.cn/tjsj/ndsj/2021/indexch.htm</t>
  </si>
  <si>
    <t>passenger HDV</t>
    <phoneticPr fontId="37" type="noConversion"/>
  </si>
  <si>
    <t>passenger LDV</t>
    <phoneticPr fontId="37" type="noConversion"/>
  </si>
  <si>
    <t>freight HDV</t>
    <phoneticPr fontId="37" type="noConversion"/>
  </si>
  <si>
    <t>freight LDV</t>
    <phoneticPr fontId="37" type="noConversion"/>
  </si>
  <si>
    <t>natural gas天然气车</t>
    <phoneticPr fontId="37" type="noConversion"/>
  </si>
  <si>
    <t>plugin in hybrid vehicle</t>
    <phoneticPr fontId="37" type="noConversion"/>
  </si>
  <si>
    <t>battery electric vehicle</t>
    <phoneticPr fontId="37" type="noConversion"/>
  </si>
  <si>
    <t>2020年LNG重卡的保有量也增加到58.2万辆</t>
  </si>
  <si>
    <t>natural gas HDV freight</t>
    <phoneticPr fontId="37" type="noConversion"/>
  </si>
  <si>
    <t>http://www.scqjnyqc.com/go.htm?url=details&amp;k=xing_ye_dong_tai&amp;id=13134</t>
  </si>
  <si>
    <t>HDV battery passenger</t>
    <phoneticPr fontId="37" type="noConversion"/>
  </si>
  <si>
    <t>HDV plug in hybrid passenger</t>
    <phoneticPr fontId="37" type="noConversion"/>
  </si>
  <si>
    <t>氢燃料乘用车</t>
    <phoneticPr fontId="37" type="noConversion"/>
  </si>
  <si>
    <t>氢燃料货车</t>
    <phoneticPr fontId="37" type="noConversion"/>
  </si>
  <si>
    <t>2017年时，专用车和客车分别为909和710辆，沿用这个比例计算了2020年的数量</t>
    <phoneticPr fontId="37" type="noConversion"/>
  </si>
  <si>
    <t>https://www.mee.gov.cn/hjzl/sthjzk/ydyhjgl/201909/P020190905586230826402.pdf</t>
  </si>
  <si>
    <t>货车比例</t>
    <phoneticPr fontId="37" type="noConversion"/>
  </si>
  <si>
    <t>柴油车数量</t>
    <phoneticPr fontId="37" type="noConversion"/>
  </si>
  <si>
    <t>汽油车数量</t>
    <phoneticPr fontId="37" type="noConversion"/>
  </si>
  <si>
    <t>汽油车占总体的比例同样来自</t>
    <phoneticPr fontId="37" type="noConversion"/>
  </si>
  <si>
    <t>客车、货车总体数值</t>
    <phoneticPr fontId="37" type="noConversion"/>
  </si>
  <si>
    <t>https://baijiahao.baidu.com/s?id=1622349088177624657&amp;wfr=spider&amp;for=pc</t>
    <phoneticPr fontId="37" type="noConversion"/>
  </si>
  <si>
    <t>http://www.sohu.com/a/288908266_99922905</t>
    <phoneticPr fontId="37" type="noConversion"/>
  </si>
  <si>
    <t>https://www.sohu.com/a/291989396_115312</t>
    <phoneticPr fontId="37" type="noConversion"/>
  </si>
  <si>
    <t>Passenger LDV</t>
  </si>
  <si>
    <t>Passenger HDV</t>
  </si>
  <si>
    <t>Freight LDV</t>
  </si>
  <si>
    <t>Freight HDV</t>
  </si>
  <si>
    <t>Battery</t>
  </si>
  <si>
    <t>Plug-in</t>
  </si>
  <si>
    <t>https://www.sohu.com/a/288908266_99922905</t>
  </si>
  <si>
    <t>LDV battery passenger</t>
    <phoneticPr fontId="37" type="noConversion"/>
  </si>
  <si>
    <t>LDV plug in hybrid passenger</t>
    <phoneticPr fontId="37" type="noConversion"/>
  </si>
  <si>
    <t>LDV battery freight</t>
    <phoneticPr fontId="37" type="noConversion"/>
  </si>
  <si>
    <t>LDV plug in hybrid freight</t>
    <phoneticPr fontId="37" type="noConversion"/>
  </si>
  <si>
    <t>HDV battery freight</t>
    <phoneticPr fontId="37" type="noConversion"/>
  </si>
  <si>
    <t>HDV plug in hybrid freight</t>
    <phoneticPr fontId="37" type="noConversion"/>
  </si>
  <si>
    <r>
      <t>参照总体的纯电和插电混比例进行计算，466000是纯电和混电</t>
    </r>
    <r>
      <rPr>
        <b/>
        <sz val="11"/>
        <color theme="1"/>
        <rFont val="宋体"/>
        <family val="3"/>
        <charset val="134"/>
        <scheme val="minor"/>
      </rPr>
      <t>公交车</t>
    </r>
    <r>
      <rPr>
        <sz val="11"/>
        <color theme="1"/>
        <rFont val="宋体"/>
        <family val="2"/>
        <scheme val="minor"/>
      </rPr>
      <t>的总量</t>
    </r>
    <phoneticPr fontId="37" type="noConversion"/>
  </si>
  <si>
    <t>新能源汽车</t>
    <phoneticPr fontId="37" type="noConversion"/>
  </si>
  <si>
    <t>假设产量比例为存量结构比例</t>
  </si>
  <si>
    <t>LDV</t>
  </si>
  <si>
    <t>HDV</t>
  </si>
  <si>
    <t>客车</t>
  </si>
  <si>
    <t>货车</t>
  </si>
  <si>
    <t>https://www.docin.com/p-2146232035.html</t>
    <phoneticPr fontId="37" type="noConversion"/>
  </si>
  <si>
    <t>source：https://www.docin.com/p-2146232035.html</t>
    <phoneticPr fontId="37" type="noConversion"/>
  </si>
  <si>
    <t>LDV passenger</t>
    <phoneticPr fontId="37" type="noConversion"/>
  </si>
  <si>
    <t>HDV passenger</t>
    <phoneticPr fontId="37" type="noConversion"/>
  </si>
  <si>
    <t>LDV freight</t>
    <phoneticPr fontId="37" type="noConversion"/>
  </si>
  <si>
    <t>HDV freight</t>
    <phoneticPr fontId="37" type="noConversion"/>
  </si>
  <si>
    <t>到底选哪个呢？还是按照58.2的重卡来算吧，否则有点多感觉</t>
    <phoneticPr fontId="37" type="noConversion"/>
  </si>
  <si>
    <t>2020全国汽车保有量-公安部交管局</t>
    <phoneticPr fontId="37" type="noConversion"/>
  </si>
  <si>
    <t>2020年全国汽车保有量-中国统计年鉴2021</t>
    <phoneticPr fontId="37" type="noConversion"/>
  </si>
  <si>
    <t xml:space="preserve">取 VECC2.2 交研院2.23 中汽中心2.39 三家 平均值计算  </t>
    <phoneticPr fontId="37" type="noConversion"/>
  </si>
  <si>
    <t>经过多方查看比较，2253000这个数字是客观的</t>
    <phoneticPr fontId="37" type="noConversion"/>
  </si>
  <si>
    <t>http://www.gov.cn/xinwen/2021-09/11/5636764/files/3ac6b9802f8b47fc8200403308a0d25d.pdf</t>
    <phoneticPr fontId="37" type="noConversion"/>
  </si>
  <si>
    <t>https://www.mee.gov.cn/hjzl/sthjzk/ydyhjgl/201909/P020190905586230826402.pdf</t>
    <phoneticPr fontId="37" type="noConversion"/>
  </si>
  <si>
    <t>http://www.xiangyierchina.com/news/qiyedongtai/195.html</t>
  </si>
  <si>
    <t>从下到上的加和计算</t>
    <phoneticPr fontId="37" type="noConversion"/>
  </si>
  <si>
    <t>从上到下与从下到上相结合计算</t>
    <phoneticPr fontId="37" type="noConversion"/>
  </si>
  <si>
    <r>
      <t>按照上面文档计算的</t>
    </r>
    <r>
      <rPr>
        <b/>
        <sz val="11"/>
        <color theme="1"/>
        <rFont val="宋体"/>
        <family val="3"/>
        <charset val="134"/>
        <scheme val="minor"/>
      </rPr>
      <t>柴油货车</t>
    </r>
    <r>
      <rPr>
        <sz val="11"/>
        <color theme="1"/>
        <rFont val="宋体"/>
        <family val="2"/>
        <scheme val="minor"/>
      </rPr>
      <t>数量，用来折算实际</t>
    </r>
    <r>
      <rPr>
        <b/>
        <sz val="11"/>
        <color theme="1"/>
        <rFont val="宋体"/>
        <family val="3"/>
        <charset val="134"/>
        <scheme val="minor"/>
      </rPr>
      <t>柴油货车</t>
    </r>
    <r>
      <rPr>
        <sz val="11"/>
        <color theme="1"/>
        <rFont val="宋体"/>
        <family val="2"/>
        <scheme val="minor"/>
      </rPr>
      <t>数量</t>
    </r>
    <phoneticPr fontId="37" type="noConversion"/>
  </si>
  <si>
    <r>
      <t>按照下面文档计算的</t>
    </r>
    <r>
      <rPr>
        <b/>
        <sz val="11"/>
        <color theme="1"/>
        <rFont val="宋体"/>
        <family val="3"/>
        <charset val="134"/>
        <scheme val="minor"/>
      </rPr>
      <t>柴油车</t>
    </r>
    <r>
      <rPr>
        <sz val="11"/>
        <color theme="1"/>
        <rFont val="宋体"/>
        <family val="2"/>
        <scheme val="minor"/>
      </rPr>
      <t>数量</t>
    </r>
    <phoneticPr fontId="37" type="noConversion"/>
  </si>
  <si>
    <t>https://www.chinabaogao.com/data/202204/589607.html</t>
  </si>
  <si>
    <t>根据上述链接，2022年轻型货车约为2202万辆，重型货车约为840.64万辆</t>
    <phoneticPr fontId="37" type="noConversion"/>
  </si>
  <si>
    <t>与左侧数据融合得到的数据高度一致</t>
    <phoneticPr fontId="37" type="noConversion"/>
  </si>
  <si>
    <t>该数据不再采信</t>
    <phoneticPr fontId="37" type="noConversion"/>
  </si>
  <si>
    <t>https://www.naturalgasworld.com/evs-gain-supremacy-as-chinas-low-carbon-transport-of-choice-gas-in-transition-95658#:~:text=In%202020%2C%20the%20Chinese%20compressed,PetroChina%2Daffiliated%20oil%20industry%20newspaper.</t>
  </si>
  <si>
    <t>天然气 natural gas vehicle</t>
    <phoneticPr fontId="37" type="noConversion"/>
  </si>
  <si>
    <t>船舶数据等经理要,后续：没要来</t>
    <phoneticPr fontId="37" type="noConversion"/>
  </si>
  <si>
    <t>https://www.sohu.com/a/246377060_99897235</t>
  </si>
  <si>
    <t>2018年货船12万艘，按照同样比例计算2020年货船和客船数量</t>
    <phoneticPr fontId="37" type="noConversion"/>
  </si>
  <si>
    <t>尽管我国在锂离子电池储能系统的关键技术上已经取得了重大突破，但基于安全性和经济性考虑，我国的纯电动船舶发展仍然不足。以我国内河的纯电动船舶应用为例，我国内河船舶约有13万艘，仅长江和京杭运河的船舶总数超过6万艘，但目前已建造的内河电动船舶仅20余艘。</t>
  </si>
  <si>
    <t>我国电池近年来动力船舶发展也较为迅猛：2019年全国交通运输工作会议上明确将加快新能源和清洁能源车船推广应用，其中就包括加快推动船舶靠港使用岸电，着力提升岸电设施利用率——截至目前，仅内河已建成使用各种电动船舶近30艘，船型包括客船、渡船、公务船、干散货船等。</t>
  </si>
  <si>
    <t>https://www.163.com/dy/article/GL0AE2HP0511DTU9.html</t>
  </si>
  <si>
    <t>电动客船约为250艘</t>
    <phoneticPr fontId="37" type="noConversion"/>
  </si>
  <si>
    <t>电动客船</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</si>
</sst>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76" formatCode="_(&quot;$&quot;* #,##0.00_);_(&quot;$&quot;* \(#,##0.00\);_(&quot;$&quot;* &quot;-&quot;??_);_(@_)"/>
    <numFmt numFmtId="177" formatCode="_(* #,##0.00_);_(* \(#,##0.00\);_(* &quot;-&quot;??_);_(@_)"/>
    <numFmt numFmtId="178" formatCode="###0.00_)"/>
    <numFmt numFmtId="179" formatCode="#,##0_)"/>
    <numFmt numFmtId="180" formatCode="_ * #,##0_ ;_ * \-#,##0_ ;_ * &quot;-&quot;??_ ;_ @_ "/>
    <numFmt numFmtId="181" formatCode="0_ "/>
    <numFmt numFmtId="182" formatCode="0.0%"/>
  </numFmts>
  <fonts count="60">
    <font>
      <sz val="11"/>
      <color theme="1"/>
      <name val="宋体"/>
      <family val="2"/>
      <scheme val="minor"/>
    </font>
    <font>
      <b/>
      <sz val="11"/>
      <color theme="1"/>
      <name val="宋体"/>
      <family val="2"/>
      <scheme val="minor"/>
    </font>
    <font>
      <sz val="9"/>
      <color indexed="8"/>
      <name val="Calibri"/>
      <family val="2"/>
    </font>
    <font>
      <b/>
      <sz val="9"/>
      <color indexed="8"/>
      <name val="Calibri"/>
      <family val="2"/>
    </font>
    <font>
      <b/>
      <sz val="12"/>
      <color indexed="30"/>
      <name val="Calibri"/>
      <family val="2"/>
    </font>
    <font>
      <sz val="10"/>
      <color indexed="8"/>
      <name val="Arial"/>
      <family val="2"/>
    </font>
    <font>
      <sz val="11"/>
      <color theme="1"/>
      <name val="宋体"/>
      <family val="2"/>
      <scheme val="minor"/>
    </font>
    <font>
      <sz val="10"/>
      <name val="Arial"/>
      <family val="2"/>
    </font>
    <font>
      <sz val="8"/>
      <name val="Helv"/>
    </font>
    <font>
      <b/>
      <sz val="10"/>
      <name val="Helv"/>
    </font>
    <font>
      <b/>
      <sz val="14"/>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color theme="1"/>
      <name val="宋体"/>
      <family val="2"/>
      <charset val="129"/>
      <scheme val="minor"/>
    </font>
    <font>
      <sz val="10"/>
      <name val="HELV"/>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9"/>
      <name val="Helv"/>
    </font>
    <font>
      <sz val="8.5"/>
      <name val="Helv"/>
    </font>
    <font>
      <sz val="11"/>
      <color indexed="62"/>
      <name val="Calibri"/>
      <family val="2"/>
    </font>
    <font>
      <sz val="11"/>
      <color indexed="52"/>
      <name val="Calibri"/>
      <family val="2"/>
    </font>
    <font>
      <sz val="11"/>
      <color indexed="60"/>
      <name val="Calibri"/>
      <family val="2"/>
    </font>
    <font>
      <sz val="10"/>
      <name val="P-AVGARD"/>
    </font>
    <font>
      <sz val="6"/>
      <name val="P-AVGARD"/>
    </font>
    <font>
      <b/>
      <sz val="11"/>
      <color indexed="63"/>
      <name val="Calibri"/>
      <family val="2"/>
    </font>
    <font>
      <b/>
      <sz val="18"/>
      <color indexed="56"/>
      <name val="Cambria"/>
      <family val="2"/>
    </font>
    <font>
      <b/>
      <sz val="12"/>
      <name val="Helv"/>
    </font>
    <font>
      <b/>
      <sz val="11"/>
      <color indexed="8"/>
      <name val="Calibri"/>
      <family val="2"/>
    </font>
    <font>
      <sz val="11"/>
      <color indexed="10"/>
      <name val="Calibri"/>
      <family val="2"/>
    </font>
    <font>
      <sz val="9"/>
      <name val="宋体"/>
      <family val="3"/>
      <charset val="134"/>
      <scheme val="minor"/>
    </font>
    <font>
      <u/>
      <sz val="11"/>
      <color theme="10"/>
      <name val="宋体"/>
      <family val="2"/>
      <scheme val="minor"/>
    </font>
    <font>
      <u/>
      <sz val="11"/>
      <color theme="11"/>
      <name val="宋体"/>
      <family val="2"/>
      <scheme val="minor"/>
    </font>
    <font>
      <b/>
      <sz val="11"/>
      <color theme="1"/>
      <name val="宋体"/>
      <family val="3"/>
      <charset val="134"/>
      <scheme val="minor"/>
    </font>
    <font>
      <sz val="9"/>
      <color rgb="FF404040"/>
      <name val="Arial"/>
      <family val="2"/>
    </font>
    <font>
      <sz val="9"/>
      <color rgb="FF404040"/>
      <name val="Arial"/>
      <family val="3"/>
      <charset val="134"/>
    </font>
    <font>
      <sz val="9"/>
      <color indexed="81"/>
      <name val="宋体"/>
      <family val="3"/>
      <charset val="134"/>
    </font>
    <font>
      <b/>
      <sz val="9"/>
      <color indexed="81"/>
      <name val="宋体"/>
      <family val="3"/>
      <charset val="134"/>
    </font>
    <font>
      <sz val="9"/>
      <color indexed="81"/>
      <name val="Tahoma"/>
      <family val="2"/>
    </font>
    <font>
      <sz val="12"/>
      <color rgb="FF000000"/>
      <name val="宋体"/>
      <family val="3"/>
      <charset val="134"/>
      <scheme val="minor"/>
    </font>
    <font>
      <sz val="12"/>
      <color rgb="FF000000"/>
      <name val="微软雅黑"/>
      <family val="2"/>
      <charset val="134"/>
    </font>
    <font>
      <b/>
      <sz val="9"/>
      <color indexed="81"/>
      <name val="Tahoma"/>
      <family val="2"/>
    </font>
    <font>
      <sz val="11"/>
      <color rgb="FFFF0000"/>
      <name val="宋体"/>
      <family val="2"/>
      <scheme val="minor"/>
    </font>
    <font>
      <sz val="11"/>
      <color theme="9" tint="-0.249977111117893"/>
      <name val="宋体"/>
      <family val="3"/>
      <charset val="134"/>
      <scheme val="minor"/>
    </font>
    <font>
      <sz val="11"/>
      <color theme="9" tint="-0.249977111117893"/>
      <name val="宋体"/>
      <family val="2"/>
      <scheme val="minor"/>
    </font>
    <font>
      <sz val="12"/>
      <color rgb="FF404040"/>
      <name val="Microsoft Yahei"/>
      <family val="2"/>
      <charset val="134"/>
    </font>
    <font>
      <sz val="12"/>
      <color rgb="FF323E32"/>
      <name val="Microsoft YaHei"/>
      <family val="2"/>
      <charset val="134"/>
    </font>
    <font>
      <sz val="11"/>
      <color rgb="FF000000"/>
      <name val="宋体"/>
      <family val="3"/>
      <charset val="134"/>
      <scheme val="minor"/>
    </font>
    <font>
      <sz val="12"/>
      <color rgb="FF000000"/>
      <name val="Arial"/>
      <family val="2"/>
    </font>
    <font>
      <sz val="11"/>
      <name val="宋体"/>
      <family val="2"/>
      <scheme val="minor"/>
    </font>
    <font>
      <b/>
      <sz val="10"/>
      <color rgb="FF333333"/>
      <name val="宋体"/>
      <family val="3"/>
      <charset val="134"/>
      <scheme val="minor"/>
    </font>
    <font>
      <b/>
      <sz val="10"/>
      <color rgb="FF202124"/>
      <name val="Arial"/>
      <family val="2"/>
    </font>
    <font>
      <sz val="11"/>
      <color rgb="FF333333"/>
      <name val="Arial"/>
      <family val="2"/>
    </font>
  </fonts>
  <fills count="35">
    <fill>
      <patternFill patternType="none"/>
    </fill>
    <fill>
      <patternFill patternType="gray125"/>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s>
  <borders count="21">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rgb="FFB2B2B2"/>
      </left>
      <right style="thin">
        <color rgb="FFB2B2B2"/>
      </right>
      <top style="thin">
        <color rgb="FFB2B2B2"/>
      </top>
      <bottom style="thin">
        <color rgb="FFB2B2B2"/>
      </bottom>
      <diagonal/>
    </border>
    <border>
      <left/>
      <right/>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213">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7" fillId="0" borderId="0"/>
    <xf numFmtId="0" fontId="8" fillId="0" borderId="0">
      <alignment horizontal="left"/>
    </xf>
    <xf numFmtId="0" fontId="6" fillId="0" borderId="0"/>
    <xf numFmtId="177" fontId="7" fillId="0" borderId="0" applyFont="0" applyFill="0" applyBorder="0" applyAlignment="0" applyProtection="0"/>
    <xf numFmtId="0" fontId="6" fillId="0" borderId="0"/>
    <xf numFmtId="0" fontId="9" fillId="0" borderId="6">
      <alignment horizontal="left"/>
    </xf>
    <xf numFmtId="0" fontId="10" fillId="0" borderId="0">
      <alignment horizontal="left" vertical="top"/>
    </xf>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6" borderId="0" applyNumberFormat="0" applyBorder="0" applyAlignment="0" applyProtection="0"/>
    <xf numFmtId="0" fontId="11" fillId="9" borderId="0" applyNumberFormat="0" applyBorder="0" applyAlignment="0" applyProtection="0"/>
    <xf numFmtId="0" fontId="11" fillId="12" borderId="0" applyNumberFormat="0" applyBorder="0" applyAlignment="0" applyProtection="0"/>
    <xf numFmtId="0" fontId="12" fillId="13"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20" borderId="0" applyNumberFormat="0" applyBorder="0" applyAlignment="0" applyProtection="0"/>
    <xf numFmtId="0" fontId="13" fillId="4" borderId="0" applyNumberFormat="0" applyBorder="0" applyAlignment="0" applyProtection="0"/>
    <xf numFmtId="0" fontId="14" fillId="21" borderId="7" applyNumberFormat="0" applyAlignment="0" applyProtection="0"/>
    <xf numFmtId="0" fontId="15" fillId="22" borderId="8" applyNumberFormat="0" applyAlignment="0" applyProtection="0"/>
    <xf numFmtId="177" fontId="6" fillId="0" borderId="0" applyFont="0" applyFill="0" applyBorder="0" applyAlignment="0" applyProtection="0"/>
    <xf numFmtId="177" fontId="7" fillId="0" borderId="0" applyFont="0" applyFill="0" applyBorder="0" applyAlignment="0" applyProtection="0"/>
    <xf numFmtId="177" fontId="7" fillId="0" borderId="0" applyFont="0" applyFill="0" applyBorder="0" applyAlignment="0" applyProtection="0"/>
    <xf numFmtId="177" fontId="16" fillId="0" borderId="0" applyFont="0" applyFill="0" applyBorder="0" applyAlignment="0" applyProtection="0"/>
    <xf numFmtId="177" fontId="11" fillId="0" borderId="0" applyFont="0" applyFill="0" applyBorder="0" applyAlignment="0" applyProtection="0"/>
    <xf numFmtId="177" fontId="7" fillId="0" borderId="0" applyFont="0" applyFill="0" applyBorder="0" applyAlignment="0" applyProtection="0"/>
    <xf numFmtId="177" fontId="11"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176" fontId="7" fillId="0" borderId="0" applyFont="0" applyFill="0" applyBorder="0" applyAlignment="0" applyProtection="0"/>
    <xf numFmtId="176" fontId="6" fillId="0" borderId="0" applyFont="0" applyFill="0" applyBorder="0" applyAlignment="0" applyProtection="0"/>
    <xf numFmtId="176" fontId="7" fillId="0" borderId="0" applyFont="0" applyFill="0" applyBorder="0" applyAlignment="0" applyProtection="0"/>
    <xf numFmtId="178" fontId="17" fillId="0" borderId="6" applyNumberFormat="0" applyFill="0">
      <alignment horizontal="right"/>
    </xf>
    <xf numFmtId="179" fontId="18" fillId="0" borderId="6">
      <alignment horizontal="right" vertical="center"/>
    </xf>
    <xf numFmtId="49" fontId="19" fillId="0" borderId="6">
      <alignment horizontal="left" vertical="center"/>
    </xf>
    <xf numFmtId="178" fontId="17" fillId="0" borderId="6" applyNumberFormat="0" applyFill="0">
      <alignment horizontal="right"/>
    </xf>
    <xf numFmtId="0" fontId="20" fillId="0" borderId="0" applyNumberFormat="0" applyFill="0" applyBorder="0" applyAlignment="0" applyProtection="0"/>
    <xf numFmtId="0" fontId="21" fillId="5" borderId="0" applyNumberFormat="0" applyBorder="0" applyAlignment="0" applyProtection="0"/>
    <xf numFmtId="0" fontId="22" fillId="0" borderId="9" applyNumberFormat="0" applyFill="0" applyAlignment="0" applyProtection="0"/>
    <xf numFmtId="0" fontId="23" fillId="0" borderId="10" applyNumberFormat="0" applyFill="0" applyAlignment="0" applyProtection="0"/>
    <xf numFmtId="0" fontId="24" fillId="0" borderId="11" applyNumberFormat="0" applyFill="0" applyAlignment="0" applyProtection="0"/>
    <xf numFmtId="0" fontId="24" fillId="0" borderId="0" applyNumberFormat="0" applyFill="0" applyBorder="0" applyAlignment="0" applyProtection="0"/>
    <xf numFmtId="0" fontId="25" fillId="0" borderId="12">
      <alignment horizontal="right" vertical="center"/>
    </xf>
    <xf numFmtId="0" fontId="26" fillId="0" borderId="6">
      <alignment horizontal="left" vertical="center"/>
    </xf>
    <xf numFmtId="0" fontId="17" fillId="0" borderId="6">
      <alignment horizontal="left" vertical="center"/>
    </xf>
    <xf numFmtId="0" fontId="9" fillId="0" borderId="6">
      <alignment horizontal="left"/>
    </xf>
    <xf numFmtId="0" fontId="9" fillId="23" borderId="0">
      <alignment horizontal="centerContinuous" wrapText="1"/>
    </xf>
    <xf numFmtId="0" fontId="27" fillId="8" borderId="7" applyNumberFormat="0" applyAlignment="0" applyProtection="0"/>
    <xf numFmtId="0" fontId="28" fillId="0" borderId="13" applyNumberFormat="0" applyFill="0" applyAlignment="0" applyProtection="0"/>
    <xf numFmtId="0" fontId="29" fillId="24" borderId="0" applyNumberFormat="0" applyBorder="0" applyAlignment="0" applyProtection="0"/>
    <xf numFmtId="0" fontId="6"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1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7" fillId="0" borderId="0"/>
    <xf numFmtId="37" fontId="30" fillId="0" borderId="0"/>
    <xf numFmtId="0" fontId="6" fillId="0" borderId="0"/>
    <xf numFmtId="37" fontId="31" fillId="0" borderId="0"/>
    <xf numFmtId="0" fontId="7" fillId="0" borderId="0"/>
    <xf numFmtId="0" fontId="6" fillId="0" borderId="0"/>
    <xf numFmtId="0" fontId="6" fillId="0" borderId="0"/>
    <xf numFmtId="0" fontId="6" fillId="0" borderId="0"/>
    <xf numFmtId="0" fontId="6" fillId="2" borderId="5" applyNumberFormat="0" applyFont="0" applyAlignment="0" applyProtection="0"/>
    <xf numFmtId="0" fontId="7" fillId="25" borderId="14" applyNumberFormat="0" applyFont="0" applyAlignment="0" applyProtection="0"/>
    <xf numFmtId="0" fontId="32" fillId="21" borderId="15" applyNumberFormat="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0" fontId="8" fillId="0" borderId="0">
      <alignment horizontal="right"/>
    </xf>
    <xf numFmtId="0" fontId="19" fillId="0" borderId="0">
      <alignment horizontal="right"/>
    </xf>
    <xf numFmtId="49" fontId="18" fillId="0" borderId="0">
      <alignment horizontal="left" vertical="center"/>
    </xf>
    <xf numFmtId="49" fontId="19" fillId="0" borderId="6">
      <alignment horizontal="left"/>
    </xf>
    <xf numFmtId="178" fontId="18" fillId="0" borderId="0" applyNumberFormat="0">
      <alignment horizontal="right"/>
    </xf>
    <xf numFmtId="0" fontId="25" fillId="26" borderId="0">
      <alignment horizontal="centerContinuous" vertical="center" wrapText="1"/>
    </xf>
    <xf numFmtId="0" fontId="25" fillId="0" borderId="16">
      <alignment horizontal="left" vertical="center"/>
    </xf>
    <xf numFmtId="0" fontId="33" fillId="0" borderId="0" applyNumberFormat="0" applyFill="0" applyBorder="0" applyAlignment="0" applyProtection="0"/>
    <xf numFmtId="0" fontId="9" fillId="0" borderId="0">
      <alignment horizontal="left"/>
    </xf>
    <xf numFmtId="0" fontId="34" fillId="0" borderId="0">
      <alignment horizontal="left"/>
    </xf>
    <xf numFmtId="0" fontId="17" fillId="0" borderId="0">
      <alignment horizontal="left"/>
    </xf>
    <xf numFmtId="0" fontId="34" fillId="0" borderId="0">
      <alignment horizontal="left"/>
    </xf>
    <xf numFmtId="0" fontId="17" fillId="0" borderId="0">
      <alignment horizontal="left"/>
    </xf>
    <xf numFmtId="0" fontId="35" fillId="0" borderId="17" applyNumberFormat="0" applyFill="0" applyAlignment="0" applyProtection="0"/>
    <xf numFmtId="0" fontId="36" fillId="0" borderId="0" applyNumberFormat="0" applyFill="0" applyBorder="0" applyAlignment="0" applyProtection="0"/>
    <xf numFmtId="49" fontId="18" fillId="0" borderId="6">
      <alignment horizontal="left"/>
    </xf>
    <xf numFmtId="0" fontId="25" fillId="0" borderId="12">
      <alignment horizontal="left"/>
    </xf>
    <xf numFmtId="0" fontId="9" fillId="0" borderId="0">
      <alignment horizontal="left" vertical="center"/>
    </xf>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43" fontId="6" fillId="0" borderId="0" applyFont="0" applyFill="0" applyBorder="0" applyAlignment="0" applyProtection="0">
      <alignment vertical="center"/>
    </xf>
    <xf numFmtId="0" fontId="38" fillId="0" borderId="0" applyNumberFormat="0" applyFill="0" applyBorder="0" applyAlignment="0" applyProtection="0"/>
    <xf numFmtId="9" fontId="6" fillId="0" borderId="0" applyFont="0" applyFill="0" applyBorder="0" applyAlignment="0" applyProtection="0">
      <alignment vertical="center"/>
    </xf>
  </cellStyleXfs>
  <cellXfs count="83">
    <xf numFmtId="0" fontId="0" fillId="0" borderId="0" xfId="0"/>
    <xf numFmtId="0" fontId="1" fillId="0" borderId="0" xfId="0" applyFont="1" applyAlignment="1">
      <alignment wrapText="1"/>
    </xf>
    <xf numFmtId="180" fontId="0" fillId="0" borderId="0" xfId="210" applyNumberFormat="1" applyFont="1" applyAlignment="1"/>
    <xf numFmtId="0" fontId="38" fillId="0" borderId="0" xfId="211"/>
    <xf numFmtId="180" fontId="0" fillId="0" borderId="0" xfId="210" applyNumberFormat="1" applyFont="1" applyAlignment="1">
      <alignment wrapText="1"/>
    </xf>
    <xf numFmtId="0" fontId="40" fillId="27" borderId="0" xfId="0" applyFont="1" applyFill="1"/>
    <xf numFmtId="0" fontId="0" fillId="0" borderId="0" xfId="0" applyAlignment="1">
      <alignment horizontal="center" wrapText="1"/>
    </xf>
    <xf numFmtId="0" fontId="41" fillId="0" borderId="0" xfId="0" applyFont="1" applyAlignment="1">
      <alignment wrapText="1"/>
    </xf>
    <xf numFmtId="0" fontId="42" fillId="0" borderId="0" xfId="0" applyFont="1"/>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right"/>
    </xf>
    <xf numFmtId="1" fontId="0" fillId="0" borderId="0" xfId="0" applyNumberFormat="1"/>
    <xf numFmtId="0" fontId="0" fillId="0" borderId="0" xfId="0" applyAlignment="1">
      <alignment horizontal="center"/>
    </xf>
    <xf numFmtId="0" fontId="0" fillId="28" borderId="0" xfId="0" applyFill="1" applyAlignment="1">
      <alignment horizontal="center"/>
    </xf>
    <xf numFmtId="0" fontId="0" fillId="28" borderId="0" xfId="0" applyFill="1"/>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xf>
    <xf numFmtId="10" fontId="0" fillId="28" borderId="0" xfId="0" applyNumberFormat="1" applyFill="1"/>
    <xf numFmtId="0" fontId="0" fillId="0" borderId="18" xfId="0" applyBorder="1" applyAlignment="1">
      <alignment horizontal="center"/>
    </xf>
    <xf numFmtId="0" fontId="0" fillId="0" borderId="18" xfId="0" applyBorder="1" applyAlignment="1">
      <alignment horizontal="center" vertical="center"/>
    </xf>
    <xf numFmtId="0" fontId="0" fillId="0" borderId="19" xfId="0" applyBorder="1" applyAlignment="1">
      <alignment horizontal="center"/>
    </xf>
    <xf numFmtId="0" fontId="40" fillId="0" borderId="0" xfId="0" applyFont="1" applyAlignment="1">
      <alignment horizontal="center" wrapText="1"/>
    </xf>
    <xf numFmtId="0" fontId="0" fillId="29" borderId="0" xfId="0" applyFill="1" applyAlignment="1">
      <alignment horizontal="center"/>
    </xf>
    <xf numFmtId="0" fontId="1" fillId="0" borderId="0" xfId="0" applyFont="1" applyAlignment="1">
      <alignment vertical="center" wrapText="1"/>
    </xf>
    <xf numFmtId="0" fontId="38" fillId="0" borderId="0" xfId="211" applyAlignment="1">
      <alignment vertical="center"/>
    </xf>
    <xf numFmtId="0" fontId="40" fillId="0" borderId="0" xfId="0" applyFont="1" applyAlignment="1">
      <alignment horizontal="center"/>
    </xf>
    <xf numFmtId="0" fontId="40" fillId="0" borderId="0" xfId="0" applyFont="1" applyAlignment="1">
      <alignment horizontal="left"/>
    </xf>
    <xf numFmtId="10" fontId="0" fillId="0" borderId="0" xfId="0" applyNumberFormat="1"/>
    <xf numFmtId="9" fontId="0" fillId="0" borderId="0" xfId="212" applyFont="1" applyAlignment="1"/>
    <xf numFmtId="181" fontId="0" fillId="0" borderId="0" xfId="212" applyNumberFormat="1" applyFont="1" applyAlignment="1"/>
    <xf numFmtId="0" fontId="0" fillId="0" borderId="0" xfId="0" applyAlignment="1">
      <alignment horizontal="left" indent="1"/>
    </xf>
    <xf numFmtId="0" fontId="46" fillId="0" borderId="0" xfId="0" applyFont="1"/>
    <xf numFmtId="181" fontId="0" fillId="0" borderId="0" xfId="0" applyNumberFormat="1"/>
    <xf numFmtId="0" fontId="47" fillId="0" borderId="0" xfId="0" applyFont="1"/>
    <xf numFmtId="0" fontId="0" fillId="30" borderId="0" xfId="0" applyFill="1" applyAlignment="1">
      <alignment horizontal="center"/>
    </xf>
    <xf numFmtId="0" fontId="0" fillId="30" borderId="18" xfId="0" applyFill="1" applyBorder="1" applyAlignment="1">
      <alignment horizontal="center"/>
    </xf>
    <xf numFmtId="0" fontId="40" fillId="31" borderId="0" xfId="0" applyFont="1" applyFill="1" applyAlignment="1">
      <alignment horizontal="center"/>
    </xf>
    <xf numFmtId="0" fontId="0" fillId="0" borderId="18" xfId="0" applyBorder="1"/>
    <xf numFmtId="0" fontId="49" fillId="0" borderId="0" xfId="0" applyFont="1"/>
    <xf numFmtId="10" fontId="50" fillId="0" borderId="18" xfId="0" applyNumberFormat="1" applyFont="1" applyBorder="1"/>
    <xf numFmtId="0" fontId="51" fillId="0" borderId="0" xfId="0" applyFont="1" applyAlignment="1">
      <alignment horizontal="center" vertical="center" wrapText="1"/>
    </xf>
    <xf numFmtId="0" fontId="50" fillId="0" borderId="0" xfId="0" applyFont="1" applyAlignment="1">
      <alignment horizontal="center"/>
    </xf>
    <xf numFmtId="0" fontId="51" fillId="0" borderId="0" xfId="0" applyFont="1"/>
    <xf numFmtId="0" fontId="0" fillId="0" borderId="18" xfId="0" applyBorder="1" applyAlignment="1">
      <alignment horizontal="right"/>
    </xf>
    <xf numFmtId="182" fontId="0" fillId="0" borderId="18" xfId="212" applyNumberFormat="1" applyFont="1" applyBorder="1" applyAlignment="1">
      <alignment horizontal="center"/>
    </xf>
    <xf numFmtId="180" fontId="50" fillId="0" borderId="18" xfId="210" applyNumberFormat="1" applyFont="1" applyBorder="1" applyAlignment="1"/>
    <xf numFmtId="180" fontId="0" fillId="0" borderId="0" xfId="0" applyNumberFormat="1"/>
    <xf numFmtId="180" fontId="0" fillId="0" borderId="0" xfId="210" applyNumberFormat="1" applyFont="1" applyAlignment="1">
      <alignment horizontal="center"/>
    </xf>
    <xf numFmtId="0" fontId="53" fillId="0" borderId="0" xfId="0" applyFont="1"/>
    <xf numFmtId="180" fontId="0" fillId="0" borderId="18" xfId="210" applyNumberFormat="1" applyFont="1" applyBorder="1" applyAlignment="1">
      <alignment horizontal="center"/>
    </xf>
    <xf numFmtId="0" fontId="55" fillId="0" borderId="0" xfId="0" applyFont="1"/>
    <xf numFmtId="182" fontId="0" fillId="0" borderId="0" xfId="212" applyNumberFormat="1" applyFont="1" applyAlignment="1"/>
    <xf numFmtId="180" fontId="0" fillId="32" borderId="0" xfId="210" applyNumberFormat="1" applyFont="1" applyFill="1" applyAlignment="1"/>
    <xf numFmtId="180" fontId="0" fillId="28" borderId="0" xfId="210" applyNumberFormat="1" applyFont="1" applyFill="1" applyAlignment="1">
      <alignment horizontal="center"/>
    </xf>
    <xf numFmtId="0" fontId="0" fillId="32" borderId="0" xfId="0" applyFill="1" applyAlignment="1">
      <alignment wrapText="1"/>
    </xf>
    <xf numFmtId="180" fontId="0" fillId="32" borderId="0" xfId="0" applyNumberFormat="1" applyFill="1"/>
    <xf numFmtId="0" fontId="0" fillId="33" borderId="0" xfId="0" applyFill="1"/>
    <xf numFmtId="0" fontId="57" fillId="33" borderId="0" xfId="0" applyFont="1" applyFill="1"/>
    <xf numFmtId="1" fontId="0" fillId="33" borderId="0" xfId="0" applyNumberFormat="1" applyFill="1"/>
    <xf numFmtId="0" fontId="0" fillId="34" borderId="0" xfId="0" applyFill="1" applyAlignment="1">
      <alignment horizontal="center"/>
    </xf>
    <xf numFmtId="0" fontId="1" fillId="33" borderId="0" xfId="0" applyFont="1" applyFill="1"/>
    <xf numFmtId="180" fontId="0" fillId="33" borderId="0" xfId="210" applyNumberFormat="1" applyFont="1" applyFill="1" applyAlignment="1"/>
    <xf numFmtId="3" fontId="58" fillId="0" borderId="0" xfId="0" applyNumberFormat="1" applyFont="1"/>
    <xf numFmtId="0" fontId="59" fillId="0" borderId="0" xfId="0" applyFont="1"/>
    <xf numFmtId="0" fontId="49" fillId="33" borderId="0" xfId="0" applyFont="1" applyFill="1"/>
    <xf numFmtId="1" fontId="49" fillId="33" borderId="0" xfId="0" applyNumberFormat="1" applyFont="1" applyFill="1"/>
    <xf numFmtId="0" fontId="56" fillId="33" borderId="0" xfId="0" applyFont="1" applyFill="1"/>
    <xf numFmtId="0" fontId="0" fillId="32" borderId="0" xfId="0" applyFill="1"/>
    <xf numFmtId="0" fontId="41" fillId="0" borderId="0" xfId="0" applyFont="1" applyAlignment="1">
      <alignment horizontal="left" wrapText="1"/>
    </xf>
    <xf numFmtId="0" fontId="0" fillId="0" borderId="0" xfId="0" applyAlignment="1">
      <alignment horizontal="center" vertical="center"/>
    </xf>
    <xf numFmtId="0" fontId="0" fillId="0" borderId="0" xfId="0" applyAlignment="1">
      <alignment horizontal="left" vertical="center" wrapText="1"/>
    </xf>
    <xf numFmtId="0" fontId="0" fillId="0" borderId="0" xfId="0"/>
    <xf numFmtId="0" fontId="0" fillId="0" borderId="18" xfId="0" applyBorder="1" applyAlignment="1">
      <alignment horizontal="center" vertical="center"/>
    </xf>
    <xf numFmtId="0" fontId="0" fillId="0" borderId="18" xfId="0" applyBorder="1" applyAlignment="1">
      <alignment horizontal="center"/>
    </xf>
    <xf numFmtId="0" fontId="0" fillId="0" borderId="18" xfId="0" applyBorder="1" applyAlignment="1">
      <alignment horizontal="center" vertical="center" wrapText="1"/>
    </xf>
    <xf numFmtId="0" fontId="54" fillId="0" borderId="0" xfId="0" applyFont="1" applyAlignment="1">
      <alignment horizontal="left" wrapText="1"/>
    </xf>
    <xf numFmtId="180" fontId="0" fillId="0" borderId="0" xfId="0" applyNumberFormat="1" applyAlignment="1">
      <alignment horizontal="left" wrapText="1"/>
    </xf>
    <xf numFmtId="0" fontId="0" fillId="0" borderId="20" xfId="0" applyBorder="1" applyAlignment="1">
      <alignment horizontal="left" vertical="center"/>
    </xf>
    <xf numFmtId="0" fontId="52" fillId="0" borderId="0" xfId="0" applyFont="1" applyAlignment="1">
      <alignment horizontal="left" wrapText="1"/>
    </xf>
  </cellXfs>
  <cellStyles count="213">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Body: normal cell" xfId="4" xr:uid="{00000000-0005-0000-0000-000019000000}"/>
    <cellStyle name="Calculation 2" xfId="40" xr:uid="{00000000-0005-0000-0000-00001A000000}"/>
    <cellStyle name="Check Cell 2" xfId="41" xr:uid="{00000000-0005-0000-0000-00001B000000}"/>
    <cellStyle name="Comma 2" xfId="42" xr:uid="{00000000-0005-0000-0000-00001D000000}"/>
    <cellStyle name="Comma 2 2" xfId="11" xr:uid="{00000000-0005-0000-0000-00001E000000}"/>
    <cellStyle name="Comma 2 2 2" xfId="43" xr:uid="{00000000-0005-0000-0000-00001F000000}"/>
    <cellStyle name="Comma 2 2 3" xfId="44" xr:uid="{00000000-0005-0000-0000-000020000000}"/>
    <cellStyle name="Comma 2 3" xfId="45" xr:uid="{00000000-0005-0000-0000-000021000000}"/>
    <cellStyle name="Comma 3" xfId="46" xr:uid="{00000000-0005-0000-0000-000022000000}"/>
    <cellStyle name="Comma 4" xfId="47" xr:uid="{00000000-0005-0000-0000-000023000000}"/>
    <cellStyle name="Comma 5" xfId="48" xr:uid="{00000000-0005-0000-0000-000024000000}"/>
    <cellStyle name="Comma 6" xfId="49" xr:uid="{00000000-0005-0000-0000-000025000000}"/>
    <cellStyle name="Comma 7" xfId="50" xr:uid="{00000000-0005-0000-0000-000026000000}"/>
    <cellStyle name="Currency 2" xfId="51" xr:uid="{00000000-0005-0000-0000-000027000000}"/>
    <cellStyle name="Currency 3" xfId="52" xr:uid="{00000000-0005-0000-0000-000028000000}"/>
    <cellStyle name="Currency 3 2" xfId="53" xr:uid="{00000000-0005-0000-0000-000029000000}"/>
    <cellStyle name="Data" xfId="54" xr:uid="{00000000-0005-0000-0000-00002A000000}"/>
    <cellStyle name="Data no deci" xfId="55" xr:uid="{00000000-0005-0000-0000-00002B000000}"/>
    <cellStyle name="Data Superscript" xfId="56" xr:uid="{00000000-0005-0000-0000-00002C000000}"/>
    <cellStyle name="Data_1-1A-Regular" xfId="57" xr:uid="{00000000-0005-0000-0000-00002D000000}"/>
    <cellStyle name="Explanatory Text 2" xfId="58" xr:uid="{00000000-0005-0000-0000-00002E000000}"/>
    <cellStyle name="Font: Calibri, 9pt regular" xfId="6" xr:uid="{00000000-0005-0000-0000-000052000000}"/>
    <cellStyle name="Footnotes: top row" xfId="2" xr:uid="{00000000-0005-0000-0000-000053000000}"/>
    <cellStyle name="Good 2" xfId="59" xr:uid="{00000000-0005-0000-0000-000054000000}"/>
    <cellStyle name="Header: bottom row" xfId="5" xr:uid="{00000000-0005-0000-0000-000055000000}"/>
    <cellStyle name="Heading 1 2" xfId="60" xr:uid="{00000000-0005-0000-0000-000056000000}"/>
    <cellStyle name="Heading 2 2" xfId="61" xr:uid="{00000000-0005-0000-0000-000057000000}"/>
    <cellStyle name="Heading 3 2" xfId="62" xr:uid="{00000000-0005-0000-0000-000058000000}"/>
    <cellStyle name="Heading 4 2" xfId="63" xr:uid="{00000000-0005-0000-0000-000059000000}"/>
    <cellStyle name="Hed Side" xfId="13" xr:uid="{00000000-0005-0000-0000-00005A000000}"/>
    <cellStyle name="Hed Side bold" xfId="64" xr:uid="{00000000-0005-0000-0000-00005B000000}"/>
    <cellStyle name="Hed Side Indent" xfId="65" xr:uid="{00000000-0005-0000-0000-00005C000000}"/>
    <cellStyle name="Hed Side Regular" xfId="66" xr:uid="{00000000-0005-0000-0000-00005D000000}"/>
    <cellStyle name="Hed Side_1-1A-Regular" xfId="67" xr:uid="{00000000-0005-0000-0000-00005E000000}"/>
    <cellStyle name="Hed Top" xfId="68" xr:uid="{00000000-0005-0000-0000-00005F000000}"/>
    <cellStyle name="Input 2" xfId="69" xr:uid="{00000000-0005-0000-0000-000084000000}"/>
    <cellStyle name="Linked Cell 2" xfId="70" xr:uid="{00000000-0005-0000-0000-000085000000}"/>
    <cellStyle name="Neutral 2" xfId="71" xr:uid="{00000000-0005-0000-0000-000086000000}"/>
    <cellStyle name="Normal 10" xfId="72" xr:uid="{00000000-0005-0000-0000-000088000000}"/>
    <cellStyle name="Normal 11" xfId="10" xr:uid="{00000000-0005-0000-0000-000089000000}"/>
    <cellStyle name="Normal 2" xfId="1" xr:uid="{00000000-0005-0000-0000-00008A000000}"/>
    <cellStyle name="Normal 2 2" xfId="73" xr:uid="{00000000-0005-0000-0000-00008B000000}"/>
    <cellStyle name="Normal 2 2 2" xfId="74" xr:uid="{00000000-0005-0000-0000-00008C000000}"/>
    <cellStyle name="Normal 2 2 3" xfId="75" xr:uid="{00000000-0005-0000-0000-00008D000000}"/>
    <cellStyle name="Normal 2 3" xfId="76" xr:uid="{00000000-0005-0000-0000-00008E000000}"/>
    <cellStyle name="Normal 2 4" xfId="77" xr:uid="{00000000-0005-0000-0000-00008F000000}"/>
    <cellStyle name="Normal 3" xfId="8" xr:uid="{00000000-0005-0000-0000-000090000000}"/>
    <cellStyle name="Normal 3 2" xfId="78" xr:uid="{00000000-0005-0000-0000-000091000000}"/>
    <cellStyle name="Normal 3 2 2" xfId="79" xr:uid="{00000000-0005-0000-0000-000092000000}"/>
    <cellStyle name="Normal 3 2 2 2" xfId="80" xr:uid="{00000000-0005-0000-0000-000093000000}"/>
    <cellStyle name="Normal 3 2 3" xfId="81" xr:uid="{00000000-0005-0000-0000-000094000000}"/>
    <cellStyle name="Normal 3 3" xfId="82" xr:uid="{00000000-0005-0000-0000-000095000000}"/>
    <cellStyle name="Normal 3 3 2" xfId="83" xr:uid="{00000000-0005-0000-0000-000096000000}"/>
    <cellStyle name="Normal 3 3 2 2" xfId="84" xr:uid="{00000000-0005-0000-0000-000097000000}"/>
    <cellStyle name="Normal 3 3 3" xfId="85" xr:uid="{00000000-0005-0000-0000-000098000000}"/>
    <cellStyle name="Normal 3 4" xfId="86" xr:uid="{00000000-0005-0000-0000-000099000000}"/>
    <cellStyle name="Normal 3 4 2" xfId="87" xr:uid="{00000000-0005-0000-0000-00009A000000}"/>
    <cellStyle name="Normal 3 5" xfId="88" xr:uid="{00000000-0005-0000-0000-00009B000000}"/>
    <cellStyle name="Normal 3 6" xfId="89" xr:uid="{00000000-0005-0000-0000-00009C000000}"/>
    <cellStyle name="Normal 3 7" xfId="90" xr:uid="{00000000-0005-0000-0000-00009D000000}"/>
    <cellStyle name="Normal 3 8" xfId="91" xr:uid="{00000000-0005-0000-0000-00009E000000}"/>
    <cellStyle name="Normal 3 9" xfId="12" xr:uid="{00000000-0005-0000-0000-00009F000000}"/>
    <cellStyle name="Normal 4" xfId="92" xr:uid="{00000000-0005-0000-0000-0000A0000000}"/>
    <cellStyle name="Normal 4 2" xfId="93" xr:uid="{00000000-0005-0000-0000-0000A1000000}"/>
    <cellStyle name="Normal 4 2 2" xfId="94" xr:uid="{00000000-0005-0000-0000-0000A2000000}"/>
    <cellStyle name="Normal 4 2 2 2" xfId="95" xr:uid="{00000000-0005-0000-0000-0000A3000000}"/>
    <cellStyle name="Normal 4 2 3" xfId="96" xr:uid="{00000000-0005-0000-0000-0000A4000000}"/>
    <cellStyle name="Normal 4 3" xfId="97" xr:uid="{00000000-0005-0000-0000-0000A5000000}"/>
    <cellStyle name="Normal 4 3 2" xfId="98" xr:uid="{00000000-0005-0000-0000-0000A6000000}"/>
    <cellStyle name="Normal 4 3 2 2" xfId="99" xr:uid="{00000000-0005-0000-0000-0000A7000000}"/>
    <cellStyle name="Normal 4 3 3" xfId="100" xr:uid="{00000000-0005-0000-0000-0000A8000000}"/>
    <cellStyle name="Normal 4 4" xfId="101" xr:uid="{00000000-0005-0000-0000-0000A9000000}"/>
    <cellStyle name="Normal 4 4 2" xfId="102" xr:uid="{00000000-0005-0000-0000-0000AA000000}"/>
    <cellStyle name="Normal 4 5" xfId="103" xr:uid="{00000000-0005-0000-0000-0000AB000000}"/>
    <cellStyle name="Normal 4 6" xfId="104" xr:uid="{00000000-0005-0000-0000-0000AC000000}"/>
    <cellStyle name="Normal 4 7" xfId="105" xr:uid="{00000000-0005-0000-0000-0000AD000000}"/>
    <cellStyle name="Normal 4 8" xfId="106" xr:uid="{00000000-0005-0000-0000-0000AE000000}"/>
    <cellStyle name="Normal 5" xfId="107" xr:uid="{00000000-0005-0000-0000-0000AF000000}"/>
    <cellStyle name="Normal 5 2" xfId="108" xr:uid="{00000000-0005-0000-0000-0000B0000000}"/>
    <cellStyle name="Normal 5 3" xfId="109" xr:uid="{00000000-0005-0000-0000-0000B1000000}"/>
    <cellStyle name="Normal 6" xfId="110" xr:uid="{00000000-0005-0000-0000-0000B2000000}"/>
    <cellStyle name="Normal 6 2" xfId="111" xr:uid="{00000000-0005-0000-0000-0000B3000000}"/>
    <cellStyle name="Normal 7" xfId="112" xr:uid="{00000000-0005-0000-0000-0000B4000000}"/>
    <cellStyle name="Normal 8" xfId="113" xr:uid="{00000000-0005-0000-0000-0000B5000000}"/>
    <cellStyle name="Normal 9" xfId="114" xr:uid="{00000000-0005-0000-0000-0000B6000000}"/>
    <cellStyle name="Note 2" xfId="115" xr:uid="{00000000-0005-0000-0000-0000B7000000}"/>
    <cellStyle name="Note 2 2" xfId="116" xr:uid="{00000000-0005-0000-0000-0000B8000000}"/>
    <cellStyle name="Output 2" xfId="117" xr:uid="{00000000-0005-0000-0000-0000B9000000}"/>
    <cellStyle name="Parent row" xfId="3" xr:uid="{00000000-0005-0000-0000-0000BA000000}"/>
    <cellStyle name="Percent 2" xfId="118" xr:uid="{00000000-0005-0000-0000-0000BC000000}"/>
    <cellStyle name="Percent 2 2" xfId="119" xr:uid="{00000000-0005-0000-0000-0000BD000000}"/>
    <cellStyle name="Percent 3" xfId="120" xr:uid="{00000000-0005-0000-0000-0000BE000000}"/>
    <cellStyle name="Percent 3 2" xfId="121" xr:uid="{00000000-0005-0000-0000-0000BF000000}"/>
    <cellStyle name="Source Hed" xfId="122" xr:uid="{00000000-0005-0000-0000-0000C0000000}"/>
    <cellStyle name="Source Superscript" xfId="123" xr:uid="{00000000-0005-0000-0000-0000C1000000}"/>
    <cellStyle name="Source Text" xfId="9" xr:uid="{00000000-0005-0000-0000-0000C2000000}"/>
    <cellStyle name="State" xfId="124" xr:uid="{00000000-0005-0000-0000-0000C3000000}"/>
    <cellStyle name="Superscript" xfId="125" xr:uid="{00000000-0005-0000-0000-0000C4000000}"/>
    <cellStyle name="Table Data" xfId="126" xr:uid="{00000000-0005-0000-0000-0000C5000000}"/>
    <cellStyle name="Table Head Top" xfId="127" xr:uid="{00000000-0005-0000-0000-0000C6000000}"/>
    <cellStyle name="Table Hed Side" xfId="128" xr:uid="{00000000-0005-0000-0000-0000C7000000}"/>
    <cellStyle name="Table title" xfId="7" xr:uid="{00000000-0005-0000-0000-0000C8000000}"/>
    <cellStyle name="Title 2" xfId="129" xr:uid="{00000000-0005-0000-0000-0000C9000000}"/>
    <cellStyle name="Title Text" xfId="130" xr:uid="{00000000-0005-0000-0000-0000CA000000}"/>
    <cellStyle name="Title Text 1" xfId="131" xr:uid="{00000000-0005-0000-0000-0000CB000000}"/>
    <cellStyle name="Title Text 2" xfId="132" xr:uid="{00000000-0005-0000-0000-0000CC000000}"/>
    <cellStyle name="Title-1" xfId="14" xr:uid="{00000000-0005-0000-0000-0000CD000000}"/>
    <cellStyle name="Title-2" xfId="133" xr:uid="{00000000-0005-0000-0000-0000CE000000}"/>
    <cellStyle name="Title-3" xfId="134" xr:uid="{00000000-0005-0000-0000-0000CF000000}"/>
    <cellStyle name="Total 2" xfId="135" xr:uid="{00000000-0005-0000-0000-0000D0000000}"/>
    <cellStyle name="Warning Text 2" xfId="136" xr:uid="{00000000-0005-0000-0000-0000D1000000}"/>
    <cellStyle name="Wrap" xfId="137" xr:uid="{00000000-0005-0000-0000-0000D2000000}"/>
    <cellStyle name="Wrap Bold" xfId="138" xr:uid="{00000000-0005-0000-0000-0000D3000000}"/>
    <cellStyle name="Wrap Title" xfId="139" xr:uid="{00000000-0005-0000-0000-0000D4000000}"/>
    <cellStyle name="百分比" xfId="212" builtinId="5"/>
    <cellStyle name="常规" xfId="0" builtinId="0"/>
    <cellStyle name="超链接" xfId="146" builtinId="8" hidden="1"/>
    <cellStyle name="超链接" xfId="140" builtinId="8" hidden="1"/>
    <cellStyle name="超链接" xfId="142" builtinId="8" hidden="1"/>
    <cellStyle name="超链接" xfId="176" builtinId="8" hidden="1"/>
    <cellStyle name="超链接" xfId="196" builtinId="8" hidden="1"/>
    <cellStyle name="超链接" xfId="200" builtinId="8" hidden="1"/>
    <cellStyle name="超链接" xfId="152" builtinId="8" hidden="1"/>
    <cellStyle name="超链接" xfId="172" builtinId="8" hidden="1"/>
    <cellStyle name="超链接" xfId="174" builtinId="8" hidden="1"/>
    <cellStyle name="超链接" xfId="158" builtinId="8" hidden="1"/>
    <cellStyle name="超链接" xfId="148" builtinId="8" hidden="1"/>
    <cellStyle name="超链接" xfId="168" builtinId="8" hidden="1"/>
    <cellStyle name="超链接" xfId="170" builtinId="8" hidden="1"/>
    <cellStyle name="超链接" xfId="164" builtinId="8" hidden="1"/>
    <cellStyle name="超链接" xfId="166" builtinId="8" hidden="1"/>
    <cellStyle name="超链接" xfId="202" builtinId="8" hidden="1"/>
    <cellStyle name="超链接" xfId="188" builtinId="8" hidden="1"/>
    <cellStyle name="超链接" xfId="194" builtinId="8" hidden="1"/>
    <cellStyle name="超链接" xfId="182" builtinId="8" hidden="1"/>
    <cellStyle name="超链接" xfId="184" builtinId="8" hidden="1"/>
    <cellStyle name="超链接" xfId="178" builtinId="8" hidden="1"/>
    <cellStyle name="超链接" xfId="180" builtinId="8" hidden="1"/>
    <cellStyle name="超链接" xfId="162" builtinId="8" hidden="1"/>
    <cellStyle name="超链接" xfId="150" builtinId="8" hidden="1"/>
    <cellStyle name="超链接" xfId="154" builtinId="8" hidden="1"/>
    <cellStyle name="超链接" xfId="144" builtinId="8" hidden="1"/>
    <cellStyle name="超链接" xfId="192" builtinId="8" hidden="1"/>
    <cellStyle name="超链接" xfId="156" builtinId="8" hidden="1"/>
    <cellStyle name="超链接" xfId="160" builtinId="8" hidden="1"/>
    <cellStyle name="超链接" xfId="198" builtinId="8" hidden="1"/>
    <cellStyle name="超链接" xfId="186" builtinId="8" hidden="1"/>
    <cellStyle name="超链接" xfId="206" builtinId="8" hidden="1"/>
    <cellStyle name="超链接" xfId="190" builtinId="8" hidden="1"/>
    <cellStyle name="超链接" xfId="208" builtinId="8" hidden="1"/>
    <cellStyle name="超链接" xfId="204" builtinId="8" hidden="1"/>
    <cellStyle name="超链接" xfId="211" builtinId="8"/>
    <cellStyle name="千位分隔" xfId="210" builtinId="3"/>
    <cellStyle name="已访问的超链接" xfId="149" builtinId="9" hidden="1"/>
    <cellStyle name="已访问的超链接" xfId="159" builtinId="9" hidden="1"/>
    <cellStyle name="已访问的超链接" xfId="169" builtinId="9" hidden="1"/>
    <cellStyle name="已访问的超链接" xfId="161" builtinId="9" hidden="1"/>
    <cellStyle name="已访问的超链接" xfId="145" builtinId="9" hidden="1"/>
    <cellStyle name="已访问的超链接" xfId="157" builtinId="9" hidden="1"/>
    <cellStyle name="已访问的超链接" xfId="155" builtinId="9" hidden="1"/>
    <cellStyle name="已访问的超链接" xfId="147" builtinId="9" hidden="1"/>
    <cellStyle name="已访问的超链接" xfId="167" builtinId="9" hidden="1"/>
    <cellStyle name="已访问的超链接" xfId="177" builtinId="9" hidden="1"/>
    <cellStyle name="已访问的超链接" xfId="181" builtinId="9" hidden="1"/>
    <cellStyle name="已访问的超链接" xfId="183" builtinId="9" hidden="1"/>
    <cellStyle name="已访问的超链接" xfId="187" builtinId="9" hidden="1"/>
    <cellStyle name="已访问的超链接" xfId="191" builtinId="9" hidden="1"/>
    <cellStyle name="已访问的超链接" xfId="173" builtinId="9" hidden="1"/>
    <cellStyle name="已访问的超链接" xfId="153" builtinId="9" hidden="1"/>
    <cellStyle name="已访问的超链接" xfId="151" builtinId="9" hidden="1"/>
    <cellStyle name="已访问的超链接" xfId="179" builtinId="9" hidden="1"/>
    <cellStyle name="已访问的超链接" xfId="209" builtinId="9" hidden="1"/>
    <cellStyle name="已访问的超链接" xfId="207" builtinId="9" hidden="1"/>
    <cellStyle name="已访问的超链接" xfId="185" builtinId="9" hidden="1"/>
    <cellStyle name="已访问的超链接" xfId="141" builtinId="9" hidden="1"/>
    <cellStyle name="已访问的超链接" xfId="143" builtinId="9" hidden="1"/>
    <cellStyle name="已访问的超链接" xfId="189" builtinId="9" hidden="1"/>
    <cellStyle name="已访问的超链接" xfId="195" builtinId="9" hidden="1"/>
    <cellStyle name="已访问的超链接" xfId="193" builtinId="9" hidden="1"/>
    <cellStyle name="已访问的超链接" xfId="203" builtinId="9" hidden="1"/>
    <cellStyle name="已访问的超链接" xfId="163" builtinId="9" hidden="1"/>
    <cellStyle name="已访问的超链接" xfId="171" builtinId="9" hidden="1"/>
    <cellStyle name="已访问的超链接" xfId="175" builtinId="9" hidden="1"/>
    <cellStyle name="已访问的超链接" xfId="165" builtinId="9" hidden="1"/>
    <cellStyle name="已访问的超链接" xfId="199" builtinId="9" hidden="1"/>
    <cellStyle name="已访问的超链接" xfId="201" builtinId="9" hidden="1"/>
    <cellStyle name="已访问的超链接" xfId="197" builtinId="9" hidden="1"/>
    <cellStyle name="已访问的超链接" xfId="205"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13</xdr:col>
      <xdr:colOff>28574</xdr:colOff>
      <xdr:row>34</xdr:row>
      <xdr:rowOff>31912</xdr:rowOff>
    </xdr:from>
    <xdr:to>
      <xdr:col>18</xdr:col>
      <xdr:colOff>326719</xdr:colOff>
      <xdr:row>44</xdr:row>
      <xdr:rowOff>141432</xdr:rowOff>
    </xdr:to>
    <xdr:pic>
      <xdr:nvPicPr>
        <xdr:cNvPr id="4" name="Picture 3" descr="Screen Clipping">
          <a:extLst>
            <a:ext uri="{FF2B5EF4-FFF2-40B4-BE49-F238E27FC236}">
              <a16:creationId xmlns:a16="http://schemas.microsoft.com/office/drawing/2014/main" id="{39FBA4C9-6283-4DA1-B634-FFF558097D64}"/>
            </a:ext>
          </a:extLst>
        </xdr:cNvPr>
        <xdr:cNvPicPr>
          <a:picLocks noChangeAspect="1"/>
        </xdr:cNvPicPr>
      </xdr:nvPicPr>
      <xdr:blipFill>
        <a:blip xmlns:r="http://schemas.openxmlformats.org/officeDocument/2006/relationships" r:embed="rId1"/>
        <a:stretch>
          <a:fillRect/>
        </a:stretch>
      </xdr:blipFill>
      <xdr:spPr>
        <a:xfrm>
          <a:off x="11715749" y="6394612"/>
          <a:ext cx="3683331" cy="1825925"/>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204787</xdr:colOff>
      <xdr:row>16</xdr:row>
      <xdr:rowOff>142875</xdr:rowOff>
    </xdr:from>
    <xdr:to>
      <xdr:col>10</xdr:col>
      <xdr:colOff>667703</xdr:colOff>
      <xdr:row>23</xdr:row>
      <xdr:rowOff>55633</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834062" y="2543175"/>
          <a:ext cx="4562476" cy="1985398"/>
        </a:xfrm>
        <a:prstGeom prst="rect">
          <a:avLst/>
        </a:prstGeom>
      </xdr:spPr>
    </xdr:pic>
    <xdr:clientData/>
  </xdr:twoCellAnchor>
  <xdr:twoCellAnchor editAs="oneCell">
    <xdr:from>
      <xdr:col>1</xdr:col>
      <xdr:colOff>142874</xdr:colOff>
      <xdr:row>25</xdr:row>
      <xdr:rowOff>44197</xdr:rowOff>
    </xdr:from>
    <xdr:to>
      <xdr:col>1</xdr:col>
      <xdr:colOff>3566159</xdr:colOff>
      <xdr:row>37</xdr:row>
      <xdr:rowOff>17888</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74" y="5477257"/>
          <a:ext cx="3423285" cy="2198731"/>
        </a:xfrm>
        <a:prstGeom prst="rect">
          <a:avLst/>
        </a:prstGeom>
      </xdr:spPr>
    </xdr:pic>
    <xdr:clientData/>
  </xdr:twoCellAnchor>
  <xdr:twoCellAnchor editAs="oneCell">
    <xdr:from>
      <xdr:col>0</xdr:col>
      <xdr:colOff>0</xdr:colOff>
      <xdr:row>40</xdr:row>
      <xdr:rowOff>85725</xdr:rowOff>
    </xdr:from>
    <xdr:to>
      <xdr:col>1</xdr:col>
      <xdr:colOff>3297555</xdr:colOff>
      <xdr:row>48</xdr:row>
      <xdr:rowOff>95763</xdr:rowOff>
    </xdr:to>
    <xdr:pic>
      <xdr:nvPicPr>
        <xdr:cNvPr id="4" name="Picture 3">
          <a:extLst>
            <a:ext uri="{FF2B5EF4-FFF2-40B4-BE49-F238E27FC236}">
              <a16:creationId xmlns:a16="http://schemas.microsoft.com/office/drawing/2014/main" id="{F1CD136E-68D1-4B10-893E-C8E279518BAA}"/>
            </a:ext>
          </a:extLst>
        </xdr:cNvPr>
        <xdr:cNvPicPr>
          <a:picLocks noChangeAspect="1"/>
        </xdr:cNvPicPr>
      </xdr:nvPicPr>
      <xdr:blipFill>
        <a:blip xmlns:r="http://schemas.openxmlformats.org/officeDocument/2006/relationships" r:embed="rId3"/>
        <a:stretch>
          <a:fillRect/>
        </a:stretch>
      </xdr:blipFill>
      <xdr:spPr>
        <a:xfrm>
          <a:off x="0" y="6619875"/>
          <a:ext cx="5029200" cy="1368303"/>
        </a:xfrm>
        <a:prstGeom prst="rect">
          <a:avLst/>
        </a:prstGeom>
      </xdr:spPr>
    </xdr:pic>
    <xdr:clientData/>
  </xdr:twoCellAnchor>
  <xdr:twoCellAnchor editAs="oneCell">
    <xdr:from>
      <xdr:col>6</xdr:col>
      <xdr:colOff>407669</xdr:colOff>
      <xdr:row>69</xdr:row>
      <xdr:rowOff>44461</xdr:rowOff>
    </xdr:from>
    <xdr:to>
      <xdr:col>8</xdr:col>
      <xdr:colOff>1920240</xdr:colOff>
      <xdr:row>79</xdr:row>
      <xdr:rowOff>60960</xdr:rowOff>
    </xdr:to>
    <xdr:pic>
      <xdr:nvPicPr>
        <xdr:cNvPr id="3" name="图片 2">
          <a:extLst>
            <a:ext uri="{FF2B5EF4-FFF2-40B4-BE49-F238E27FC236}">
              <a16:creationId xmlns:a16="http://schemas.microsoft.com/office/drawing/2014/main" id="{50194607-782E-9501-3456-A8B85C8FDA57}"/>
            </a:ext>
          </a:extLst>
        </xdr:cNvPr>
        <xdr:cNvPicPr>
          <a:picLocks noChangeAspect="1"/>
        </xdr:cNvPicPr>
      </xdr:nvPicPr>
      <xdr:blipFill>
        <a:blip xmlns:r="http://schemas.openxmlformats.org/officeDocument/2006/relationships" r:embed="rId4"/>
        <a:stretch>
          <a:fillRect/>
        </a:stretch>
      </xdr:blipFill>
      <xdr:spPr>
        <a:xfrm>
          <a:off x="21126449" y="13630921"/>
          <a:ext cx="3310891" cy="1845299"/>
        </a:xfrm>
        <a:prstGeom prst="rect">
          <a:avLst/>
        </a:prstGeom>
      </xdr:spPr>
    </xdr:pic>
    <xdr:clientData/>
  </xdr:twoCellAnchor>
  <xdr:twoCellAnchor editAs="oneCell">
    <xdr:from>
      <xdr:col>6</xdr:col>
      <xdr:colOff>613411</xdr:colOff>
      <xdr:row>63</xdr:row>
      <xdr:rowOff>114300</xdr:rowOff>
    </xdr:from>
    <xdr:to>
      <xdr:col>10</xdr:col>
      <xdr:colOff>89536</xdr:colOff>
      <xdr:row>69</xdr:row>
      <xdr:rowOff>170664</xdr:rowOff>
    </xdr:to>
    <xdr:pic>
      <xdr:nvPicPr>
        <xdr:cNvPr id="6" name="图片 5">
          <a:extLst>
            <a:ext uri="{FF2B5EF4-FFF2-40B4-BE49-F238E27FC236}">
              <a16:creationId xmlns:a16="http://schemas.microsoft.com/office/drawing/2014/main" id="{70D0D8C8-3FDB-13E5-E452-98A26C329EB8}"/>
            </a:ext>
          </a:extLst>
        </xdr:cNvPr>
        <xdr:cNvPicPr>
          <a:picLocks noChangeAspect="1"/>
        </xdr:cNvPicPr>
      </xdr:nvPicPr>
      <xdr:blipFill>
        <a:blip xmlns:r="http://schemas.openxmlformats.org/officeDocument/2006/relationships" r:embed="rId5"/>
        <a:stretch>
          <a:fillRect/>
        </a:stretch>
      </xdr:blipFill>
      <xdr:spPr>
        <a:xfrm>
          <a:off x="12675871" y="12565380"/>
          <a:ext cx="5175885" cy="1191744"/>
        </a:xfrm>
        <a:prstGeom prst="rect">
          <a:avLst/>
        </a:prstGeom>
      </xdr:spPr>
    </xdr:pic>
    <xdr:clientData/>
  </xdr:twoCellAnchor>
  <xdr:twoCellAnchor editAs="oneCell">
    <xdr:from>
      <xdr:col>4</xdr:col>
      <xdr:colOff>0</xdr:colOff>
      <xdr:row>163</xdr:row>
      <xdr:rowOff>0</xdr:rowOff>
    </xdr:from>
    <xdr:to>
      <xdr:col>6</xdr:col>
      <xdr:colOff>568772</xdr:colOff>
      <xdr:row>173</xdr:row>
      <xdr:rowOff>181256</xdr:rowOff>
    </xdr:to>
    <xdr:pic>
      <xdr:nvPicPr>
        <xdr:cNvPr id="7" name="图片 6">
          <a:extLst>
            <a:ext uri="{FF2B5EF4-FFF2-40B4-BE49-F238E27FC236}">
              <a16:creationId xmlns:a16="http://schemas.microsoft.com/office/drawing/2014/main" id="{2E001ABA-3FD9-3B9D-A660-14393FCA6DE9}"/>
            </a:ext>
          </a:extLst>
        </xdr:cNvPr>
        <xdr:cNvPicPr>
          <a:picLocks noChangeAspect="1"/>
        </xdr:cNvPicPr>
      </xdr:nvPicPr>
      <xdr:blipFill>
        <a:blip xmlns:r="http://schemas.openxmlformats.org/officeDocument/2006/relationships" r:embed="rId6"/>
        <a:stretch>
          <a:fillRect/>
        </a:stretch>
      </xdr:blipFill>
      <xdr:spPr>
        <a:xfrm>
          <a:off x="9585960" y="30777180"/>
          <a:ext cx="7754432" cy="2010056"/>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mee.gov.cn/hjzl/sthjzk/ydyhjgl/201909/P020190905586230826402.pdf" TargetMode="External"/><Relationship Id="rId7" Type="http://schemas.openxmlformats.org/officeDocument/2006/relationships/hyperlink" Target="https://www.sohu.com/a/291989396_115312" TargetMode="External"/><Relationship Id="rId2" Type="http://schemas.openxmlformats.org/officeDocument/2006/relationships/hyperlink" Target="http://www.sohu.com/a/288800709_146550" TargetMode="External"/><Relationship Id="rId1" Type="http://schemas.openxmlformats.org/officeDocument/2006/relationships/hyperlink" Target="http://www.stats.gov.cn/tjsj/ndsj/2019/indexch.htm" TargetMode="External"/><Relationship Id="rId6" Type="http://schemas.openxmlformats.org/officeDocument/2006/relationships/hyperlink" Target="http://www.sohu.com/a/288908266_99922905" TargetMode="External"/><Relationship Id="rId5" Type="http://schemas.openxmlformats.org/officeDocument/2006/relationships/hyperlink" Target="https://baijiahao.baidu.com/s?id=1622349088177624657&amp;wfr=spider&amp;for=pc" TargetMode="External"/><Relationship Id="rId4" Type="http://schemas.openxmlformats.org/officeDocument/2006/relationships/hyperlink" Target="http://www.caac.gov.cn/XXGK/XXGK/TZTG/201905/P020190508527175796080.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www.gov.cn/xinwen/2021-09/11/5636764/files/3ac6b9802f8b47fc8200403308a0d25d.pdf" TargetMode="External"/><Relationship Id="rId3" Type="http://schemas.openxmlformats.org/officeDocument/2006/relationships/hyperlink" Target="http://www.sohu.com/a/324249451_775892" TargetMode="External"/><Relationship Id="rId7" Type="http://schemas.openxmlformats.org/officeDocument/2006/relationships/hyperlink" Target="https://k.sina.cn/article_1002429827_3bbfdd8301900xxt7.html?ivk_sa=1024320u" TargetMode="External"/><Relationship Id="rId12" Type="http://schemas.openxmlformats.org/officeDocument/2006/relationships/comments" Target="../comments1.xml"/><Relationship Id="rId2" Type="http://schemas.openxmlformats.org/officeDocument/2006/relationships/hyperlink" Target="https://www.docin.com/p-2146232035.html" TargetMode="External"/><Relationship Id="rId1" Type="http://schemas.openxmlformats.org/officeDocument/2006/relationships/hyperlink" Target="https://www.gg-lb.com/asdisp2-65b095fb-36457-.html" TargetMode="External"/><Relationship Id="rId6" Type="http://schemas.openxmlformats.org/officeDocument/2006/relationships/hyperlink" Target="http://www.360che.com/news/190417/109378_all.html" TargetMode="External"/><Relationship Id="rId11" Type="http://schemas.openxmlformats.org/officeDocument/2006/relationships/vmlDrawing" Target="../drawings/vmlDrawing1.vml"/><Relationship Id="rId5" Type="http://schemas.openxmlformats.org/officeDocument/2006/relationships/hyperlink" Target="http://paper.people.com.cn/zgnyb/html/2018-09/10/content_1880612.htm" TargetMode="External"/><Relationship Id="rId10" Type="http://schemas.openxmlformats.org/officeDocument/2006/relationships/drawing" Target="../drawings/drawing2.xml"/><Relationship Id="rId4" Type="http://schemas.openxmlformats.org/officeDocument/2006/relationships/hyperlink" Target="http://blog.sina.com.cn/s/blog_199ebdfd60102ynbf.html" TargetMode="External"/><Relationship Id="rId9" Type="http://schemas.openxmlformats.org/officeDocument/2006/relationships/hyperlink" Target="https://www.mee.gov.cn/hjzl/sthjzk/ydyhjgl/201909/P020190905586230826402.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50"/>
  <sheetViews>
    <sheetView workbookViewId="0">
      <selection activeCell="K9" sqref="K9"/>
    </sheetView>
  </sheetViews>
  <sheetFormatPr defaultColWidth="8.88671875" defaultRowHeight="14.4"/>
  <cols>
    <col min="2" max="2" width="48.88671875" customWidth="1"/>
    <col min="5" max="5" width="11.88671875" customWidth="1"/>
    <col min="11" max="11" width="32.5546875" bestFit="1" customWidth="1"/>
  </cols>
  <sheetData>
    <row r="1" spans="2:12">
      <c r="B1" s="5" t="s">
        <v>102</v>
      </c>
      <c r="C1" s="11"/>
      <c r="D1" s="11"/>
      <c r="E1" s="11"/>
      <c r="F1" s="11"/>
      <c r="G1" s="11"/>
      <c r="H1" s="11"/>
      <c r="I1" s="11"/>
      <c r="J1" s="11"/>
      <c r="K1" s="11"/>
      <c r="L1" s="11"/>
    </row>
    <row r="2" spans="2:12" ht="28.8">
      <c r="B2" s="27" t="s">
        <v>94</v>
      </c>
      <c r="C2" s="28" t="s">
        <v>93</v>
      </c>
      <c r="D2" s="11"/>
      <c r="E2" s="11"/>
      <c r="F2" s="11"/>
      <c r="G2" s="11"/>
      <c r="H2" s="11"/>
      <c r="I2" s="11" t="s">
        <v>97</v>
      </c>
      <c r="J2" s="11"/>
      <c r="K2" s="11"/>
      <c r="L2" s="11"/>
    </row>
    <row r="3" spans="2:12">
      <c r="B3" s="27"/>
      <c r="C3" s="28"/>
      <c r="D3" s="11"/>
      <c r="E3" s="11"/>
      <c r="F3" s="11"/>
      <c r="G3" s="11"/>
      <c r="H3" s="11"/>
      <c r="I3" s="11"/>
      <c r="J3" s="11"/>
      <c r="K3" s="11"/>
      <c r="L3" s="11"/>
    </row>
    <row r="4" spans="2:12" ht="43.2">
      <c r="B4" s="27" t="s">
        <v>99</v>
      </c>
      <c r="C4" s="28" t="s">
        <v>165</v>
      </c>
      <c r="D4" s="11"/>
      <c r="E4" s="11"/>
      <c r="F4" s="11"/>
      <c r="G4" s="11"/>
      <c r="H4" s="11"/>
      <c r="I4" s="11"/>
      <c r="J4" s="11"/>
      <c r="K4" s="11" t="s">
        <v>96</v>
      </c>
      <c r="L4" s="73"/>
    </row>
    <row r="5" spans="2:12">
      <c r="B5" s="27"/>
      <c r="C5" s="28"/>
      <c r="D5" s="11"/>
      <c r="E5" s="11"/>
      <c r="F5" s="11"/>
      <c r="G5" s="11"/>
      <c r="H5" s="11"/>
      <c r="I5" s="11"/>
      <c r="J5" s="11"/>
      <c r="K5" s="11"/>
      <c r="L5" s="73"/>
    </row>
    <row r="6" spans="2:12" ht="43.2">
      <c r="B6" s="27" t="s">
        <v>98</v>
      </c>
      <c r="C6" s="28" t="s">
        <v>155</v>
      </c>
      <c r="D6" s="11"/>
      <c r="E6" s="11"/>
      <c r="F6" s="11"/>
      <c r="G6" s="11"/>
      <c r="H6" s="11"/>
      <c r="I6" s="11"/>
      <c r="J6" s="11"/>
      <c r="K6" s="11" t="s">
        <v>95</v>
      </c>
      <c r="L6" s="73"/>
    </row>
    <row r="7" spans="2:12">
      <c r="B7" s="27"/>
      <c r="C7" s="28"/>
      <c r="D7" s="11"/>
      <c r="E7" s="11"/>
      <c r="F7" s="11"/>
      <c r="G7" s="11"/>
      <c r="H7" s="11"/>
      <c r="I7" s="11"/>
      <c r="J7" s="11"/>
      <c r="K7" s="11"/>
      <c r="L7" s="10"/>
    </row>
    <row r="8" spans="2:12">
      <c r="B8" s="27" t="s">
        <v>100</v>
      </c>
      <c r="C8" s="28" t="s">
        <v>55</v>
      </c>
      <c r="D8" s="11"/>
      <c r="E8" s="11"/>
      <c r="F8" s="11"/>
      <c r="G8" s="11"/>
      <c r="H8" s="11"/>
      <c r="I8" s="11"/>
      <c r="J8" s="11"/>
      <c r="K8" s="11"/>
      <c r="L8" s="11"/>
    </row>
    <row r="9" spans="2:12">
      <c r="B9" s="27"/>
      <c r="C9" s="28" t="s">
        <v>204</v>
      </c>
      <c r="D9" s="11"/>
      <c r="E9" s="11"/>
      <c r="F9" s="11"/>
      <c r="G9" s="11"/>
      <c r="H9" s="11"/>
      <c r="I9" s="11"/>
      <c r="J9" s="11"/>
      <c r="K9" s="11" t="s">
        <v>101</v>
      </c>
      <c r="L9" s="11"/>
    </row>
    <row r="10" spans="2:12">
      <c r="B10" s="27"/>
      <c r="C10" s="28" t="s">
        <v>205</v>
      </c>
      <c r="D10" s="11"/>
      <c r="E10" s="11"/>
      <c r="F10" s="11"/>
      <c r="G10" s="11"/>
      <c r="H10" s="11"/>
      <c r="I10" s="11"/>
      <c r="J10" s="11"/>
      <c r="K10" s="11"/>
      <c r="L10" s="11"/>
    </row>
    <row r="11" spans="2:12">
      <c r="B11" s="27"/>
      <c r="C11" s="28" t="s">
        <v>206</v>
      </c>
      <c r="D11" s="11"/>
      <c r="E11" s="11"/>
      <c r="F11" s="11"/>
      <c r="G11" s="11"/>
      <c r="H11" s="11"/>
      <c r="I11" s="11"/>
      <c r="J11" s="11"/>
      <c r="K11" s="11"/>
      <c r="L11" s="11"/>
    </row>
    <row r="13" spans="2:12">
      <c r="B13" s="5" t="s">
        <v>1</v>
      </c>
    </row>
    <row r="14" spans="2:12">
      <c r="B14" t="s">
        <v>2</v>
      </c>
    </row>
    <row r="15" spans="2:12">
      <c r="B15" t="s">
        <v>88</v>
      </c>
    </row>
    <row r="16" spans="2:12">
      <c r="B16" t="s">
        <v>89</v>
      </c>
    </row>
    <row r="18" spans="2:19">
      <c r="B18" s="5" t="s">
        <v>3</v>
      </c>
      <c r="F18" s="6"/>
      <c r="G18" s="6"/>
      <c r="H18" s="6"/>
      <c r="I18" s="6"/>
      <c r="J18" s="6"/>
      <c r="K18" s="6"/>
    </row>
    <row r="19" spans="2:19">
      <c r="B19" t="s">
        <v>4</v>
      </c>
      <c r="F19" s="6"/>
      <c r="G19" s="6"/>
      <c r="H19" s="6"/>
      <c r="I19" s="6"/>
      <c r="J19" s="6"/>
      <c r="K19" s="6"/>
    </row>
    <row r="20" spans="2:19">
      <c r="F20" s="6"/>
      <c r="G20" s="6"/>
      <c r="H20" s="6"/>
      <c r="I20" s="6"/>
      <c r="J20" s="6"/>
      <c r="K20" s="6"/>
    </row>
    <row r="21" spans="2:19">
      <c r="B21" s="5" t="s">
        <v>0</v>
      </c>
    </row>
    <row r="22" spans="2:19">
      <c r="B22" t="s">
        <v>5</v>
      </c>
    </row>
    <row r="24" spans="2:19">
      <c r="B24" s="5" t="s">
        <v>6</v>
      </c>
    </row>
    <row r="25" spans="2:19">
      <c r="B25" t="s">
        <v>7</v>
      </c>
      <c r="O25" s="60" t="s">
        <v>160</v>
      </c>
    </row>
    <row r="26" spans="2:19">
      <c r="B26" t="s">
        <v>8</v>
      </c>
      <c r="O26" t="s">
        <v>159</v>
      </c>
    </row>
    <row r="27" spans="2:19" ht="14.25" customHeight="1">
      <c r="B27" t="s">
        <v>9</v>
      </c>
      <c r="N27" s="72"/>
      <c r="O27" s="72"/>
      <c r="P27" s="72"/>
      <c r="Q27" s="72"/>
      <c r="R27" s="72"/>
      <c r="S27" s="72"/>
    </row>
    <row r="28" spans="2:19" ht="13.5" customHeight="1">
      <c r="B28" t="s">
        <v>10</v>
      </c>
      <c r="N28" s="72"/>
      <c r="O28" s="72"/>
      <c r="P28" s="72"/>
      <c r="Q28" s="72"/>
      <c r="R28" s="72"/>
      <c r="S28" s="72"/>
    </row>
    <row r="29" spans="2:19" ht="13.5" customHeight="1">
      <c r="B29" t="s">
        <v>11</v>
      </c>
      <c r="N29" s="72"/>
      <c r="O29" s="72"/>
      <c r="P29" s="72"/>
      <c r="Q29" s="72"/>
      <c r="R29" s="72"/>
      <c r="S29" s="72"/>
    </row>
    <row r="30" spans="2:19" ht="13.5" customHeight="1">
      <c r="N30" s="72"/>
      <c r="O30" s="72"/>
      <c r="P30" s="72"/>
      <c r="Q30" s="72"/>
      <c r="R30" s="72"/>
      <c r="S30" s="72"/>
    </row>
    <row r="31" spans="2:19" ht="14.25" customHeight="1">
      <c r="O31" s="8"/>
      <c r="P31" s="7"/>
      <c r="Q31" s="7"/>
      <c r="R31" s="7"/>
      <c r="S31" s="7"/>
    </row>
    <row r="32" spans="2:19" ht="13.5" customHeight="1">
      <c r="B32" s="5" t="s">
        <v>12</v>
      </c>
      <c r="N32" s="3"/>
      <c r="O32" s="7"/>
      <c r="P32" s="7"/>
      <c r="Q32" s="7"/>
      <c r="R32" s="7"/>
      <c r="S32" s="7"/>
    </row>
    <row r="33" spans="2:19" ht="13.5" customHeight="1">
      <c r="B33" t="s">
        <v>13</v>
      </c>
      <c r="O33" s="7"/>
      <c r="P33" s="7"/>
      <c r="Q33" s="7"/>
      <c r="R33" s="7"/>
      <c r="S33" s="7"/>
    </row>
    <row r="34" spans="2:19" ht="13.5" customHeight="1">
      <c r="O34" s="7"/>
      <c r="P34" s="7"/>
      <c r="Q34" s="7"/>
      <c r="R34" s="7"/>
      <c r="S34" s="7"/>
    </row>
    <row r="35" spans="2:19">
      <c r="B35" t="s">
        <v>91</v>
      </c>
    </row>
    <row r="36" spans="2:19">
      <c r="B36" t="s">
        <v>92</v>
      </c>
    </row>
    <row r="37" spans="2:19">
      <c r="M37" t="s">
        <v>14</v>
      </c>
    </row>
    <row r="38" spans="2:19">
      <c r="B38" t="s">
        <v>15</v>
      </c>
      <c r="G38" s="6"/>
      <c r="H38" s="6"/>
      <c r="I38" s="6"/>
      <c r="J38" s="6"/>
      <c r="K38" s="6"/>
    </row>
    <row r="39" spans="2:19">
      <c r="F39" s="6"/>
    </row>
    <row r="40" spans="2:19">
      <c r="B40" t="s">
        <v>104</v>
      </c>
    </row>
    <row r="42" spans="2:19" ht="13.5" customHeight="1">
      <c r="B42" t="s">
        <v>103</v>
      </c>
      <c r="J42" t="s">
        <v>16</v>
      </c>
      <c r="L42" t="s">
        <v>17</v>
      </c>
    </row>
    <row r="43" spans="2:19" ht="13.5" customHeight="1"/>
    <row r="45" spans="2:19" ht="13.5" customHeight="1">
      <c r="I45" s="74" t="s">
        <v>90</v>
      </c>
      <c r="J45" s="74"/>
      <c r="K45" s="74"/>
    </row>
    <row r="46" spans="2:19" ht="13.5" customHeight="1">
      <c r="H46" s="9"/>
      <c r="I46" s="74"/>
      <c r="J46" s="74"/>
      <c r="K46" s="74"/>
      <c r="L46" s="9"/>
    </row>
    <row r="47" spans="2:19">
      <c r="G47" s="9"/>
      <c r="H47" s="9"/>
      <c r="I47" s="74"/>
      <c r="J47" s="74"/>
      <c r="K47" s="74"/>
      <c r="L47" s="9"/>
    </row>
    <row r="48" spans="2:19">
      <c r="G48" s="9"/>
      <c r="H48" s="9"/>
      <c r="I48" s="74"/>
      <c r="J48" s="74"/>
      <c r="K48" s="74"/>
      <c r="L48" s="9"/>
    </row>
    <row r="49" spans="9:11">
      <c r="I49" s="74"/>
      <c r="J49" s="74"/>
      <c r="K49" s="74"/>
    </row>
    <row r="50" spans="9:11">
      <c r="I50" s="74"/>
      <c r="J50" s="74"/>
      <c r="K50" s="74"/>
    </row>
  </sheetData>
  <mergeCells count="3">
    <mergeCell ref="N27:S30"/>
    <mergeCell ref="L4:L6"/>
    <mergeCell ref="I45:K50"/>
  </mergeCells>
  <phoneticPr fontId="37" type="noConversion"/>
  <hyperlinks>
    <hyperlink ref="C2" r:id="rId1" xr:uid="{00000000-0004-0000-0000-000001000000}"/>
    <hyperlink ref="C8" r:id="rId2" xr:uid="{00000000-0004-0000-0000-000002000000}"/>
    <hyperlink ref="C6" r:id="rId3" xr:uid="{00000000-0004-0000-0000-000003000000}"/>
    <hyperlink ref="C4" r:id="rId4" xr:uid="{9321C830-08E0-4DB1-A473-0662552D88BE}"/>
    <hyperlink ref="C9" r:id="rId5" xr:uid="{384E997F-8167-48E9-A035-A2DF5792D36E}"/>
    <hyperlink ref="C10" r:id="rId6" xr:uid="{E9F0372D-2889-426F-BBB6-D808D6E1997D}"/>
    <hyperlink ref="C11" r:id="rId7" xr:uid="{DABB18C2-F498-4208-84ED-7F665722FBBB}"/>
  </hyperlinks>
  <pageMargins left="0.7" right="0.7" top="0.75" bottom="0.75" header="0.3" footer="0.3"/>
  <pageSetup orientation="portrait"/>
  <drawing r:id="rId8"/>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63"/>
  <sheetViews>
    <sheetView topLeftCell="A57" zoomScaleNormal="100" workbookViewId="0">
      <selection activeCell="B75" sqref="B75"/>
    </sheetView>
  </sheetViews>
  <sheetFormatPr defaultRowHeight="14.4"/>
  <cols>
    <col min="1" max="1" width="18.33203125" bestFit="1" customWidth="1"/>
    <col min="2" max="2" width="83" bestFit="1" customWidth="1"/>
    <col min="3" max="3" width="18.44140625" customWidth="1"/>
    <col min="4" max="4" width="77.5546875" bestFit="1" customWidth="1"/>
    <col min="5" max="5" width="56.5546875" bestFit="1" customWidth="1"/>
    <col min="6" max="6" width="48.21875" bestFit="1" customWidth="1"/>
    <col min="7" max="7" width="12.21875" customWidth="1"/>
    <col min="8" max="8" width="14" customWidth="1"/>
    <col min="9" max="9" width="39.88671875" customWidth="1"/>
    <col min="10" max="10" width="17" customWidth="1"/>
    <col min="11" max="11" width="18.44140625" customWidth="1"/>
    <col min="12" max="12" width="12.88671875" customWidth="1"/>
    <col min="16" max="16" width="11.88671875" customWidth="1"/>
    <col min="17" max="17" width="14.77734375" customWidth="1"/>
    <col min="18" max="18" width="15" bestFit="1" customWidth="1"/>
    <col min="19" max="19" width="12.77734375" bestFit="1" customWidth="1"/>
  </cols>
  <sheetData>
    <row r="1" spans="1:12">
      <c r="A1" t="s">
        <v>150</v>
      </c>
      <c r="B1">
        <f>3.27*10^8</f>
        <v>327000000</v>
      </c>
      <c r="C1" t="s">
        <v>156</v>
      </c>
      <c r="D1" s="2">
        <f>B1-F13</f>
        <v>86686700</v>
      </c>
      <c r="E1" t="s">
        <v>157</v>
      </c>
    </row>
    <row r="2" spans="1:12">
      <c r="D2" s="50"/>
    </row>
    <row r="4" spans="1:12" s="9" customFormat="1">
      <c r="A4" s="25" t="s">
        <v>35</v>
      </c>
      <c r="B4" s="6"/>
      <c r="C4" s="6"/>
      <c r="D4" s="6"/>
      <c r="I4" s="9" t="s">
        <v>107</v>
      </c>
    </row>
    <row r="5" spans="1:12">
      <c r="A5" s="22" t="s">
        <v>36</v>
      </c>
      <c r="B5" s="22" t="s">
        <v>37</v>
      </c>
      <c r="C5" s="22" t="s">
        <v>38</v>
      </c>
      <c r="D5" s="24" t="s">
        <v>39</v>
      </c>
      <c r="E5" s="22" t="s">
        <v>76</v>
      </c>
      <c r="F5" s="22" t="s">
        <v>77</v>
      </c>
      <c r="I5" s="12" t="s">
        <v>47</v>
      </c>
    </row>
    <row r="6" spans="1:12">
      <c r="A6" s="22">
        <v>1583300</v>
      </c>
      <c r="B6" s="22">
        <v>754000</v>
      </c>
      <c r="C6" s="22">
        <v>201352200</v>
      </c>
      <c r="D6" s="24">
        <v>1864600</v>
      </c>
      <c r="E6" s="39">
        <f>C6+D6</f>
        <v>203216800</v>
      </c>
      <c r="F6" s="39">
        <f>A6+B6</f>
        <v>2337300</v>
      </c>
      <c r="I6" s="12" t="s">
        <v>48</v>
      </c>
    </row>
    <row r="7" spans="1:12">
      <c r="A7" s="15"/>
      <c r="B7" s="15"/>
      <c r="C7" s="15"/>
      <c r="D7" s="26" t="s">
        <v>78</v>
      </c>
      <c r="E7" s="26">
        <f>E6/(E6+F6)</f>
        <v>0.98862927083429619</v>
      </c>
      <c r="F7" s="26">
        <f>1-E7</f>
        <v>1.1370729165703808E-2</v>
      </c>
      <c r="I7" t="s">
        <v>49</v>
      </c>
    </row>
    <row r="8" spans="1:12">
      <c r="A8" s="25" t="s">
        <v>73</v>
      </c>
      <c r="B8" s="15"/>
      <c r="C8" s="15"/>
      <c r="D8" s="15"/>
      <c r="E8" s="15"/>
      <c r="F8" s="15"/>
    </row>
    <row r="9" spans="1:12">
      <c r="A9" s="22" t="s">
        <v>40</v>
      </c>
      <c r="B9" s="22" t="s">
        <v>37</v>
      </c>
      <c r="C9" s="22" t="s">
        <v>41</v>
      </c>
      <c r="D9" s="24" t="s">
        <v>39</v>
      </c>
      <c r="E9" s="22" t="s">
        <v>76</v>
      </c>
      <c r="F9" s="22" t="s">
        <v>77</v>
      </c>
      <c r="I9" s="16" t="s">
        <v>52</v>
      </c>
      <c r="J9" s="17">
        <v>240000000</v>
      </c>
      <c r="K9" s="16" t="s">
        <v>82</v>
      </c>
      <c r="L9" s="17">
        <v>189000000</v>
      </c>
    </row>
    <row r="10" spans="1:12">
      <c r="A10" s="22">
        <v>7095300</v>
      </c>
      <c r="B10" s="22">
        <v>1243900</v>
      </c>
      <c r="C10" s="22">
        <v>17285300</v>
      </c>
      <c r="D10" s="24">
        <v>53700</v>
      </c>
      <c r="E10" s="39">
        <f>C10+D10</f>
        <v>17339000</v>
      </c>
      <c r="F10" s="39">
        <f>A10+B10</f>
        <v>8339200</v>
      </c>
    </row>
    <row r="11" spans="1:12">
      <c r="A11" s="25"/>
      <c r="B11" s="15"/>
      <c r="C11" s="15"/>
      <c r="D11" s="26" t="s">
        <v>78</v>
      </c>
      <c r="E11" s="26">
        <f>E10/(E10+F10)</f>
        <v>0.67524203409896333</v>
      </c>
      <c r="F11" s="26">
        <f>1-E11</f>
        <v>0.32475796590103667</v>
      </c>
    </row>
    <row r="12" spans="1:12">
      <c r="A12" s="25" t="s">
        <v>105</v>
      </c>
      <c r="C12" s="30" t="s">
        <v>106</v>
      </c>
      <c r="D12" s="29" t="s">
        <v>122</v>
      </c>
      <c r="E12" s="15"/>
      <c r="F12" s="15" t="s">
        <v>124</v>
      </c>
    </row>
    <row r="13" spans="1:12">
      <c r="A13" s="38">
        <f>108*10000</f>
        <v>1080000</v>
      </c>
      <c r="C13" s="40">
        <f>A13+SUM(A6:D6)+SUM(A10:D10)</f>
        <v>232312300</v>
      </c>
      <c r="D13" s="40">
        <f>800.1*10000</f>
        <v>8001000</v>
      </c>
      <c r="E13" s="15"/>
      <c r="F13" s="57">
        <f>C13+D13</f>
        <v>240313300</v>
      </c>
      <c r="I13" s="12" t="s">
        <v>50</v>
      </c>
    </row>
    <row r="14" spans="1:12">
      <c r="A14" s="20" t="s">
        <v>111</v>
      </c>
      <c r="C14" s="15"/>
      <c r="D14" s="51">
        <f>D13-D23-H51</f>
        <v>3801870.5999999996</v>
      </c>
      <c r="E14" s="20" t="s">
        <v>153</v>
      </c>
      <c r="I14" s="12" t="s">
        <v>51</v>
      </c>
    </row>
    <row r="15" spans="1:12">
      <c r="A15" s="15"/>
      <c r="B15" s="15"/>
      <c r="C15" s="15"/>
      <c r="E15" t="s">
        <v>154</v>
      </c>
      <c r="F15" s="15"/>
      <c r="I15" s="12" t="s">
        <v>120</v>
      </c>
    </row>
    <row r="16" spans="1:12">
      <c r="B16" s="32"/>
      <c r="E16" t="s">
        <v>158</v>
      </c>
      <c r="I16" s="44" t="s">
        <v>53</v>
      </c>
      <c r="J16" s="45">
        <v>2110000</v>
      </c>
      <c r="K16" s="45" t="s">
        <v>54</v>
      </c>
      <c r="L16" s="45">
        <v>2610000</v>
      </c>
    </row>
    <row r="17" spans="1:22">
      <c r="A17" s="50"/>
      <c r="B17" s="50"/>
      <c r="I17" s="18"/>
      <c r="J17" s="15"/>
      <c r="K17" s="15"/>
      <c r="L17" s="15"/>
    </row>
    <row r="18" spans="1:22">
      <c r="A18" s="40">
        <f>C13</f>
        <v>232312300</v>
      </c>
      <c r="B18" t="s">
        <v>126</v>
      </c>
      <c r="D18">
        <f>SUM(A20:E20)</f>
        <v>231210000</v>
      </c>
      <c r="F18" s="61">
        <v>68890000</v>
      </c>
      <c r="G18" s="22" t="s">
        <v>83</v>
      </c>
      <c r="I18" s="19"/>
      <c r="J18" s="15"/>
      <c r="K18" s="15"/>
      <c r="L18" s="15" t="s">
        <v>69</v>
      </c>
      <c r="M18" t="s">
        <v>68</v>
      </c>
      <c r="N18" t="s">
        <v>66</v>
      </c>
    </row>
    <row r="19" spans="1:22">
      <c r="A19" s="22" t="s">
        <v>81</v>
      </c>
      <c r="B19" s="22" t="s">
        <v>80</v>
      </c>
      <c r="C19" s="22" t="s">
        <v>79</v>
      </c>
      <c r="D19" s="22" t="s">
        <v>123</v>
      </c>
      <c r="E19" s="22" t="s">
        <v>125</v>
      </c>
      <c r="I19" s="19"/>
      <c r="J19" s="15"/>
      <c r="K19" s="15"/>
      <c r="L19" s="15"/>
      <c r="Q19" t="s">
        <v>109</v>
      </c>
      <c r="R19" t="s">
        <v>110</v>
      </c>
      <c r="S19" t="s">
        <v>111</v>
      </c>
      <c r="T19" t="s">
        <v>112</v>
      </c>
    </row>
    <row r="20" spans="1:22">
      <c r="A20" s="22">
        <v>21030000</v>
      </c>
      <c r="B20" s="22">
        <v>205070000</v>
      </c>
      <c r="C20" s="22">
        <v>546000</v>
      </c>
      <c r="D20" s="41">
        <f>260.1*10000</f>
        <v>2601000</v>
      </c>
      <c r="E20" s="41">
        <f>196.3*10000</f>
        <v>1963000</v>
      </c>
      <c r="F20" s="81" t="s">
        <v>130</v>
      </c>
      <c r="I20" s="19"/>
      <c r="J20" s="15"/>
      <c r="K20" s="15"/>
      <c r="L20" s="20" t="s">
        <v>108</v>
      </c>
      <c r="M20" s="21">
        <v>0.57489999999999997</v>
      </c>
      <c r="N20" s="21">
        <v>0.17710000000000001</v>
      </c>
      <c r="P20" t="s">
        <v>113</v>
      </c>
      <c r="Q20" s="31">
        <f>M20</f>
        <v>0.57489999999999997</v>
      </c>
      <c r="R20" s="31">
        <f>M21</f>
        <v>0.1472</v>
      </c>
      <c r="S20" s="31">
        <f>M22</f>
        <v>7.3400000000000007E-2</v>
      </c>
    </row>
    <row r="21" spans="1:22">
      <c r="A21" s="43">
        <v>9.0999999999999998E-2</v>
      </c>
      <c r="B21" s="43">
        <v>0.88700000000000001</v>
      </c>
      <c r="C21" s="43">
        <v>2E-3</v>
      </c>
      <c r="D21" s="43">
        <v>1.0999999999999999E-2</v>
      </c>
      <c r="E21" s="43">
        <v>8.9999999999999993E-3</v>
      </c>
      <c r="F21" s="81"/>
      <c r="I21" s="19"/>
      <c r="J21" s="15"/>
      <c r="K21" s="15"/>
      <c r="L21" s="20" t="s">
        <v>71</v>
      </c>
      <c r="M21" s="21">
        <v>0.1472</v>
      </c>
      <c r="N21" s="21">
        <v>2.69E-2</v>
      </c>
      <c r="P21" t="s">
        <v>114</v>
      </c>
      <c r="Q21" s="31">
        <f>N20</f>
        <v>0.17710000000000001</v>
      </c>
      <c r="R21" s="31">
        <f>N21</f>
        <v>2.69E-2</v>
      </c>
    </row>
    <row r="22" spans="1:22">
      <c r="A22" s="49">
        <f>A21*$A$18</f>
        <v>21140419.300000001</v>
      </c>
      <c r="B22" s="49">
        <f>B21*$A$18</f>
        <v>206061010.09999999</v>
      </c>
      <c r="C22" s="49">
        <f>C21*$A$18</f>
        <v>464624.60000000003</v>
      </c>
      <c r="D22" s="49">
        <f>D21*$A$18</f>
        <v>2555435.2999999998</v>
      </c>
      <c r="E22" s="49">
        <f>E21*$A$18</f>
        <v>2090810.7</v>
      </c>
      <c r="F22" t="s">
        <v>131</v>
      </c>
      <c r="I22" s="20"/>
      <c r="J22" s="15"/>
      <c r="K22" s="15"/>
      <c r="L22" s="20" t="s">
        <v>67</v>
      </c>
      <c r="M22" s="21">
        <v>7.3400000000000007E-2</v>
      </c>
      <c r="N22" s="17">
        <v>0</v>
      </c>
      <c r="P22" t="s">
        <v>115</v>
      </c>
      <c r="S22" s="31">
        <f>1-SUM(Q20:S21)</f>
        <v>4.9999999999994493E-4</v>
      </c>
    </row>
    <row r="23" spans="1:22" ht="82.5" customHeight="1">
      <c r="B23" s="58" t="s">
        <v>151</v>
      </c>
      <c r="C23" s="6" t="s">
        <v>139</v>
      </c>
      <c r="D23" s="50">
        <f>L16-D22</f>
        <v>54564.700000000186</v>
      </c>
      <c r="E23" s="9" t="s">
        <v>140</v>
      </c>
      <c r="I23" s="19"/>
      <c r="J23" s="15"/>
      <c r="K23" s="15"/>
      <c r="L23" s="20"/>
    </row>
    <row r="24" spans="1:22">
      <c r="D24" t="s">
        <v>127</v>
      </c>
      <c r="I24" s="19"/>
      <c r="J24" s="15"/>
      <c r="K24" s="15"/>
      <c r="L24" s="20"/>
      <c r="Q24" t="s">
        <v>109</v>
      </c>
      <c r="R24" t="s">
        <v>110</v>
      </c>
      <c r="S24" t="s">
        <v>111</v>
      </c>
      <c r="T24" t="s">
        <v>112</v>
      </c>
    </row>
    <row r="25" spans="1:22">
      <c r="I25" s="19"/>
      <c r="J25" s="15"/>
      <c r="K25" s="15"/>
      <c r="L25" s="20"/>
      <c r="P25" t="s">
        <v>113</v>
      </c>
      <c r="Q25" s="33">
        <f>$L$16*Q20</f>
        <v>1500489</v>
      </c>
      <c r="R25" s="33">
        <f t="shared" ref="R25:S25" si="0">$L$16*R20</f>
        <v>384192</v>
      </c>
      <c r="S25" s="33">
        <f t="shared" si="0"/>
        <v>191574.00000000003</v>
      </c>
    </row>
    <row r="26" spans="1:22" ht="15.6">
      <c r="A26" s="46" t="s">
        <v>81</v>
      </c>
      <c r="I26" s="20"/>
      <c r="L26" s="20"/>
      <c r="P26" t="s">
        <v>114</v>
      </c>
      <c r="Q26" s="33">
        <f t="shared" ref="Q26:S26" si="1">$L$16*Q21</f>
        <v>462231</v>
      </c>
      <c r="R26" s="33">
        <f t="shared" si="1"/>
        <v>70209</v>
      </c>
      <c r="S26" s="33">
        <f t="shared" si="1"/>
        <v>0</v>
      </c>
      <c r="V26" s="35" t="s">
        <v>118</v>
      </c>
    </row>
    <row r="27" spans="1:22" ht="15.6">
      <c r="F27" s="22" t="s">
        <v>87</v>
      </c>
      <c r="G27" s="22" t="s">
        <v>84</v>
      </c>
      <c r="H27" s="22" t="s">
        <v>18</v>
      </c>
      <c r="I27" s="20"/>
      <c r="L27" s="20"/>
      <c r="P27" t="s">
        <v>119</v>
      </c>
      <c r="Q27" s="33">
        <f>INT(U27*710/(710+909))</f>
        <v>572</v>
      </c>
      <c r="R27" s="33"/>
      <c r="S27" s="36">
        <f>U27-Q27</f>
        <v>732.9999999998563</v>
      </c>
      <c r="U27" s="33">
        <f>$L$16*S22</f>
        <v>1304.9999999998563</v>
      </c>
      <c r="V27" s="35" t="s">
        <v>116</v>
      </c>
    </row>
    <row r="28" spans="1:22">
      <c r="F28" s="22" t="s">
        <v>85</v>
      </c>
      <c r="G28" s="22">
        <f>0.075</f>
        <v>7.4999999999999997E-2</v>
      </c>
      <c r="H28" s="22">
        <f>0.06</f>
        <v>0.06</v>
      </c>
      <c r="P28" s="34"/>
      <c r="V28" s="3" t="s">
        <v>117</v>
      </c>
    </row>
    <row r="29" spans="1:22">
      <c r="F29" s="22" t="s">
        <v>86</v>
      </c>
      <c r="G29" s="22">
        <v>0.48</v>
      </c>
      <c r="H29" s="22">
        <f>0.326+0.059</f>
        <v>0.38500000000000001</v>
      </c>
      <c r="L29" s="20"/>
      <c r="P29" s="34"/>
    </row>
    <row r="30" spans="1:22">
      <c r="L30" s="20"/>
    </row>
    <row r="31" spans="1:22">
      <c r="F31" s="22" t="s">
        <v>70</v>
      </c>
      <c r="G31" s="22" t="s">
        <v>84</v>
      </c>
      <c r="H31" s="22" t="s">
        <v>18</v>
      </c>
    </row>
    <row r="32" spans="1:22">
      <c r="F32" s="22" t="s">
        <v>85</v>
      </c>
      <c r="G32" s="22">
        <f>INT($A$22*G28)</f>
        <v>1585531</v>
      </c>
      <c r="H32" s="22">
        <f>INT($A$22*H28)</f>
        <v>1268425</v>
      </c>
    </row>
    <row r="33" spans="1:10">
      <c r="F33" s="22" t="s">
        <v>86</v>
      </c>
      <c r="G33" s="22">
        <f>INT($A$22*G29)</f>
        <v>10147401</v>
      </c>
      <c r="H33" s="22">
        <f>INT($A$22*H29)</f>
        <v>8139061</v>
      </c>
    </row>
    <row r="34" spans="1:10">
      <c r="H34" s="59">
        <f>A20*H29</f>
        <v>8096550</v>
      </c>
      <c r="I34" s="80" t="s">
        <v>152</v>
      </c>
    </row>
    <row r="35" spans="1:10">
      <c r="I35" s="80"/>
    </row>
    <row r="36" spans="1:10">
      <c r="H36" s="50">
        <f>H33-H34</f>
        <v>42511</v>
      </c>
    </row>
    <row r="40" spans="1:10">
      <c r="A40" s="46" t="s">
        <v>132</v>
      </c>
      <c r="B40" s="3" t="s">
        <v>227</v>
      </c>
      <c r="F40" t="s">
        <v>133</v>
      </c>
    </row>
    <row r="41" spans="1:10">
      <c r="B41" s="3"/>
    </row>
    <row r="42" spans="1:10">
      <c r="B42" s="3"/>
      <c r="F42" s="22"/>
      <c r="G42" s="22" t="s">
        <v>72</v>
      </c>
      <c r="H42" s="22" t="s">
        <v>18</v>
      </c>
    </row>
    <row r="43" spans="1:10">
      <c r="B43" s="3"/>
      <c r="F43" s="47" t="s">
        <v>134</v>
      </c>
      <c r="G43" s="48">
        <v>0.4138</v>
      </c>
      <c r="H43" s="48">
        <f>5.05%+0.14%</f>
        <v>5.1899999999999995E-2</v>
      </c>
    </row>
    <row r="44" spans="1:10">
      <c r="B44" s="3"/>
      <c r="F44" s="47" t="s">
        <v>135</v>
      </c>
      <c r="G44" s="48">
        <f>16.96%</f>
        <v>0.1696</v>
      </c>
      <c r="H44" s="48">
        <f>36.47%</f>
        <v>0.36469999999999997</v>
      </c>
    </row>
    <row r="45" spans="1:10">
      <c r="B45" s="3"/>
      <c r="G45">
        <f>G44/(G43+G44)</f>
        <v>0.29070963318477888</v>
      </c>
      <c r="H45" s="55">
        <f>H55/H47</f>
        <v>3.8059701492537311E-2</v>
      </c>
    </row>
    <row r="46" spans="1:10">
      <c r="B46" s="3"/>
    </row>
    <row r="47" spans="1:10">
      <c r="B47" s="3"/>
      <c r="F47" t="s">
        <v>138</v>
      </c>
      <c r="H47" s="56">
        <f>670*10000</f>
        <v>6700000</v>
      </c>
      <c r="I47" t="s">
        <v>149</v>
      </c>
    </row>
    <row r="48" spans="1:10">
      <c r="B48" s="3"/>
      <c r="G48" t="s">
        <v>64</v>
      </c>
      <c r="H48" s="50">
        <f>C22</f>
        <v>464624.60000000003</v>
      </c>
    </row>
    <row r="49" spans="1:11">
      <c r="B49" s="3"/>
      <c r="G49" t="s">
        <v>141</v>
      </c>
      <c r="H49" s="50">
        <f>H47-H48</f>
        <v>6235375.4000000004</v>
      </c>
    </row>
    <row r="50" spans="1:11">
      <c r="B50" s="3"/>
      <c r="G50" s="34" t="s">
        <v>142</v>
      </c>
      <c r="H50" s="50">
        <f>E22</f>
        <v>2090810.7</v>
      </c>
    </row>
    <row r="51" spans="1:11">
      <c r="B51" s="3" t="s">
        <v>136</v>
      </c>
      <c r="G51" s="34" t="s">
        <v>122</v>
      </c>
      <c r="H51" s="50">
        <f>H49-H50</f>
        <v>4144564.7</v>
      </c>
      <c r="I51" s="3" t="s">
        <v>146</v>
      </c>
    </row>
    <row r="52" spans="1:11" ht="17.25" customHeight="1">
      <c r="A52" s="82" t="s">
        <v>137</v>
      </c>
      <c r="B52" s="82"/>
      <c r="C52" s="82"/>
      <c r="D52" s="82"/>
      <c r="E52" s="82"/>
      <c r="I52" s="79" t="s">
        <v>145</v>
      </c>
      <c r="J52" s="79"/>
      <c r="K52" s="79"/>
    </row>
    <row r="53" spans="1:11" ht="13.5" customHeight="1">
      <c r="A53" s="82"/>
      <c r="B53" s="82"/>
      <c r="C53" s="82"/>
      <c r="D53" s="82"/>
      <c r="E53" s="82"/>
      <c r="F53" s="22"/>
      <c r="G53" s="22" t="s">
        <v>72</v>
      </c>
      <c r="H53" s="22" t="s">
        <v>18</v>
      </c>
      <c r="I53" s="79"/>
      <c r="J53" s="79"/>
      <c r="K53" s="79"/>
    </row>
    <row r="54" spans="1:11" ht="13.5" customHeight="1">
      <c r="A54" s="82"/>
      <c r="B54" s="82"/>
      <c r="C54" s="82"/>
      <c r="D54" s="82"/>
      <c r="E54" s="82"/>
      <c r="F54" s="47" t="s">
        <v>134</v>
      </c>
      <c r="G54" s="53">
        <f>H47-H54-H55-G55</f>
        <v>4324734.874871443</v>
      </c>
      <c r="H54" s="53">
        <f>$H$47*H43</f>
        <v>347729.99999999994</v>
      </c>
      <c r="I54" s="79"/>
      <c r="J54" s="79"/>
      <c r="K54" s="79"/>
    </row>
    <row r="55" spans="1:11" ht="13.5" customHeight="1">
      <c r="A55" s="82"/>
      <c r="B55" s="82"/>
      <c r="C55" s="82"/>
      <c r="D55" s="82"/>
      <c r="E55" s="82"/>
      <c r="F55" s="47" t="s">
        <v>135</v>
      </c>
      <c r="G55" s="53">
        <f>(H47-H54-H55)*G45</f>
        <v>1772535.1251285567</v>
      </c>
      <c r="H55" s="53">
        <f>25.5*10000</f>
        <v>255000</v>
      </c>
      <c r="I55" s="79"/>
      <c r="J55" s="79"/>
      <c r="K55" s="79"/>
    </row>
    <row r="56" spans="1:11">
      <c r="A56" s="82"/>
      <c r="B56" s="82"/>
      <c r="C56" s="82"/>
      <c r="D56" s="82"/>
      <c r="E56" s="82"/>
      <c r="H56" s="59">
        <f>F10-H34</f>
        <v>242650</v>
      </c>
    </row>
    <row r="57" spans="1:11" ht="17.399999999999999">
      <c r="A57" s="52" t="s">
        <v>144</v>
      </c>
      <c r="B57" s="3"/>
      <c r="C57" s="3" t="s">
        <v>143</v>
      </c>
      <c r="I57" s="3" t="s">
        <v>147</v>
      </c>
    </row>
    <row r="58" spans="1:11" ht="15">
      <c r="G58" s="50"/>
      <c r="H58" s="50">
        <f>H55-H56</f>
        <v>12350</v>
      </c>
      <c r="I58" s="54" t="s">
        <v>148</v>
      </c>
    </row>
    <row r="59" spans="1:11" ht="15">
      <c r="I59" s="54"/>
    </row>
    <row r="60" spans="1:11">
      <c r="A60" s="25" t="s">
        <v>166</v>
      </c>
    </row>
    <row r="61" spans="1:11">
      <c r="A61" s="22" t="s">
        <v>42</v>
      </c>
      <c r="B61" s="22" t="s">
        <v>43</v>
      </c>
      <c r="C61" s="15"/>
      <c r="D61" s="15"/>
      <c r="E61" s="15"/>
      <c r="F61" s="15"/>
    </row>
    <row r="62" spans="1:11">
      <c r="A62" s="22">
        <v>3645</v>
      </c>
      <c r="B62" s="22">
        <v>173</v>
      </c>
      <c r="C62" s="15"/>
      <c r="D62" s="15"/>
      <c r="E62" s="15"/>
      <c r="F62" s="15"/>
    </row>
    <row r="63" spans="1:11">
      <c r="A63" s="15"/>
      <c r="B63" s="15"/>
      <c r="C63" s="15"/>
      <c r="D63" s="15"/>
      <c r="E63" s="15"/>
      <c r="F63" s="15"/>
    </row>
    <row r="64" spans="1:11">
      <c r="A64" s="25" t="s">
        <v>128</v>
      </c>
      <c r="B64" s="15" t="s">
        <v>161</v>
      </c>
      <c r="C64" s="15" t="s">
        <v>162</v>
      </c>
      <c r="D64" s="15">
        <v>126800</v>
      </c>
      <c r="E64" s="63" t="s">
        <v>251</v>
      </c>
    </row>
    <row r="65" spans="1:8">
      <c r="A65" s="77" t="s">
        <v>46</v>
      </c>
      <c r="B65" s="77"/>
      <c r="C65" s="77" t="s">
        <v>59</v>
      </c>
      <c r="D65" s="77"/>
    </row>
    <row r="66" spans="1:8">
      <c r="A66" s="77">
        <v>126800</v>
      </c>
      <c r="B66" s="77"/>
      <c r="C66" s="77">
        <v>11221</v>
      </c>
      <c r="D66" s="77"/>
    </row>
    <row r="67" spans="1:8">
      <c r="A67" s="22" t="s">
        <v>64</v>
      </c>
      <c r="B67" s="22" t="s">
        <v>65</v>
      </c>
      <c r="C67" s="77"/>
      <c r="D67" s="77"/>
    </row>
    <row r="68" spans="1:8">
      <c r="A68" s="22">
        <v>400</v>
      </c>
      <c r="B68" s="22">
        <f>A66-A68</f>
        <v>126400</v>
      </c>
      <c r="C68" s="77"/>
      <c r="D68" s="77"/>
    </row>
    <row r="69" spans="1:8" ht="17.399999999999999">
      <c r="A69" s="37" t="s">
        <v>121</v>
      </c>
      <c r="C69" s="15"/>
      <c r="D69" s="15">
        <f>D64/A66</f>
        <v>1</v>
      </c>
    </row>
    <row r="70" spans="1:8">
      <c r="C70" s="15"/>
      <c r="D70" s="15"/>
    </row>
    <row r="71" spans="1:8">
      <c r="A71" s="77" t="s">
        <v>62</v>
      </c>
      <c r="B71" s="77"/>
      <c r="C71" s="77" t="s">
        <v>63</v>
      </c>
      <c r="D71" s="77"/>
    </row>
    <row r="72" spans="1:8">
      <c r="A72" s="77">
        <f>D64-C72</f>
        <v>5802</v>
      </c>
      <c r="B72" s="77"/>
      <c r="C72" s="77">
        <v>120998</v>
      </c>
      <c r="D72" s="77"/>
      <c r="E72" s="20" t="s">
        <v>74</v>
      </c>
      <c r="F72" t="s">
        <v>254</v>
      </c>
    </row>
    <row r="73" spans="1:8">
      <c r="A73" s="22" t="s">
        <v>60</v>
      </c>
      <c r="B73" s="22" t="s">
        <v>61</v>
      </c>
      <c r="C73" s="22" t="s">
        <v>60</v>
      </c>
      <c r="D73" s="22" t="s">
        <v>61</v>
      </c>
      <c r="E73" t="s">
        <v>75</v>
      </c>
      <c r="F73" t="s">
        <v>255</v>
      </c>
    </row>
    <row r="74" spans="1:8">
      <c r="A74" s="22">
        <v>1</v>
      </c>
      <c r="B74" s="22">
        <f>A72-A74-250</f>
        <v>5551</v>
      </c>
      <c r="C74" s="22">
        <f>A68-A74</f>
        <v>399</v>
      </c>
      <c r="D74" s="22">
        <f>C72-C74</f>
        <v>120599</v>
      </c>
      <c r="E74" t="s">
        <v>252</v>
      </c>
      <c r="F74" t="s">
        <v>256</v>
      </c>
    </row>
    <row r="75" spans="1:8">
      <c r="A75" s="15" t="s">
        <v>258</v>
      </c>
      <c r="B75" s="15">
        <v>250</v>
      </c>
      <c r="C75" s="15"/>
      <c r="D75" s="15"/>
      <c r="E75" t="s">
        <v>253</v>
      </c>
      <c r="F75" t="s">
        <v>257</v>
      </c>
    </row>
    <row r="76" spans="1:8">
      <c r="A76" s="25" t="s">
        <v>129</v>
      </c>
      <c r="B76" s="15"/>
      <c r="C76" s="15"/>
      <c r="D76" s="15"/>
    </row>
    <row r="77" spans="1:8">
      <c r="A77" s="78" t="s">
        <v>56</v>
      </c>
      <c r="B77" s="78"/>
      <c r="C77" s="76" t="s">
        <v>44</v>
      </c>
      <c r="D77" s="76"/>
      <c r="E77" s="76" t="s">
        <v>45</v>
      </c>
      <c r="F77" s="76"/>
      <c r="G77" s="10"/>
      <c r="H77" s="10"/>
    </row>
    <row r="78" spans="1:8">
      <c r="A78" s="76">
        <v>22000</v>
      </c>
      <c r="B78" s="76"/>
      <c r="C78" s="76">
        <v>76000</v>
      </c>
      <c r="D78" s="76"/>
      <c r="E78" s="76">
        <v>912000</v>
      </c>
      <c r="F78" s="76"/>
      <c r="G78" s="10"/>
      <c r="H78" s="10"/>
    </row>
    <row r="79" spans="1:8">
      <c r="A79" s="23" t="s">
        <v>57</v>
      </c>
      <c r="B79" s="23" t="s">
        <v>58</v>
      </c>
      <c r="C79" s="23" t="s">
        <v>57</v>
      </c>
      <c r="D79" s="23" t="s">
        <v>58</v>
      </c>
      <c r="E79" s="23" t="s">
        <v>57</v>
      </c>
      <c r="F79" s="23" t="s">
        <v>58</v>
      </c>
      <c r="G79" s="10"/>
      <c r="H79" s="10"/>
    </row>
    <row r="80" spans="1:8">
      <c r="A80" s="23">
        <v>8000</v>
      </c>
      <c r="B80" s="23">
        <v>14000</v>
      </c>
      <c r="C80" s="23">
        <f>C78*($A$80/$A$78)</f>
        <v>27636.363636363636</v>
      </c>
      <c r="D80" s="23">
        <f>C78-C80</f>
        <v>48363.636363636368</v>
      </c>
      <c r="E80" s="23">
        <f>E78*($A$80/$A$78)</f>
        <v>331636.36363636365</v>
      </c>
      <c r="F80" s="23">
        <f>E78-E80</f>
        <v>580363.63636363635</v>
      </c>
      <c r="G80" s="10"/>
      <c r="H80" s="10"/>
    </row>
    <row r="81" spans="1:8">
      <c r="C81" s="14">
        <f>A80*C78/(C78+E78)</f>
        <v>615.38461538461536</v>
      </c>
      <c r="D81">
        <f>B80</f>
        <v>14000</v>
      </c>
      <c r="E81" s="14">
        <f>A80*E78/(E78+C78)</f>
        <v>7384.6153846153848</v>
      </c>
      <c r="F81">
        <v>0</v>
      </c>
    </row>
    <row r="83" spans="1:8">
      <c r="B83" s="60" t="s">
        <v>164</v>
      </c>
    </row>
    <row r="84" spans="1:8">
      <c r="B84" s="3" t="s">
        <v>163</v>
      </c>
    </row>
    <row r="86" spans="1:8">
      <c r="F86" s="14"/>
    </row>
    <row r="87" spans="1:8">
      <c r="B87" s="13"/>
      <c r="C87" s="13"/>
      <c r="D87" s="13"/>
      <c r="E87" s="13"/>
      <c r="F87" s="13"/>
      <c r="G87" s="13"/>
      <c r="H87" s="13"/>
    </row>
    <row r="89" spans="1:8">
      <c r="B89" t="s">
        <v>168</v>
      </c>
    </row>
    <row r="90" spans="1:8">
      <c r="B90" t="s">
        <v>167</v>
      </c>
      <c r="C90">
        <v>7352</v>
      </c>
      <c r="D90" t="s">
        <v>169</v>
      </c>
      <c r="E90" t="s">
        <v>117</v>
      </c>
    </row>
    <row r="91" spans="1:8">
      <c r="B91" t="s">
        <v>234</v>
      </c>
      <c r="C91" s="60">
        <v>281000000</v>
      </c>
    </row>
    <row r="92" spans="1:8">
      <c r="A92" s="71" t="s">
        <v>248</v>
      </c>
      <c r="B92" t="s">
        <v>235</v>
      </c>
      <c r="C92">
        <v>273409200</v>
      </c>
      <c r="D92" t="s">
        <v>182</v>
      </c>
    </row>
    <row r="95" spans="1:8">
      <c r="A95" s="71" t="s">
        <v>248</v>
      </c>
      <c r="B95" t="s">
        <v>170</v>
      </c>
      <c r="C95">
        <v>241661800</v>
      </c>
      <c r="D95" t="s">
        <v>182</v>
      </c>
    </row>
    <row r="96" spans="1:8">
      <c r="A96" s="71" t="s">
        <v>248</v>
      </c>
      <c r="B96" t="s">
        <v>171</v>
      </c>
      <c r="C96">
        <v>30426400</v>
      </c>
      <c r="D96" t="s">
        <v>182</v>
      </c>
    </row>
    <row r="99" spans="1:7">
      <c r="A99" s="75" t="s">
        <v>203</v>
      </c>
      <c r="B99" t="s">
        <v>183</v>
      </c>
      <c r="C99" s="60">
        <v>2253000</v>
      </c>
      <c r="D99" t="s">
        <v>182</v>
      </c>
      <c r="E99" s="60" t="s">
        <v>237</v>
      </c>
    </row>
    <row r="100" spans="1:7">
      <c r="A100" s="75"/>
      <c r="B100" t="s">
        <v>184</v>
      </c>
      <c r="C100" s="60">
        <v>227300000</v>
      </c>
      <c r="D100" t="s">
        <v>236</v>
      </c>
    </row>
    <row r="101" spans="1:7">
      <c r="A101" s="75"/>
      <c r="B101" t="s">
        <v>185</v>
      </c>
      <c r="C101" s="60">
        <v>8308373</v>
      </c>
      <c r="D101" t="s">
        <v>182</v>
      </c>
      <c r="E101">
        <f>9468300-1159927</f>
        <v>8308373</v>
      </c>
      <c r="F101" t="s">
        <v>241</v>
      </c>
      <c r="G101" t="s">
        <v>245</v>
      </c>
    </row>
    <row r="102" spans="1:7">
      <c r="A102" s="75"/>
      <c r="B102" t="s">
        <v>186</v>
      </c>
      <c r="C102" s="60">
        <v>22118027</v>
      </c>
      <c r="D102" t="s">
        <v>182</v>
      </c>
      <c r="E102">
        <f>20958100+1159927</f>
        <v>22118027</v>
      </c>
      <c r="F102" t="s">
        <v>242</v>
      </c>
      <c r="G102" t="s">
        <v>246</v>
      </c>
    </row>
    <row r="103" spans="1:7">
      <c r="G103" t="s">
        <v>247</v>
      </c>
    </row>
    <row r="104" spans="1:7">
      <c r="B104" t="s">
        <v>187</v>
      </c>
      <c r="C104">
        <v>6620000</v>
      </c>
      <c r="D104" s="3" t="s">
        <v>249</v>
      </c>
    </row>
    <row r="105" spans="1:7">
      <c r="B105" t="s">
        <v>189</v>
      </c>
      <c r="C105">
        <v>4000000</v>
      </c>
    </row>
    <row r="106" spans="1:7">
      <c r="B106" t="s">
        <v>188</v>
      </c>
      <c r="C106">
        <v>920000</v>
      </c>
    </row>
    <row r="109" spans="1:7">
      <c r="A109" s="75">
        <v>466000</v>
      </c>
      <c r="B109" t="s">
        <v>193</v>
      </c>
      <c r="C109">
        <f>A109*0.81</f>
        <v>377460</v>
      </c>
      <c r="D109" t="s">
        <v>220</v>
      </c>
      <c r="E109" s="3" t="s">
        <v>238</v>
      </c>
    </row>
    <row r="110" spans="1:7">
      <c r="A110" s="75"/>
      <c r="B110" t="s">
        <v>194</v>
      </c>
      <c r="C110">
        <f>A109*0.19</f>
        <v>88540</v>
      </c>
    </row>
    <row r="111" spans="1:7">
      <c r="B111" t="s">
        <v>195</v>
      </c>
      <c r="C111">
        <f>INT(C90*(710/(710+909)))</f>
        <v>3224</v>
      </c>
      <c r="D111" t="s">
        <v>197</v>
      </c>
    </row>
    <row r="112" spans="1:7">
      <c r="B112" t="s">
        <v>196</v>
      </c>
      <c r="C112">
        <f>C90-C111</f>
        <v>4128</v>
      </c>
    </row>
    <row r="115" spans="2:4">
      <c r="B115" t="s">
        <v>174</v>
      </c>
      <c r="C115" t="s">
        <v>173</v>
      </c>
    </row>
    <row r="117" spans="2:4">
      <c r="B117" t="s">
        <v>80</v>
      </c>
    </row>
    <row r="118" spans="2:4">
      <c r="B118" t="s">
        <v>81</v>
      </c>
    </row>
    <row r="119" spans="2:4">
      <c r="B119" t="s">
        <v>172</v>
      </c>
      <c r="C119" t="s">
        <v>175</v>
      </c>
    </row>
    <row r="120" spans="2:4">
      <c r="B120" t="s">
        <v>221</v>
      </c>
      <c r="C120">
        <v>4920000</v>
      </c>
    </row>
    <row r="123" spans="2:4">
      <c r="B123" t="s">
        <v>178</v>
      </c>
      <c r="C123" s="66">
        <v>378700</v>
      </c>
      <c r="D123" t="s">
        <v>176</v>
      </c>
    </row>
    <row r="124" spans="2:4">
      <c r="B124" t="s">
        <v>179</v>
      </c>
      <c r="C124">
        <v>4300000</v>
      </c>
      <c r="D124" t="s">
        <v>177</v>
      </c>
    </row>
    <row r="125" spans="2:4">
      <c r="B125" t="s">
        <v>180</v>
      </c>
    </row>
    <row r="126" spans="2:4">
      <c r="B126" t="s">
        <v>181</v>
      </c>
    </row>
    <row r="132" spans="2:5">
      <c r="B132" t="s">
        <v>191</v>
      </c>
      <c r="C132">
        <v>582000</v>
      </c>
      <c r="D132" s="67" t="s">
        <v>190</v>
      </c>
      <c r="E132" t="s">
        <v>192</v>
      </c>
    </row>
    <row r="137" spans="2:5">
      <c r="C137" t="s">
        <v>240</v>
      </c>
      <c r="D137">
        <v>25571000</v>
      </c>
      <c r="E137" t="s">
        <v>244</v>
      </c>
    </row>
    <row r="138" spans="2:5">
      <c r="B138" t="s">
        <v>200</v>
      </c>
      <c r="C138" s="60">
        <v>20000000</v>
      </c>
      <c r="D138" t="s">
        <v>199</v>
      </c>
      <c r="E138" s="3" t="s">
        <v>239</v>
      </c>
    </row>
    <row r="139" spans="2:5">
      <c r="B139" t="s">
        <v>184</v>
      </c>
      <c r="C139">
        <f>INT(C138*0.075)</f>
        <v>1500000</v>
      </c>
    </row>
    <row r="140" spans="2:5">
      <c r="B140" t="s">
        <v>183</v>
      </c>
      <c r="C140">
        <f>INT(C138*0.06)</f>
        <v>1200000</v>
      </c>
      <c r="D140">
        <v>22199000</v>
      </c>
      <c r="E140" t="s">
        <v>243</v>
      </c>
    </row>
    <row r="141" spans="2:5">
      <c r="B141" t="s">
        <v>185</v>
      </c>
      <c r="C141">
        <f>INT(D141*0.445)</f>
        <v>7726373</v>
      </c>
      <c r="D141">
        <f>D140*C138/D137</f>
        <v>17362637.362637363</v>
      </c>
    </row>
    <row r="142" spans="2:5">
      <c r="B142" t="s">
        <v>186</v>
      </c>
      <c r="C142">
        <f>D141-C141</f>
        <v>9636264.3626373634</v>
      </c>
    </row>
    <row r="144" spans="2:5">
      <c r="B144" t="s">
        <v>201</v>
      </c>
      <c r="C144">
        <f>INT(C92*0.887)</f>
        <v>242513960</v>
      </c>
      <c r="D144" t="s">
        <v>202</v>
      </c>
      <c r="E144" t="s">
        <v>198</v>
      </c>
    </row>
    <row r="147" spans="2:9">
      <c r="E147" s="60" t="s">
        <v>213</v>
      </c>
    </row>
    <row r="148" spans="2:9">
      <c r="B148" t="s">
        <v>214</v>
      </c>
      <c r="C148">
        <f>C120*F149</f>
        <v>2828508</v>
      </c>
      <c r="F148" t="s">
        <v>207</v>
      </c>
      <c r="G148" t="s">
        <v>208</v>
      </c>
      <c r="H148" t="s">
        <v>209</v>
      </c>
      <c r="I148" t="s">
        <v>210</v>
      </c>
    </row>
    <row r="149" spans="2:9">
      <c r="B149" t="s">
        <v>215</v>
      </c>
      <c r="C149">
        <f>C120*F150</f>
        <v>871332</v>
      </c>
      <c r="E149" t="s">
        <v>211</v>
      </c>
      <c r="F149">
        <v>0.57489999999999997</v>
      </c>
      <c r="G149">
        <v>0.1472</v>
      </c>
      <c r="H149">
        <v>7.3400000000000007E-2</v>
      </c>
      <c r="I149">
        <v>0</v>
      </c>
    </row>
    <row r="150" spans="2:9">
      <c r="B150" t="s">
        <v>218</v>
      </c>
      <c r="C150">
        <f>C120*I149</f>
        <v>0</v>
      </c>
      <c r="E150" t="s">
        <v>212</v>
      </c>
      <c r="F150">
        <v>0.17710000000000001</v>
      </c>
      <c r="G150">
        <v>2.69E-2</v>
      </c>
      <c r="H150">
        <v>0</v>
      </c>
      <c r="I150">
        <v>0</v>
      </c>
    </row>
    <row r="151" spans="2:9">
      <c r="B151" t="s">
        <v>219</v>
      </c>
      <c r="C151">
        <f>C120*I150</f>
        <v>0</v>
      </c>
    </row>
    <row r="152" spans="2:9">
      <c r="B152" t="s">
        <v>216</v>
      </c>
      <c r="C152">
        <f>C120*H149</f>
        <v>361128.00000000006</v>
      </c>
    </row>
    <row r="153" spans="2:9">
      <c r="B153" t="s">
        <v>217</v>
      </c>
      <c r="C153">
        <f>C120*H150</f>
        <v>0</v>
      </c>
    </row>
    <row r="156" spans="2:9">
      <c r="E156" t="s">
        <v>222</v>
      </c>
    </row>
    <row r="157" spans="2:9">
      <c r="B157" t="s">
        <v>250</v>
      </c>
    </row>
    <row r="158" spans="2:9">
      <c r="B158" t="s">
        <v>229</v>
      </c>
      <c r="C158">
        <f>C104*F159</f>
        <v>2739356</v>
      </c>
      <c r="F158" t="s">
        <v>223</v>
      </c>
      <c r="G158" t="s">
        <v>224</v>
      </c>
    </row>
    <row r="159" spans="2:9">
      <c r="B159" t="s">
        <v>230</v>
      </c>
      <c r="C159">
        <f>C104*G159</f>
        <v>343577.99999999994</v>
      </c>
      <c r="E159" t="s">
        <v>225</v>
      </c>
      <c r="F159">
        <v>0.4138</v>
      </c>
      <c r="G159">
        <v>5.1899999999999995E-2</v>
      </c>
    </row>
    <row r="160" spans="2:9">
      <c r="B160" t="s">
        <v>231</v>
      </c>
      <c r="C160">
        <f>C104*F160</f>
        <v>1122752</v>
      </c>
      <c r="E160" t="s">
        <v>226</v>
      </c>
      <c r="F160">
        <v>0.1696</v>
      </c>
      <c r="G160">
        <v>0.36469999999999997</v>
      </c>
    </row>
    <row r="161" spans="2:5">
      <c r="B161" t="s">
        <v>232</v>
      </c>
      <c r="C161">
        <f>C104*G160</f>
        <v>2414314</v>
      </c>
      <c r="D161" t="s">
        <v>233</v>
      </c>
    </row>
    <row r="163" spans="2:5">
      <c r="E163" t="s">
        <v>228</v>
      </c>
    </row>
  </sheetData>
  <mergeCells count="21">
    <mergeCell ref="I52:K55"/>
    <mergeCell ref="I34:I35"/>
    <mergeCell ref="F20:F21"/>
    <mergeCell ref="A52:E56"/>
    <mergeCell ref="A65:B65"/>
    <mergeCell ref="A66:B66"/>
    <mergeCell ref="C65:D65"/>
    <mergeCell ref="C66:D66"/>
    <mergeCell ref="C67:D68"/>
    <mergeCell ref="E77:F77"/>
    <mergeCell ref="A109:A110"/>
    <mergeCell ref="A99:A102"/>
    <mergeCell ref="E78:F78"/>
    <mergeCell ref="A72:B72"/>
    <mergeCell ref="C71:D71"/>
    <mergeCell ref="C72:D72"/>
    <mergeCell ref="A78:B78"/>
    <mergeCell ref="A77:B77"/>
    <mergeCell ref="C77:D77"/>
    <mergeCell ref="C78:D78"/>
    <mergeCell ref="A71:B71"/>
  </mergeCells>
  <phoneticPr fontId="37" type="noConversion"/>
  <hyperlinks>
    <hyperlink ref="V28" r:id="rId1" xr:uid="{00000000-0004-0000-0100-000000000000}"/>
    <hyperlink ref="B40" r:id="rId2" xr:uid="{00000000-0004-0000-0100-000001000000}"/>
    <hyperlink ref="B51" r:id="rId3" xr:uid="{00000000-0004-0000-0100-000002000000}"/>
    <hyperlink ref="C57" r:id="rId4" xr:uid="{00000000-0004-0000-0100-000003000000}"/>
    <hyperlink ref="I51" r:id="rId5" xr:uid="{00000000-0004-0000-0100-000004000000}"/>
    <hyperlink ref="I57" r:id="rId6" xr:uid="{00000000-0004-0000-0100-000005000000}"/>
    <hyperlink ref="B84" r:id="rId7" xr:uid="{C85473FF-E1D3-4C7C-87A3-1CC122174B10}"/>
    <hyperlink ref="E109" r:id="rId8" xr:uid="{C17B2B13-995A-448C-8348-1BAA30E7DFE8}"/>
    <hyperlink ref="E138" r:id="rId9" xr:uid="{B67ECF86-98DE-4C81-9B60-A636A63695B7}"/>
  </hyperlinks>
  <pageMargins left="0.7" right="0.7" top="0.75" bottom="0.75" header="0.3" footer="0.3"/>
  <drawing r:id="rId10"/>
  <legacy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
  <sheetViews>
    <sheetView workbookViewId="0">
      <selection activeCell="B8" sqref="B8"/>
    </sheetView>
  </sheetViews>
  <sheetFormatPr defaultRowHeight="14.4"/>
  <cols>
    <col min="1" max="1" width="20.44140625" bestFit="1" customWidth="1"/>
    <col min="2" max="2" width="27.109375" style="60" bestFit="1" customWidth="1"/>
    <col min="3" max="3" width="21.5546875" style="60" bestFit="1" customWidth="1"/>
    <col min="4" max="4" width="18.33203125" bestFit="1" customWidth="1"/>
    <col min="5" max="5" width="16.109375" style="60" bestFit="1" customWidth="1"/>
    <col min="6" max="6" width="23.77734375" style="60" bestFit="1" customWidth="1"/>
    <col min="7" max="7" width="12.77734375" bestFit="1" customWidth="1"/>
    <col min="8" max="8" width="18.33203125" style="60" bestFit="1" customWidth="1"/>
    <col min="10" max="10" width="10.44140625" bestFit="1" customWidth="1"/>
    <col min="12" max="12" width="12.77734375" bestFit="1" customWidth="1"/>
  </cols>
  <sheetData>
    <row r="1" spans="1:10">
      <c r="A1" t="s">
        <v>34</v>
      </c>
    </row>
    <row r="2" spans="1:10">
      <c r="A2" t="s">
        <v>30</v>
      </c>
      <c r="B2" s="60" t="s">
        <v>19</v>
      </c>
      <c r="C2" s="60" t="s">
        <v>20</v>
      </c>
      <c r="D2" t="s">
        <v>21</v>
      </c>
      <c r="E2" s="60" t="s">
        <v>22</v>
      </c>
      <c r="F2" s="60" t="s">
        <v>23</v>
      </c>
      <c r="G2" t="s">
        <v>31</v>
      </c>
      <c r="H2" s="60" t="s">
        <v>32</v>
      </c>
    </row>
    <row r="3" spans="1:10">
      <c r="A3" t="s">
        <v>24</v>
      </c>
      <c r="B3" s="68">
        <f>'2020 China National Data'!C148</f>
        <v>2828508</v>
      </c>
      <c r="C3" s="62">
        <f>'2020 China National Data'!C158</f>
        <v>2739356</v>
      </c>
      <c r="D3" s="2">
        <f>227300000-table!B3-table!C3-table!F3-table!H3-E3</f>
        <v>219357580</v>
      </c>
      <c r="E3" s="68">
        <f>'2020 China National Data'!C139</f>
        <v>1500000</v>
      </c>
      <c r="F3" s="68">
        <f>'2020 China National Data'!C149</f>
        <v>871332</v>
      </c>
      <c r="G3" s="42">
        <v>0</v>
      </c>
      <c r="H3" s="68">
        <f>'2020 China National Data'!C111</f>
        <v>3224</v>
      </c>
    </row>
    <row r="4" spans="1:10">
      <c r="A4" t="s">
        <v>25</v>
      </c>
      <c r="B4" s="68">
        <f>'2020 China National Data'!C109</f>
        <v>377460</v>
      </c>
      <c r="C4" s="60">
        <f>'2020 China National Data'!C159</f>
        <v>343577.99999999994</v>
      </c>
      <c r="D4" s="14">
        <f>2253000-table!B4-table!C4-table!F4-E4</f>
        <v>243422</v>
      </c>
      <c r="E4" s="68">
        <f>'2020 China National Data'!C140</f>
        <v>1200000</v>
      </c>
      <c r="F4" s="68">
        <f>'2020 China National Data'!C110</f>
        <v>88540</v>
      </c>
      <c r="G4" s="42">
        <v>0</v>
      </c>
      <c r="H4" s="68">
        <v>0</v>
      </c>
    </row>
    <row r="5" spans="1:10">
      <c r="A5" t="s">
        <v>26</v>
      </c>
      <c r="B5" s="60">
        <v>0</v>
      </c>
      <c r="C5" s="60">
        <v>0</v>
      </c>
      <c r="D5">
        <v>0</v>
      </c>
      <c r="E5" s="68">
        <f>'2020 China National Data'!A62</f>
        <v>3645</v>
      </c>
      <c r="F5" s="60">
        <v>0</v>
      </c>
      <c r="G5">
        <v>0</v>
      </c>
      <c r="H5" s="60">
        <v>0</v>
      </c>
    </row>
    <row r="6" spans="1:10">
      <c r="A6" t="s">
        <v>27</v>
      </c>
      <c r="B6" s="69">
        <f>'2020 China National Data'!D81</f>
        <v>14000</v>
      </c>
      <c r="C6" s="60">
        <v>0</v>
      </c>
      <c r="D6">
        <v>0</v>
      </c>
      <c r="E6" s="69">
        <f>'2020 China National Data'!C81</f>
        <v>615.38461538461536</v>
      </c>
      <c r="F6" s="60">
        <v>0</v>
      </c>
      <c r="G6">
        <v>0</v>
      </c>
      <c r="H6" s="60">
        <v>0</v>
      </c>
    </row>
    <row r="7" spans="1:10">
      <c r="A7" t="s">
        <v>28</v>
      </c>
      <c r="B7" s="68">
        <f>'2020 China National Data'!B75</f>
        <v>250</v>
      </c>
      <c r="C7" s="68">
        <f>INT('2020 China National Data'!A74)</f>
        <v>1</v>
      </c>
      <c r="D7">
        <v>0</v>
      </c>
      <c r="E7" s="68">
        <f>'2020 China National Data'!B74</f>
        <v>5551</v>
      </c>
      <c r="F7" s="60">
        <v>0</v>
      </c>
      <c r="G7">
        <v>0</v>
      </c>
      <c r="H7" s="60">
        <v>0</v>
      </c>
    </row>
    <row r="8" spans="1:10">
      <c r="A8" t="s">
        <v>29</v>
      </c>
      <c r="B8" s="60">
        <v>0</v>
      </c>
      <c r="C8" s="60">
        <v>0</v>
      </c>
      <c r="D8" s="42">
        <f>'2020 China National Data'!F18</f>
        <v>68890000</v>
      </c>
      <c r="E8" s="60">
        <v>0</v>
      </c>
      <c r="F8" s="60">
        <v>0</v>
      </c>
      <c r="G8">
        <v>0</v>
      </c>
      <c r="H8" s="60">
        <v>0</v>
      </c>
    </row>
    <row r="10" spans="1:10">
      <c r="J10">
        <f>SUM(B13:I14)+SUM(B3:I4)</f>
        <v>259979400</v>
      </c>
    </row>
    <row r="11" spans="1:10">
      <c r="A11" t="s">
        <v>33</v>
      </c>
    </row>
    <row r="12" spans="1:10">
      <c r="A12" t="s">
        <v>30</v>
      </c>
      <c r="B12" s="60" t="s">
        <v>19</v>
      </c>
      <c r="C12" s="60" t="s">
        <v>20</v>
      </c>
      <c r="D12" t="s">
        <v>21</v>
      </c>
      <c r="E12" s="60" t="s">
        <v>22</v>
      </c>
      <c r="F12" s="60" t="s">
        <v>23</v>
      </c>
      <c r="G12" t="s">
        <v>31</v>
      </c>
      <c r="H12" s="60" t="s">
        <v>32</v>
      </c>
    </row>
    <row r="13" spans="1:10">
      <c r="A13" t="s">
        <v>24</v>
      </c>
      <c r="B13" s="68">
        <f>'2020 China National Data'!C152</f>
        <v>361128.00000000006</v>
      </c>
      <c r="C13" s="62">
        <f>'2020 China National Data'!C160</f>
        <v>1122752</v>
      </c>
      <c r="D13" s="2">
        <f>20958100-B13-C13-E13-H13+1159927</f>
        <v>10993754.637362637</v>
      </c>
      <c r="E13" s="69">
        <f>'2020 China National Data'!C142</f>
        <v>9636264.3626373634</v>
      </c>
      <c r="F13" s="68">
        <f>'2020 China National Data'!S26</f>
        <v>0</v>
      </c>
      <c r="G13">
        <v>0</v>
      </c>
      <c r="H13" s="68">
        <f>'2020 China National Data'!C112</f>
        <v>4128</v>
      </c>
      <c r="J13">
        <f>SUM(B13:H13)</f>
        <v>22118027</v>
      </c>
    </row>
    <row r="14" spans="1:10">
      <c r="A14" t="s">
        <v>25</v>
      </c>
      <c r="B14" s="60">
        <f>'2020 China National Data'!S21</f>
        <v>0</v>
      </c>
      <c r="C14" s="60">
        <f>'2020 China National Data'!C132</f>
        <v>582000</v>
      </c>
      <c r="D14" s="14">
        <v>0</v>
      </c>
      <c r="E14" s="70">
        <f>'2020 China National Data'!C141</f>
        <v>7726373</v>
      </c>
      <c r="F14" s="60">
        <v>0</v>
      </c>
      <c r="G14">
        <v>0</v>
      </c>
      <c r="H14" s="60">
        <v>0</v>
      </c>
      <c r="J14">
        <f>'2020 China National Data'!E10+'2020 China National Data'!D13+'2020 China National Data'!A13</f>
        <v>26420000</v>
      </c>
    </row>
    <row r="15" spans="1:10">
      <c r="A15" t="s">
        <v>26</v>
      </c>
      <c r="B15" s="60">
        <v>0</v>
      </c>
      <c r="C15" s="60">
        <v>0</v>
      </c>
      <c r="D15">
        <v>0</v>
      </c>
      <c r="E15" s="68">
        <f>'2020 China National Data'!B62</f>
        <v>173</v>
      </c>
      <c r="F15" s="60">
        <v>0</v>
      </c>
      <c r="G15">
        <v>0</v>
      </c>
      <c r="H15" s="60">
        <v>0</v>
      </c>
    </row>
    <row r="16" spans="1:10">
      <c r="A16" t="s">
        <v>27</v>
      </c>
      <c r="B16" s="60">
        <v>0</v>
      </c>
      <c r="C16" s="60">
        <v>0</v>
      </c>
      <c r="D16">
        <v>0</v>
      </c>
      <c r="E16" s="69">
        <f>'2020 China National Data'!E81</f>
        <v>7384.6153846153848</v>
      </c>
      <c r="F16" s="60">
        <v>0</v>
      </c>
      <c r="G16">
        <v>0</v>
      </c>
      <c r="H16" s="60">
        <v>0</v>
      </c>
    </row>
    <row r="17" spans="1:8">
      <c r="A17" t="s">
        <v>28</v>
      </c>
      <c r="B17" s="60">
        <v>0</v>
      </c>
      <c r="C17" s="68">
        <f>'2020 China National Data'!C74</f>
        <v>399</v>
      </c>
      <c r="D17">
        <v>0</v>
      </c>
      <c r="E17" s="68">
        <f>'2020 China National Data'!D74</f>
        <v>120599</v>
      </c>
      <c r="F17" s="60">
        <v>0</v>
      </c>
      <c r="G17">
        <v>0</v>
      </c>
      <c r="H17" s="60">
        <v>0</v>
      </c>
    </row>
    <row r="18" spans="1:8">
      <c r="A18" t="s">
        <v>29</v>
      </c>
      <c r="B18" s="60">
        <v>0</v>
      </c>
      <c r="C18" s="60">
        <v>0</v>
      </c>
      <c r="D18">
        <v>0</v>
      </c>
      <c r="E18" s="60">
        <v>0</v>
      </c>
      <c r="F18" s="60">
        <v>0</v>
      </c>
      <c r="G18">
        <v>0</v>
      </c>
      <c r="H18" s="60">
        <v>0</v>
      </c>
    </row>
  </sheetData>
  <phoneticPr fontId="37" type="noConversion"/>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H7"/>
  <sheetViews>
    <sheetView workbookViewId="0">
      <selection activeCell="B2" sqref="B2:H7"/>
    </sheetView>
  </sheetViews>
  <sheetFormatPr defaultColWidth="8.88671875" defaultRowHeight="14.4"/>
  <cols>
    <col min="1" max="1" width="16.88671875" style="2" customWidth="1"/>
    <col min="2" max="2" width="34.109375" style="2" bestFit="1" customWidth="1"/>
    <col min="3" max="3" width="27.21875" style="2" bestFit="1" customWidth="1"/>
    <col min="4" max="4" width="23" style="2" bestFit="1" customWidth="1"/>
    <col min="5" max="5" width="20.21875" style="2" customWidth="1"/>
    <col min="6" max="6" width="30" style="2" bestFit="1" customWidth="1"/>
    <col min="7" max="7" width="16.109375" style="2" bestFit="1" customWidth="1"/>
    <col min="8" max="8" width="23" style="2" bestFit="1" customWidth="1"/>
    <col min="9" max="9" width="15" style="2" bestFit="1" customWidth="1"/>
    <col min="10" max="16384" width="8.88671875" style="2"/>
  </cols>
  <sheetData>
    <row r="1" spans="1:8" s="4" customFormat="1" ht="28.8">
      <c r="A1" s="1" t="s">
        <v>30</v>
      </c>
      <c r="B1" s="13" t="s">
        <v>19</v>
      </c>
      <c r="C1" s="13" t="s">
        <v>20</v>
      </c>
      <c r="D1" s="13" t="s">
        <v>21</v>
      </c>
      <c r="E1" s="13" t="s">
        <v>22</v>
      </c>
      <c r="F1" s="13" t="s">
        <v>23</v>
      </c>
      <c r="G1" s="13" t="s">
        <v>31</v>
      </c>
      <c r="H1" s="13" t="s">
        <v>32</v>
      </c>
    </row>
    <row r="2" spans="1:8" s="65" customFormat="1">
      <c r="A2" s="64" t="s">
        <v>24</v>
      </c>
      <c r="B2" s="62">
        <f>table!B3</f>
        <v>2828508</v>
      </c>
      <c r="C2" s="62">
        <f>table!C3</f>
        <v>2739356</v>
      </c>
      <c r="D2" s="62">
        <f>table!D3</f>
        <v>219357580</v>
      </c>
      <c r="E2" s="62">
        <f>table!E3</f>
        <v>1500000</v>
      </c>
      <c r="F2" s="62">
        <f>table!F3</f>
        <v>871332</v>
      </c>
      <c r="G2" s="62">
        <f>table!G3</f>
        <v>0</v>
      </c>
      <c r="H2" s="62">
        <f>table!H3</f>
        <v>3224</v>
      </c>
    </row>
    <row r="3" spans="1:8" s="65" customFormat="1">
      <c r="A3" s="64" t="s">
        <v>25</v>
      </c>
      <c r="B3" s="62">
        <f>table!B4</f>
        <v>377460</v>
      </c>
      <c r="C3" s="62">
        <f>table!C4</f>
        <v>343577.99999999994</v>
      </c>
      <c r="D3" s="62">
        <f>table!D4</f>
        <v>243422</v>
      </c>
      <c r="E3" s="62">
        <f>table!E4</f>
        <v>1200000</v>
      </c>
      <c r="F3" s="62">
        <f>table!F4</f>
        <v>88540</v>
      </c>
      <c r="G3" s="62">
        <f>table!G4</f>
        <v>0</v>
      </c>
      <c r="H3" s="62">
        <f>table!H4</f>
        <v>0</v>
      </c>
    </row>
    <row r="4" spans="1:8" s="65" customFormat="1">
      <c r="A4" s="64" t="s">
        <v>26</v>
      </c>
      <c r="B4" s="62">
        <f>table!B5</f>
        <v>0</v>
      </c>
      <c r="C4" s="62">
        <f>table!C5</f>
        <v>0</v>
      </c>
      <c r="D4" s="62">
        <f>table!D5</f>
        <v>0</v>
      </c>
      <c r="E4" s="62">
        <f>table!E5</f>
        <v>3645</v>
      </c>
      <c r="F4" s="62">
        <f>table!F5</f>
        <v>0</v>
      </c>
      <c r="G4" s="62">
        <f>table!G5</f>
        <v>0</v>
      </c>
      <c r="H4" s="62">
        <f>table!H5</f>
        <v>0</v>
      </c>
    </row>
    <row r="5" spans="1:8" s="65" customFormat="1">
      <c r="A5" s="64" t="s">
        <v>27</v>
      </c>
      <c r="B5" s="62">
        <f>table!B6</f>
        <v>14000</v>
      </c>
      <c r="C5" s="62">
        <f>table!C6</f>
        <v>0</v>
      </c>
      <c r="D5" s="62">
        <f>table!D6</f>
        <v>0</v>
      </c>
      <c r="E5" s="62">
        <f>table!E6</f>
        <v>615.38461538461536</v>
      </c>
      <c r="F5" s="62">
        <f>table!F6</f>
        <v>0</v>
      </c>
      <c r="G5" s="62">
        <f>table!G6</f>
        <v>0</v>
      </c>
      <c r="H5" s="62">
        <f>table!H6</f>
        <v>0</v>
      </c>
    </row>
    <row r="6" spans="1:8" s="65" customFormat="1">
      <c r="A6" s="64" t="s">
        <v>28</v>
      </c>
      <c r="B6" s="62">
        <f>table!B7</f>
        <v>250</v>
      </c>
      <c r="C6" s="62">
        <f>table!C7</f>
        <v>1</v>
      </c>
      <c r="D6" s="62">
        <f>table!D7</f>
        <v>0</v>
      </c>
      <c r="E6" s="62">
        <f>table!E7</f>
        <v>5551</v>
      </c>
      <c r="F6" s="62">
        <f>table!F7</f>
        <v>0</v>
      </c>
      <c r="G6" s="62">
        <f>table!G7</f>
        <v>0</v>
      </c>
      <c r="H6" s="62">
        <f>table!H7</f>
        <v>0</v>
      </c>
    </row>
    <row r="7" spans="1:8" s="65" customFormat="1">
      <c r="A7" s="64" t="s">
        <v>29</v>
      </c>
      <c r="B7" s="62">
        <f>table!B8</f>
        <v>0</v>
      </c>
      <c r="C7" s="62">
        <f>table!C8</f>
        <v>0</v>
      </c>
      <c r="D7" s="62">
        <f>table!D8</f>
        <v>68890000</v>
      </c>
      <c r="E7" s="62">
        <f>table!E8</f>
        <v>0</v>
      </c>
      <c r="F7" s="62">
        <f>table!F8</f>
        <v>0</v>
      </c>
      <c r="G7" s="62">
        <f>table!G8</f>
        <v>0</v>
      </c>
      <c r="H7" s="62">
        <f>table!H8</f>
        <v>0</v>
      </c>
    </row>
  </sheetData>
  <phoneticPr fontId="37" type="noConversion"/>
  <pageMargins left="0.7" right="0.7" top="0.75" bottom="0.75" header="0.3" footer="0.3"/>
  <pageSetup orientation="portrait" horizontalDpi="4294967292" verticalDpi="4294967292"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H7"/>
  <sheetViews>
    <sheetView tabSelected="1" workbookViewId="0">
      <selection activeCell="D14" sqref="D14"/>
    </sheetView>
  </sheetViews>
  <sheetFormatPr defaultColWidth="8.88671875" defaultRowHeight="14.4"/>
  <cols>
    <col min="1" max="1" width="16.88671875" style="2" customWidth="1"/>
    <col min="2" max="2" width="34.109375" style="2" bestFit="1" customWidth="1"/>
    <col min="3" max="3" width="27.21875" style="2" bestFit="1" customWidth="1"/>
    <col min="4" max="4" width="23" style="2" bestFit="1" customWidth="1"/>
    <col min="5" max="5" width="20.21875" style="2" bestFit="1" customWidth="1"/>
    <col min="6" max="6" width="30" style="2" bestFit="1" customWidth="1"/>
    <col min="7" max="7" width="16.109375" style="2" bestFit="1" customWidth="1"/>
    <col min="8" max="8" width="23" style="2" bestFit="1" customWidth="1"/>
    <col min="9" max="9" width="13.88671875" style="2" bestFit="1" customWidth="1"/>
    <col min="10" max="16384" width="8.88671875" style="2"/>
  </cols>
  <sheetData>
    <row r="1" spans="1:8" ht="28.8">
      <c r="A1" s="1" t="s">
        <v>30</v>
      </c>
      <c r="B1" s="13" t="s">
        <v>19</v>
      </c>
      <c r="C1" s="13" t="s">
        <v>20</v>
      </c>
      <c r="D1" s="13" t="s">
        <v>21</v>
      </c>
      <c r="E1" s="13" t="s">
        <v>22</v>
      </c>
      <c r="F1" s="13" t="s">
        <v>23</v>
      </c>
      <c r="G1" s="13" t="s">
        <v>31</v>
      </c>
      <c r="H1" s="13" t="s">
        <v>32</v>
      </c>
    </row>
    <row r="2" spans="1:8" s="65" customFormat="1">
      <c r="A2" s="64" t="s">
        <v>24</v>
      </c>
      <c r="B2" s="62">
        <f>table!B13</f>
        <v>361128.00000000006</v>
      </c>
      <c r="C2" s="62">
        <f>table!C13</f>
        <v>1122752</v>
      </c>
      <c r="D2" s="62">
        <f>table!D13</f>
        <v>10993754.637362637</v>
      </c>
      <c r="E2" s="62">
        <f>table!E13</f>
        <v>9636264.3626373634</v>
      </c>
      <c r="F2" s="62">
        <f>table!F13</f>
        <v>0</v>
      </c>
      <c r="G2" s="62">
        <f>table!G13</f>
        <v>0</v>
      </c>
      <c r="H2" s="62">
        <f>table!H13</f>
        <v>4128</v>
      </c>
    </row>
    <row r="3" spans="1:8" s="65" customFormat="1">
      <c r="A3" s="64" t="s">
        <v>25</v>
      </c>
      <c r="B3" s="62">
        <f>table!B14</f>
        <v>0</v>
      </c>
      <c r="C3" s="62">
        <f>table!C14</f>
        <v>582000</v>
      </c>
      <c r="D3" s="62">
        <v>0</v>
      </c>
      <c r="E3" s="62">
        <f>table!E14</f>
        <v>7726373</v>
      </c>
      <c r="F3" s="62">
        <f>table!F14</f>
        <v>0</v>
      </c>
      <c r="G3" s="62">
        <f>table!G14</f>
        <v>0</v>
      </c>
      <c r="H3" s="62">
        <f>table!H14</f>
        <v>0</v>
      </c>
    </row>
    <row r="4" spans="1:8" s="65" customFormat="1">
      <c r="A4" s="64" t="s">
        <v>26</v>
      </c>
      <c r="B4" s="62">
        <f>table!B15</f>
        <v>0</v>
      </c>
      <c r="C4" s="62">
        <f>table!C15</f>
        <v>0</v>
      </c>
      <c r="D4" s="62">
        <f>table!D15</f>
        <v>0</v>
      </c>
      <c r="E4" s="62">
        <f>table!E15</f>
        <v>173</v>
      </c>
      <c r="F4" s="62">
        <f>table!F15</f>
        <v>0</v>
      </c>
      <c r="G4" s="62">
        <f>table!G15</f>
        <v>0</v>
      </c>
      <c r="H4" s="62">
        <f>table!H15</f>
        <v>0</v>
      </c>
    </row>
    <row r="5" spans="1:8" s="65" customFormat="1">
      <c r="A5" s="64" t="s">
        <v>27</v>
      </c>
      <c r="B5" s="62">
        <f>table!B16</f>
        <v>0</v>
      </c>
      <c r="C5" s="62">
        <f>table!C16</f>
        <v>0</v>
      </c>
      <c r="D5" s="62">
        <f>table!D16</f>
        <v>0</v>
      </c>
      <c r="E5" s="62">
        <f>table!E16</f>
        <v>7384.6153846153848</v>
      </c>
      <c r="F5" s="62">
        <f>table!F16</f>
        <v>0</v>
      </c>
      <c r="G5" s="62">
        <f>table!G16</f>
        <v>0</v>
      </c>
      <c r="H5" s="62">
        <f>table!H16</f>
        <v>0</v>
      </c>
    </row>
    <row r="6" spans="1:8" s="65" customFormat="1">
      <c r="A6" s="64" t="s">
        <v>28</v>
      </c>
      <c r="B6" s="62">
        <f>table!B17</f>
        <v>0</v>
      </c>
      <c r="C6" s="62">
        <f>table!C17</f>
        <v>399</v>
      </c>
      <c r="D6" s="62">
        <f>table!D17</f>
        <v>0</v>
      </c>
      <c r="E6" s="62">
        <f>table!E17</f>
        <v>120599</v>
      </c>
      <c r="F6" s="62">
        <f>table!F17</f>
        <v>0</v>
      </c>
      <c r="G6" s="62">
        <f>table!G17</f>
        <v>0</v>
      </c>
      <c r="H6" s="62">
        <f>table!H17</f>
        <v>0</v>
      </c>
    </row>
    <row r="7" spans="1:8" s="65" customFormat="1">
      <c r="A7" s="64" t="s">
        <v>29</v>
      </c>
      <c r="B7" s="62">
        <f>table!B18</f>
        <v>0</v>
      </c>
      <c r="C7" s="62">
        <f>table!C18</f>
        <v>0</v>
      </c>
      <c r="D7" s="62">
        <f>table!D18</f>
        <v>0</v>
      </c>
      <c r="E7" s="62">
        <f>table!E18</f>
        <v>0</v>
      </c>
      <c r="F7" s="62">
        <f>table!F18</f>
        <v>0</v>
      </c>
      <c r="G7" s="62">
        <f>table!G18</f>
        <v>0</v>
      </c>
      <c r="H7" s="62">
        <f>table!H18</f>
        <v>0</v>
      </c>
    </row>
  </sheetData>
  <phoneticPr fontId="37" type="noConversion"/>
  <pageMargins left="0.7" right="0.7" top="0.75" bottom="0.75" header="0.3" footer="0.3"/>
  <pageSetup paperSize="9" orientation="portrait" r:id="rId1"/>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BD1DE36A36CC7845A4126EF01914151E" ma:contentTypeVersion="14" ma:contentTypeDescription="新建文档。" ma:contentTypeScope="" ma:versionID="310835f059701aa681930bc3a1715053">
  <xsd:schema xmlns:xsd="http://www.w3.org/2001/XMLSchema" xmlns:xs="http://www.w3.org/2001/XMLSchema" xmlns:p="http://schemas.microsoft.com/office/2006/metadata/properties" xmlns:ns1="http://schemas.microsoft.com/sharepoint/v3" xmlns:ns2="2e2398b5-f60e-4ca0-a4ba-6048b5e4e90c" xmlns:ns3="a06c533b-533a-4f75-b7db-110f073002e4" targetNamespace="http://schemas.microsoft.com/office/2006/metadata/properties" ma:root="true" ma:fieldsID="7ba933288dd05553e9ce0f804d4dc608" ns1:_="" ns2:_="" ns3:_="">
    <xsd:import namespace="http://schemas.microsoft.com/sharepoint/v3"/>
    <xsd:import namespace="2e2398b5-f60e-4ca0-a4ba-6048b5e4e90c"/>
    <xsd:import namespace="a06c533b-533a-4f75-b7db-110f073002e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1:_ip_UnifiedCompliancePolicyProperties" minOccurs="0"/>
                <xsd:element ref="ns1:_ip_UnifiedCompliancePolicyUIAction" minOccurs="0"/>
                <xsd:element ref="ns2:MediaServiceEventHashCode" minOccurs="0"/>
                <xsd:element ref="ns2:MediaServiceGenerationTim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统一合规性策略属性" ma:hidden="true" ma:internalName="_ip_UnifiedCompliancePolicyProperties">
      <xsd:simpleType>
        <xsd:restriction base="dms:Note"/>
      </xsd:simpleType>
    </xsd:element>
    <xsd:element name="_ip_UnifiedCompliancePolicyUIAction" ma:index="16" nillable="true" ma:displayName="统一合规性策略 UI 操作"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2398b5-f60e-4ca0-a4ba-6048b5e4e90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6c533b-533a-4f75-b7db-110f073002e4" elementFormDefault="qualified">
    <xsd:import namespace="http://schemas.microsoft.com/office/2006/documentManagement/types"/>
    <xsd:import namespace="http://schemas.microsoft.com/office/infopath/2007/PartnerControls"/>
    <xsd:element name="SharedWithUsers" ma:index="10" nillable="true" ma:displayName="共享对象:"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享对象详细信息"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6E742B-F707-4292-AB4B-BBCC3EF7A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e2398b5-f60e-4ca0-a4ba-6048b5e4e90c"/>
    <ds:schemaRef ds:uri="a06c533b-533a-4f75-b7db-110f07300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182DF7-646D-4589-A629-CF484F739AB6}">
  <ds:schemaRefs>
    <ds:schemaRef ds:uri="http://purl.org/dc/elements/1.1/"/>
    <ds:schemaRef ds:uri="a06c533b-533a-4f75-b7db-110f073002e4"/>
    <ds:schemaRef ds:uri="http://www.w3.org/XML/1998/namespace"/>
    <ds:schemaRef ds:uri="http://purl.org/dc/terms/"/>
    <ds:schemaRef ds:uri="http://schemas.microsoft.com/office/2006/documentManagement/types"/>
    <ds:schemaRef ds:uri="http://schemas.microsoft.com/office/2006/metadata/properties"/>
    <ds:schemaRef ds:uri="http://schemas.microsoft.com/office/infopath/2007/PartnerControls"/>
    <ds:schemaRef ds:uri="2e2398b5-f60e-4ca0-a4ba-6048b5e4e90c"/>
    <ds:schemaRef ds:uri="http://schemas.openxmlformats.org/package/2006/metadata/core-properties"/>
    <ds:schemaRef ds:uri="http://schemas.microsoft.com/sharepoint/v3"/>
    <ds:schemaRef ds:uri="http://purl.org/dc/dcmitype/"/>
  </ds:schemaRefs>
</ds:datastoreItem>
</file>

<file path=customXml/itemProps3.xml><?xml version="1.0" encoding="utf-8"?>
<ds:datastoreItem xmlns:ds="http://schemas.openxmlformats.org/officeDocument/2006/customXml" ds:itemID="{A426CBD0-2BC4-4D82-AA23-473F471AA3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About</vt:lpstr>
      <vt:lpstr>2020 China National Data</vt:lpstr>
      <vt:lpstr>table</vt:lpstr>
      <vt:lpstr>SYVbT-passenger</vt:lpstr>
      <vt:lpstr>SYVbT-freight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lenovo</cp:lastModifiedBy>
  <cp:revision/>
  <dcterms:created xsi:type="dcterms:W3CDTF">2017-06-22T21:46:10Z</dcterms:created>
  <dcterms:modified xsi:type="dcterms:W3CDTF">2023-02-17T07:47:21Z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0x010100BD1DE36A36CC7845A4126EF01914151E</vt:lpwstr>
  </property>
</Properties>
</file>