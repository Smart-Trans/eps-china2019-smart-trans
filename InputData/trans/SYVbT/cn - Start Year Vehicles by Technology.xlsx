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png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C:\Users\zhlxl\Desktop\EPS\eps-china2019-smart-trans\InputData\trans\SYVbT\"/>
    </mc:Choice>
  </mc:AlternateContent>
  <xr:revisionPtr revIDLastSave="0" documentId="13_ncr:1_{51976DB2-39F5-44EA-B900-87A32BEBD2F5}" xr6:coauthVersionLast="47" xr6:coauthVersionMax="47" xr10:uidLastSave="{00000000-0000-0000-0000-000000000000}"/>
  <bookViews>
    <workbookView xWindow="3355" yWindow="829" windowWidth="21709" windowHeight="13313" activeTab="1" xr2:uid="{00000000-000D-0000-FFFF-FFFF00000000}"/>
  </bookViews>
  <sheets>
    <sheet name="About" sheetId="1" r:id="rId1"/>
    <sheet name="销量数据库上险数据" sheetId="18" r:id="rId2"/>
    <sheet name="table" sheetId="16" r:id="rId3"/>
    <sheet name="SYVbT-passenger" sheetId="2" r:id="rId4"/>
    <sheet name="SYVbT-freight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D28" i="18" l="1"/>
  <c r="B26" i="18"/>
  <c r="D21" i="18"/>
  <c r="C21" i="18"/>
  <c r="F21" i="18"/>
  <c r="E21" i="18"/>
  <c r="E4" i="2"/>
  <c r="D3" i="4"/>
  <c r="C17" i="16"/>
  <c r="B17" i="16"/>
  <c r="C7" i="16"/>
  <c r="B7" i="16"/>
  <c r="D30" i="18"/>
  <c r="F30" i="18"/>
  <c r="E17" i="16" s="1"/>
  <c r="A26" i="18"/>
  <c r="A18" i="18"/>
  <c r="E20" i="18"/>
  <c r="C20" i="18"/>
  <c r="G14" i="16"/>
  <c r="G13" i="16"/>
  <c r="G4" i="16"/>
  <c r="G3" i="16"/>
  <c r="H14" i="16"/>
  <c r="H13" i="16"/>
  <c r="H4" i="16"/>
  <c r="H3" i="16"/>
  <c r="F14" i="16"/>
  <c r="F13" i="16"/>
  <c r="F4" i="16"/>
  <c r="F3" i="16"/>
  <c r="E14" i="16"/>
  <c r="E13" i="16"/>
  <c r="E4" i="16"/>
  <c r="E3" i="16"/>
  <c r="D14" i="16"/>
  <c r="D13" i="16"/>
  <c r="D4" i="16"/>
  <c r="D3" i="16"/>
  <c r="C14" i="16"/>
  <c r="C13" i="16"/>
  <c r="C4" i="16"/>
  <c r="C3" i="16"/>
  <c r="B14" i="16"/>
  <c r="B13" i="16"/>
  <c r="B4" i="16"/>
  <c r="B3" i="16"/>
  <c r="C30" i="18" l="1"/>
  <c r="E7" i="16" s="1"/>
  <c r="K29" i="18"/>
  <c r="D22" i="18"/>
  <c r="F22" i="18"/>
  <c r="F20" i="18"/>
  <c r="B16" i="16" s="1"/>
  <c r="E16" i="16"/>
  <c r="D20" i="18"/>
  <c r="B6" i="16" s="1"/>
  <c r="B5" i="2" s="1"/>
  <c r="E6" i="16"/>
  <c r="D2" i="4" l="1"/>
  <c r="E4" i="4" l="1"/>
  <c r="E6" i="4" l="1"/>
  <c r="C6" i="4"/>
  <c r="H2" i="4"/>
  <c r="G3" i="2"/>
  <c r="H3" i="2"/>
  <c r="B4" i="2"/>
  <c r="C4" i="2"/>
  <c r="D4" i="2"/>
  <c r="F4" i="2"/>
  <c r="G4" i="2"/>
  <c r="H4" i="2"/>
  <c r="C5" i="2"/>
  <c r="D5" i="2"/>
  <c r="F5" i="2"/>
  <c r="G5" i="2"/>
  <c r="H5" i="2"/>
  <c r="B6" i="2"/>
  <c r="D6" i="2"/>
  <c r="F6" i="2"/>
  <c r="G6" i="2"/>
  <c r="H6" i="2"/>
  <c r="B7" i="2"/>
  <c r="C7" i="2"/>
  <c r="E7" i="2"/>
  <c r="F7" i="2"/>
  <c r="G7" i="2"/>
  <c r="H7" i="2"/>
  <c r="G2" i="2"/>
  <c r="F3" i="4"/>
  <c r="G3" i="4"/>
  <c r="H3" i="4"/>
  <c r="B4" i="4"/>
  <c r="C4" i="4"/>
  <c r="D4" i="4"/>
  <c r="F4" i="4"/>
  <c r="G4" i="4"/>
  <c r="H4" i="4"/>
  <c r="B5" i="4"/>
  <c r="C5" i="4"/>
  <c r="D5" i="4"/>
  <c r="F5" i="4"/>
  <c r="G5" i="4"/>
  <c r="H5" i="4"/>
  <c r="B6" i="4"/>
  <c r="D6" i="4"/>
  <c r="F6" i="4"/>
  <c r="G6" i="4"/>
  <c r="H6" i="4"/>
  <c r="B7" i="4"/>
  <c r="C7" i="4"/>
  <c r="D7" i="4"/>
  <c r="E7" i="4"/>
  <c r="F7" i="4"/>
  <c r="G7" i="4"/>
  <c r="H7" i="4"/>
  <c r="F2" i="4"/>
  <c r="G2" i="4"/>
  <c r="D7" i="2"/>
  <c r="E5" i="4"/>
  <c r="H2" i="2" l="1"/>
  <c r="B2" i="2"/>
  <c r="E6" i="2"/>
  <c r="F2" i="2"/>
  <c r="C6" i="2"/>
  <c r="B3" i="4"/>
  <c r="F3" i="2"/>
  <c r="B3" i="2"/>
  <c r="C2" i="2"/>
  <c r="C3" i="2"/>
  <c r="C3" i="4" l="1"/>
  <c r="C2" i="4"/>
  <c r="B2" i="4"/>
  <c r="E5" i="2"/>
  <c r="E3" i="2" l="1"/>
  <c r="D3" i="2"/>
  <c r="E3" i="4"/>
  <c r="E2" i="4" l="1"/>
  <c r="E2" i="2"/>
  <c r="D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Windows 用户</author>
  </authors>
  <commentList>
    <comment ref="A17" authorId="0" shapeId="0" xr:uid="{A27794FE-D703-454E-877D-83FDF616B304}">
      <text>
        <r>
          <rPr>
            <b/>
            <sz val="9"/>
            <color indexed="81"/>
            <rFont val="宋体"/>
            <family val="3"/>
            <charset val="134"/>
          </rPr>
          <t>Windows 用户:</t>
        </r>
        <r>
          <rPr>
            <sz val="9"/>
            <color indexed="81"/>
            <rFont val="宋体"/>
            <family val="3"/>
            <charset val="134"/>
          </rPr>
          <t xml:space="preserve">
2018年铁道统计公报http://www.mot.gov.cn/tongjishuju/tielu/201905/P020190530365089148979.pdf</t>
        </r>
      </text>
    </comment>
  </commentList>
</comments>
</file>

<file path=xl/sharedStrings.xml><?xml version="1.0" encoding="utf-8"?>
<sst xmlns="http://schemas.openxmlformats.org/spreadsheetml/2006/main" count="163" uniqueCount="109">
  <si>
    <t>Aircraft</t>
    <phoneticPr fontId="37" type="noConversion"/>
  </si>
  <si>
    <t>Note</t>
    <phoneticPr fontId="37" type="noConversion"/>
  </si>
  <si>
    <t>Start Year is the year prior to the model's first simulated year.</t>
    <phoneticPr fontId="37" type="noConversion"/>
  </si>
  <si>
    <t>Rail</t>
    <phoneticPr fontId="37" type="noConversion"/>
  </si>
  <si>
    <t>*Rail vehicle stock is measured in cars, instead of trains</t>
    <phoneticPr fontId="37" type="noConversion"/>
  </si>
  <si>
    <t>We only consider Aero Transport under Civil Aviation, and do not include General Aircraft.</t>
    <phoneticPr fontId="37" type="noConversion"/>
  </si>
  <si>
    <t>Motorbikes</t>
  </si>
  <si>
    <t>As for motorbikes, it could refer to two-wheel or three wheel motorbikes.</t>
  </si>
  <si>
    <t xml:space="preserve">Two-wheel are basically all for passenger use. </t>
    <phoneticPr fontId="37" type="noConversion"/>
  </si>
  <si>
    <t>While three-wheels can be used either for passenger or for freight, and mostly used in rural area. So we just assume no for freight use.</t>
    <phoneticPr fontId="37" type="noConversion"/>
  </si>
  <si>
    <t>In China, there are emerging electric bicycles, but they are not considered</t>
    <phoneticPr fontId="37" type="noConversion"/>
  </si>
  <si>
    <t>under the category of Motorbikes in China's statistics system.</t>
  </si>
  <si>
    <t>Road Transport</t>
    <phoneticPr fontId="37" type="noConversion"/>
  </si>
  <si>
    <t>HDV in US context includes Medium and Heavy Duty Vehicles in China's context.</t>
  </si>
  <si>
    <t>US HDV</t>
    <phoneticPr fontId="37" type="noConversion"/>
  </si>
  <si>
    <t>Electric passenger HDV is taken equal to electric city buses</t>
    <phoneticPr fontId="37" type="noConversion"/>
  </si>
  <si>
    <t>8501 lbs =</t>
    <phoneticPr fontId="37" type="noConversion"/>
  </si>
  <si>
    <t>about 4000 kg</t>
    <phoneticPr fontId="37" type="noConversion"/>
  </si>
  <si>
    <t>battery electric vehicle</t>
  </si>
  <si>
    <t>natural gas vehicle</t>
  </si>
  <si>
    <t>gasoline vehicle</t>
  </si>
  <si>
    <t>diesel vehicle</t>
  </si>
  <si>
    <t>plugin hybrid vehicle</t>
  </si>
  <si>
    <t>LDVs</t>
  </si>
  <si>
    <t>HDVs</t>
  </si>
  <si>
    <t>aircraft</t>
  </si>
  <si>
    <t>rail</t>
  </si>
  <si>
    <t>ships</t>
  </si>
  <si>
    <t>motorbikes</t>
  </si>
  <si>
    <t>Number of Vehicles</t>
  </si>
  <si>
    <t>LPG vehicle</t>
  </si>
  <si>
    <t>hydrogen vehicle</t>
  </si>
  <si>
    <t>载货</t>
    <phoneticPr fontId="37" type="noConversion"/>
  </si>
  <si>
    <t>载客</t>
    <phoneticPr fontId="37" type="noConversion"/>
  </si>
  <si>
    <t>铁路客车</t>
    <phoneticPr fontId="37" type="noConversion"/>
  </si>
  <si>
    <t>铁路货车</t>
    <phoneticPr fontId="37" type="noConversion"/>
  </si>
  <si>
    <t>http://www.sohu.com/a/288800709_146550</t>
    <phoneticPr fontId="37" type="noConversion"/>
  </si>
  <si>
    <t>铁路机车</t>
    <phoneticPr fontId="37" type="noConversion"/>
  </si>
  <si>
    <t>内燃机</t>
    <phoneticPr fontId="37" type="noConversion"/>
  </si>
  <si>
    <t>电动</t>
    <phoneticPr fontId="37" type="noConversion"/>
  </si>
  <si>
    <t>天然气</t>
    <phoneticPr fontId="37" type="noConversion"/>
  </si>
  <si>
    <t>柴油</t>
    <phoneticPr fontId="37" type="noConversion"/>
  </si>
  <si>
    <t>客运</t>
    <phoneticPr fontId="37" type="noConversion"/>
  </si>
  <si>
    <t>货运</t>
    <phoneticPr fontId="37" type="noConversion"/>
  </si>
  <si>
    <t>Start Year：2018</t>
    <phoneticPr fontId="37" type="noConversion"/>
  </si>
  <si>
    <t>some sources are noted in 2018 China National Data directly</t>
    <phoneticPr fontId="37" type="noConversion"/>
  </si>
  <si>
    <t>These errors lead to a total number of road vehicles a little bit larger than the official amount, 240 million</t>
    <phoneticPr fontId="37" type="noConversion"/>
  </si>
  <si>
    <t xml:space="preserve">Low-speed vehicles are not categorized. The amount of them are small(compare to </t>
    <phoneticPr fontId="37" type="noConversion"/>
  </si>
  <si>
    <t>other vehicles). Besides, their categories are hard to define.</t>
    <phoneticPr fontId="37" type="noConversion"/>
  </si>
  <si>
    <t>http://www.stats.gov.cn/tjsj/ndsj/2019/indexch.htm</t>
    <phoneticPr fontId="37" type="noConversion"/>
  </si>
  <si>
    <t>中国统计年鉴2019 China Statistic Yearbook 2019</t>
    <phoneticPr fontId="37" type="noConversion"/>
  </si>
  <si>
    <t>gasoline, diesel, natural gas</t>
    <phoneticPr fontId="37" type="noConversion"/>
  </si>
  <si>
    <t>aircraft</t>
    <phoneticPr fontId="37" type="noConversion"/>
  </si>
  <si>
    <t>LDV, LDH</t>
    <phoneticPr fontId="37" type="noConversion"/>
  </si>
  <si>
    <t xml:space="preserve">中国移动源环境管理年报2019 China Mobile Source Environmental Management Annual Report 2019 </t>
    <phoneticPr fontId="37" type="noConversion"/>
  </si>
  <si>
    <t>2018年民航行业发展统计公报 Development Statistics Bulletin of civil aviation industry in 2018</t>
    <phoneticPr fontId="37" type="noConversion"/>
  </si>
  <si>
    <t>News</t>
    <phoneticPr fontId="37" type="noConversion"/>
  </si>
  <si>
    <t xml:space="preserve">plugin </t>
    <phoneticPr fontId="37" type="noConversion"/>
  </si>
  <si>
    <t>Source：</t>
    <phoneticPr fontId="37" type="noConversion"/>
  </si>
  <si>
    <t>Other notes and assumptions are indicated in 2018 China National Data</t>
    <phoneticPr fontId="37" type="noConversion"/>
  </si>
  <si>
    <t>We account fuel oil into diesel in terms of ships</t>
    <phoneticPr fontId="37" type="noConversion"/>
  </si>
  <si>
    <t>Ships船舶</t>
    <phoneticPr fontId="37" type="noConversion"/>
  </si>
  <si>
    <t>Rails火车</t>
    <phoneticPr fontId="37" type="noConversion"/>
  </si>
  <si>
    <t>http://www.mee.gov.cn/hjzl/sthjzk/ydyhjgl/201909/P020190905586230826402.pdf</t>
    <phoneticPr fontId="37" type="noConversion"/>
  </si>
  <si>
    <t>http://www.gov.cn/xinwen/2020-07/18/content_5528056.htm</t>
  </si>
  <si>
    <t>2020年摩托车保有量</t>
    <phoneticPr fontId="37" type="noConversion"/>
  </si>
  <si>
    <t>http://www.caac.gov.cn/XXGK/XXGK/TZTG/201905/P020190508527175796080.pdf</t>
    <phoneticPr fontId="37" type="noConversion"/>
  </si>
  <si>
    <t>https://baijiahao.baidu.com/s?id=1622349088177624657&amp;wfr=spider&amp;for=pc</t>
    <phoneticPr fontId="37" type="noConversion"/>
  </si>
  <si>
    <t>http://www.sohu.com/a/288908266_99922905</t>
    <phoneticPr fontId="37" type="noConversion"/>
  </si>
  <si>
    <t>https://www.sohu.com/a/291989396_115312</t>
    <phoneticPr fontId="37" type="noConversion"/>
  </si>
  <si>
    <t>汽油保有量</t>
    <phoneticPr fontId="37" type="noConversion"/>
  </si>
  <si>
    <t>2020新销汽油</t>
  </si>
  <si>
    <t>柴油保有量</t>
    <phoneticPr fontId="37" type="noConversion"/>
  </si>
  <si>
    <t>2020新销柴油</t>
  </si>
  <si>
    <t>天然气保有量</t>
    <phoneticPr fontId="37" type="noConversion"/>
  </si>
  <si>
    <t>2020新销天然气</t>
  </si>
  <si>
    <t>插电保有量</t>
    <phoneticPr fontId="37" type="noConversion"/>
  </si>
  <si>
    <t>2020新销插电</t>
  </si>
  <si>
    <t>纯电保有量</t>
    <phoneticPr fontId="37" type="noConversion"/>
  </si>
  <si>
    <t>2020新销纯电</t>
  </si>
  <si>
    <t>燃料电池保有量</t>
    <phoneticPr fontId="37" type="noConversion"/>
  </si>
  <si>
    <t>2020新销燃料电池</t>
  </si>
  <si>
    <t>甲醇保有量</t>
    <phoneticPr fontId="37" type="noConversion"/>
  </si>
  <si>
    <t>2020新销甲醇</t>
  </si>
  <si>
    <t>LPG保有量</t>
    <phoneticPr fontId="37" type="noConversion"/>
  </si>
  <si>
    <t>2020新销LPG</t>
  </si>
  <si>
    <t>出租车</t>
    <phoneticPr fontId="37" type="noConversion"/>
  </si>
  <si>
    <t>私家车</t>
    <phoneticPr fontId="37" type="noConversion"/>
  </si>
  <si>
    <t>小型公交车</t>
    <phoneticPr fontId="37" type="noConversion"/>
  </si>
  <si>
    <t>中型公交车</t>
    <phoneticPr fontId="37" type="noConversion"/>
  </si>
  <si>
    <t>大型公交车</t>
    <phoneticPr fontId="37" type="noConversion"/>
  </si>
  <si>
    <t>中型客车</t>
    <phoneticPr fontId="37" type="noConversion"/>
  </si>
  <si>
    <t>大型客车</t>
    <phoneticPr fontId="37" type="noConversion"/>
  </si>
  <si>
    <t>微轻型货车</t>
    <phoneticPr fontId="37" type="noConversion"/>
  </si>
  <si>
    <t>中型货车</t>
    <phoneticPr fontId="37" type="noConversion"/>
  </si>
  <si>
    <t>重型货车</t>
    <phoneticPr fontId="37" type="noConversion"/>
  </si>
  <si>
    <t>上险数据销量数据库</t>
    <phoneticPr fontId="37" type="noConversion"/>
  </si>
  <si>
    <t>来源</t>
    <phoneticPr fontId="37" type="noConversion"/>
  </si>
  <si>
    <t>2020年民航行业发展统计公报</t>
    <phoneticPr fontId="37" type="noConversion"/>
  </si>
  <si>
    <t>来源：《2020铁道统计公报》https://www.nra.gov.cn/xwzx/zlzx/hytj/202204/P020220902306794538609.pdf</t>
    <phoneticPr fontId="37" type="noConversion"/>
  </si>
  <si>
    <t>电动船舶</t>
    <phoneticPr fontId="37" type="noConversion"/>
  </si>
  <si>
    <t>船舶总数</t>
    <phoneticPr fontId="37" type="noConversion"/>
  </si>
  <si>
    <t>城市客运船舶</t>
    <phoneticPr fontId="37" type="noConversion"/>
  </si>
  <si>
    <t>内河</t>
    <phoneticPr fontId="37" type="noConversion"/>
  </si>
  <si>
    <t>沿海</t>
    <phoneticPr fontId="37" type="noConversion"/>
  </si>
  <si>
    <t>远洋</t>
    <phoneticPr fontId="37" type="noConversion"/>
  </si>
  <si>
    <t>2020年交通运输行业发展统计公报、观研报告</t>
    <phoneticPr fontId="37" type="noConversion"/>
  </si>
  <si>
    <t>2020铁道统计公报</t>
  </si>
  <si>
    <t>来源：《2020年交通运输行业发展统计公报》、观研报告网https://www.163.com/dy/article/J252RFVK0518H9Q1.html</t>
    <phoneticPr fontId="3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</si>
</sst>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 * #,##0.00_ ;_ * \-#,##0.00_ ;_ * &quot;-&quot;??_ ;_ @_ "/>
    <numFmt numFmtId="176" formatCode="_(&quot;$&quot;* #,##0.00_);_(&quot;$&quot;* \(#,##0.00\);_(&quot;$&quot;* &quot;-&quot;??_);_(@_)"/>
    <numFmt numFmtId="177" formatCode="_(* #,##0.00_);_(* \(#,##0.00\);_(* &quot;-&quot;??_);_(@_)"/>
    <numFmt numFmtId="178" formatCode="###0.00_)"/>
    <numFmt numFmtId="179" formatCode="#,##0_)"/>
    <numFmt numFmtId="180" formatCode="_ * #,##0_ ;_ * \-#,##0_ ;_ * &quot;-&quot;??_ ;_ @_ "/>
  </numFmts>
  <fonts count="46">
    <font>
      <sz val="11"/>
      <color theme="1"/>
      <name val="宋体"/>
      <family val="2"/>
      <scheme val="minor"/>
    </font>
    <font>
      <b/>
      <sz val="11"/>
      <color theme="1"/>
      <name val="宋体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0"/>
      <color indexed="8"/>
      <name val="Arial"/>
      <family val="2"/>
    </font>
    <font>
      <sz val="11"/>
      <color theme="1"/>
      <name val="宋体"/>
      <family val="2"/>
      <scheme val="minor"/>
    </font>
    <font>
      <sz val="10"/>
      <name val="Arial"/>
      <family val="2"/>
    </font>
    <font>
      <sz val="8"/>
      <name val="Helv"/>
    </font>
    <font>
      <b/>
      <sz val="10"/>
      <name val="Helv"/>
    </font>
    <font>
      <b/>
      <sz val="14"/>
      <name val="Helv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color theme="1"/>
      <name val="宋体"/>
      <family val="2"/>
      <charset val="129"/>
      <scheme val="minor"/>
    </font>
    <font>
      <sz val="10"/>
      <name val="HELV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9"/>
      <name val="Helv"/>
    </font>
    <font>
      <sz val="8.5"/>
      <name val="Helv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0"/>
      <name val="P-AVGARD"/>
    </font>
    <font>
      <sz val="6"/>
      <name val="P-AVGARD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2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9"/>
      <name val="宋体"/>
      <family val="3"/>
      <charset val="134"/>
      <scheme val="minor"/>
    </font>
    <font>
      <u/>
      <sz val="11"/>
      <color theme="10"/>
      <name val="宋体"/>
      <family val="2"/>
      <scheme val="minor"/>
    </font>
    <font>
      <u/>
      <sz val="11"/>
      <color theme="11"/>
      <name val="宋体"/>
      <family val="2"/>
      <scheme val="minor"/>
    </font>
    <font>
      <b/>
      <sz val="11"/>
      <color theme="1"/>
      <name val="宋体"/>
      <family val="3"/>
      <charset val="134"/>
      <scheme val="minor"/>
    </font>
    <font>
      <sz val="9"/>
      <color rgb="FF404040"/>
      <name val="Arial"/>
      <family val="2"/>
    </font>
    <font>
      <sz val="9"/>
      <color rgb="FF404040"/>
      <name val="Arial"/>
      <family val="3"/>
      <charset val="134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11"/>
      <name val="宋体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9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auto="1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12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7" fillId="0" borderId="0"/>
    <xf numFmtId="0" fontId="8" fillId="0" borderId="0">
      <alignment horizontal="left"/>
    </xf>
    <xf numFmtId="0" fontId="6" fillId="0" borderId="0"/>
    <xf numFmtId="177" fontId="7" fillId="0" borderId="0" applyFont="0" applyFill="0" applyBorder="0" applyAlignment="0" applyProtection="0"/>
    <xf numFmtId="0" fontId="6" fillId="0" borderId="0"/>
    <xf numFmtId="0" fontId="9" fillId="0" borderId="6">
      <alignment horizontal="left"/>
    </xf>
    <xf numFmtId="0" fontId="10" fillId="0" borderId="0">
      <alignment horizontal="left" vertical="top"/>
    </xf>
    <xf numFmtId="0" fontId="11" fillId="3" borderId="0" applyNumberFormat="0" applyBorder="0" applyAlignment="0" applyProtection="0"/>
    <xf numFmtId="0" fontId="11" fillId="4" borderId="0" applyNumberFormat="0" applyBorder="0" applyAlignment="0" applyProtection="0"/>
    <xf numFmtId="0" fontId="11" fillId="5" borderId="0" applyNumberFormat="0" applyBorder="0" applyAlignment="0" applyProtection="0"/>
    <xf numFmtId="0" fontId="11" fillId="6" borderId="0" applyNumberFormat="0" applyBorder="0" applyAlignment="0" applyProtection="0"/>
    <xf numFmtId="0" fontId="11" fillId="7" borderId="0" applyNumberFormat="0" applyBorder="0" applyAlignment="0" applyProtection="0"/>
    <xf numFmtId="0" fontId="11" fillId="8" borderId="0" applyNumberFormat="0" applyBorder="0" applyAlignment="0" applyProtection="0"/>
    <xf numFmtId="0" fontId="11" fillId="9" borderId="0" applyNumberFormat="0" applyBorder="0" applyAlignment="0" applyProtection="0"/>
    <xf numFmtId="0" fontId="11" fillId="10" borderId="0" applyNumberFormat="0" applyBorder="0" applyAlignment="0" applyProtection="0"/>
    <xf numFmtId="0" fontId="11" fillId="11" borderId="0" applyNumberFormat="0" applyBorder="0" applyAlignment="0" applyProtection="0"/>
    <xf numFmtId="0" fontId="11" fillId="6" borderId="0" applyNumberFormat="0" applyBorder="0" applyAlignment="0" applyProtection="0"/>
    <xf numFmtId="0" fontId="11" fillId="9" borderId="0" applyNumberFormat="0" applyBorder="0" applyAlignment="0" applyProtection="0"/>
    <xf numFmtId="0" fontId="11" fillId="12" borderId="0" applyNumberFormat="0" applyBorder="0" applyAlignment="0" applyProtection="0"/>
    <xf numFmtId="0" fontId="12" fillId="13" borderId="0" applyNumberFormat="0" applyBorder="0" applyAlignment="0" applyProtection="0"/>
    <xf numFmtId="0" fontId="12" fillId="10" borderId="0" applyNumberFormat="0" applyBorder="0" applyAlignment="0" applyProtection="0"/>
    <xf numFmtId="0" fontId="12" fillId="11" borderId="0" applyNumberFormat="0" applyBorder="0" applyAlignment="0" applyProtection="0"/>
    <xf numFmtId="0" fontId="12" fillId="14" borderId="0" applyNumberFormat="0" applyBorder="0" applyAlignment="0" applyProtection="0"/>
    <xf numFmtId="0" fontId="12" fillId="15" borderId="0" applyNumberFormat="0" applyBorder="0" applyAlignment="0" applyProtection="0"/>
    <xf numFmtId="0" fontId="12" fillId="16" borderId="0" applyNumberFormat="0" applyBorder="0" applyAlignment="0" applyProtection="0"/>
    <xf numFmtId="0" fontId="12" fillId="17" borderId="0" applyNumberFormat="0" applyBorder="0" applyAlignment="0" applyProtection="0"/>
    <xf numFmtId="0" fontId="12" fillId="18" borderId="0" applyNumberFormat="0" applyBorder="0" applyAlignment="0" applyProtection="0"/>
    <xf numFmtId="0" fontId="12" fillId="19" borderId="0" applyNumberFormat="0" applyBorder="0" applyAlignment="0" applyProtection="0"/>
    <xf numFmtId="0" fontId="12" fillId="14" borderId="0" applyNumberFormat="0" applyBorder="0" applyAlignment="0" applyProtection="0"/>
    <xf numFmtId="0" fontId="12" fillId="15" borderId="0" applyNumberFormat="0" applyBorder="0" applyAlignment="0" applyProtection="0"/>
    <xf numFmtId="0" fontId="12" fillId="20" borderId="0" applyNumberFormat="0" applyBorder="0" applyAlignment="0" applyProtection="0"/>
    <xf numFmtId="0" fontId="13" fillId="4" borderId="0" applyNumberFormat="0" applyBorder="0" applyAlignment="0" applyProtection="0"/>
    <xf numFmtId="0" fontId="14" fillId="21" borderId="7" applyNumberFormat="0" applyAlignment="0" applyProtection="0"/>
    <xf numFmtId="0" fontId="15" fillId="22" borderId="8" applyNumberFormat="0" applyAlignment="0" applyProtection="0"/>
    <xf numFmtId="177" fontId="6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16" fillId="0" borderId="0" applyFont="0" applyFill="0" applyBorder="0" applyAlignment="0" applyProtection="0"/>
    <xf numFmtId="177" fontId="11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11" fillId="0" borderId="0" applyFont="0" applyFill="0" applyBorder="0" applyAlignment="0" applyProtection="0"/>
    <xf numFmtId="177" fontId="6" fillId="0" borderId="0" applyFont="0" applyFill="0" applyBorder="0" applyAlignment="0" applyProtection="0"/>
    <xf numFmtId="177" fontId="6" fillId="0" borderId="0" applyFont="0" applyFill="0" applyBorder="0" applyAlignment="0" applyProtection="0"/>
    <xf numFmtId="176" fontId="7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7" fillId="0" borderId="0" applyFont="0" applyFill="0" applyBorder="0" applyAlignment="0" applyProtection="0"/>
    <xf numFmtId="178" fontId="17" fillId="0" borderId="6" applyNumberFormat="0" applyFill="0">
      <alignment horizontal="right"/>
    </xf>
    <xf numFmtId="179" fontId="18" fillId="0" borderId="6">
      <alignment horizontal="right" vertical="center"/>
    </xf>
    <xf numFmtId="49" fontId="19" fillId="0" borderId="6">
      <alignment horizontal="left" vertical="center"/>
    </xf>
    <xf numFmtId="178" fontId="17" fillId="0" borderId="6" applyNumberFormat="0" applyFill="0">
      <alignment horizontal="right"/>
    </xf>
    <xf numFmtId="0" fontId="20" fillId="0" borderId="0" applyNumberFormat="0" applyFill="0" applyBorder="0" applyAlignment="0" applyProtection="0"/>
    <xf numFmtId="0" fontId="21" fillId="5" borderId="0" applyNumberFormat="0" applyBorder="0" applyAlignment="0" applyProtection="0"/>
    <xf numFmtId="0" fontId="22" fillId="0" borderId="9" applyNumberFormat="0" applyFill="0" applyAlignment="0" applyProtection="0"/>
    <xf numFmtId="0" fontId="23" fillId="0" borderId="10" applyNumberFormat="0" applyFill="0" applyAlignment="0" applyProtection="0"/>
    <xf numFmtId="0" fontId="24" fillId="0" borderId="11" applyNumberFormat="0" applyFill="0" applyAlignment="0" applyProtection="0"/>
    <xf numFmtId="0" fontId="24" fillId="0" borderId="0" applyNumberFormat="0" applyFill="0" applyBorder="0" applyAlignment="0" applyProtection="0"/>
    <xf numFmtId="0" fontId="25" fillId="0" borderId="12">
      <alignment horizontal="right" vertical="center"/>
    </xf>
    <xf numFmtId="0" fontId="26" fillId="0" borderId="6">
      <alignment horizontal="left" vertical="center"/>
    </xf>
    <xf numFmtId="0" fontId="17" fillId="0" borderId="6">
      <alignment horizontal="left" vertical="center"/>
    </xf>
    <xf numFmtId="0" fontId="9" fillId="0" borderId="6">
      <alignment horizontal="left"/>
    </xf>
    <xf numFmtId="0" fontId="9" fillId="23" borderId="0">
      <alignment horizontal="centerContinuous" wrapText="1"/>
    </xf>
    <xf numFmtId="0" fontId="27" fillId="8" borderId="7" applyNumberFormat="0" applyAlignment="0" applyProtection="0"/>
    <xf numFmtId="0" fontId="28" fillId="0" borderId="13" applyNumberFormat="0" applyFill="0" applyAlignment="0" applyProtection="0"/>
    <xf numFmtId="0" fontId="29" fillId="24" borderId="0" applyNumberFormat="0" applyBorder="0" applyAlignment="0" applyProtection="0"/>
    <xf numFmtId="0" fontId="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" fillId="0" borderId="0"/>
    <xf numFmtId="0" fontId="16" fillId="0" borderId="0"/>
    <xf numFmtId="0" fontId="7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5" fillId="0" borderId="0"/>
    <xf numFmtId="0" fontId="7" fillId="0" borderId="0"/>
    <xf numFmtId="37" fontId="30" fillId="0" borderId="0"/>
    <xf numFmtId="0" fontId="6" fillId="0" borderId="0"/>
    <xf numFmtId="37" fontId="31" fillId="0" borderId="0"/>
    <xf numFmtId="0" fontId="7" fillId="0" borderId="0"/>
    <xf numFmtId="0" fontId="6" fillId="0" borderId="0"/>
    <xf numFmtId="0" fontId="6" fillId="0" borderId="0"/>
    <xf numFmtId="0" fontId="6" fillId="0" borderId="0"/>
    <xf numFmtId="0" fontId="6" fillId="2" borderId="5" applyNumberFormat="0" applyFont="0" applyAlignment="0" applyProtection="0"/>
    <xf numFmtId="0" fontId="7" fillId="25" borderId="14" applyNumberFormat="0" applyFont="0" applyAlignment="0" applyProtection="0"/>
    <xf numFmtId="0" fontId="32" fillId="21" borderId="15" applyNumberFormat="0" applyAlignment="0" applyProtection="0"/>
    <xf numFmtId="9" fontId="7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8" fillId="0" borderId="0">
      <alignment horizontal="right"/>
    </xf>
    <xf numFmtId="0" fontId="19" fillId="0" borderId="0">
      <alignment horizontal="right"/>
    </xf>
    <xf numFmtId="49" fontId="18" fillId="0" borderId="0">
      <alignment horizontal="left" vertical="center"/>
    </xf>
    <xf numFmtId="49" fontId="19" fillId="0" borderId="6">
      <alignment horizontal="left"/>
    </xf>
    <xf numFmtId="178" fontId="18" fillId="0" borderId="0" applyNumberFormat="0">
      <alignment horizontal="right"/>
    </xf>
    <xf numFmtId="0" fontId="25" fillId="26" borderId="0">
      <alignment horizontal="centerContinuous" vertical="center" wrapText="1"/>
    </xf>
    <xf numFmtId="0" fontId="25" fillId="0" borderId="16">
      <alignment horizontal="left" vertical="center"/>
    </xf>
    <xf numFmtId="0" fontId="33" fillId="0" borderId="0" applyNumberFormat="0" applyFill="0" applyBorder="0" applyAlignment="0" applyProtection="0"/>
    <xf numFmtId="0" fontId="9" fillId="0" borderId="0">
      <alignment horizontal="left"/>
    </xf>
    <xf numFmtId="0" fontId="34" fillId="0" borderId="0">
      <alignment horizontal="left"/>
    </xf>
    <xf numFmtId="0" fontId="17" fillId="0" borderId="0">
      <alignment horizontal="left"/>
    </xf>
    <xf numFmtId="0" fontId="34" fillId="0" borderId="0">
      <alignment horizontal="left"/>
    </xf>
    <xf numFmtId="0" fontId="17" fillId="0" borderId="0">
      <alignment horizontal="left"/>
    </xf>
    <xf numFmtId="0" fontId="35" fillId="0" borderId="17" applyNumberFormat="0" applyFill="0" applyAlignment="0" applyProtection="0"/>
    <xf numFmtId="0" fontId="36" fillId="0" borderId="0" applyNumberFormat="0" applyFill="0" applyBorder="0" applyAlignment="0" applyProtection="0"/>
    <xf numFmtId="49" fontId="18" fillId="0" borderId="6">
      <alignment horizontal="left"/>
    </xf>
    <xf numFmtId="0" fontId="25" fillId="0" borderId="12">
      <alignment horizontal="left"/>
    </xf>
    <xf numFmtId="0" fontId="9" fillId="0" borderId="0">
      <alignment horizontal="left" vertical="center"/>
    </xf>
    <xf numFmtId="0" fontId="38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43" fontId="6" fillId="0" borderId="0" applyFont="0" applyFill="0" applyBorder="0" applyAlignment="0" applyProtection="0">
      <alignment vertical="center"/>
    </xf>
    <xf numFmtId="0" fontId="38" fillId="0" borderId="0" applyNumberFormat="0" applyFill="0" applyBorder="0" applyAlignment="0" applyProtection="0"/>
  </cellStyleXfs>
  <cellXfs count="34">
    <xf numFmtId="0" fontId="0" fillId="0" borderId="0" xfId="0"/>
    <xf numFmtId="0" fontId="1" fillId="0" borderId="0" xfId="0" applyFont="1" applyAlignment="1">
      <alignment wrapText="1"/>
    </xf>
    <xf numFmtId="180" fontId="0" fillId="0" borderId="0" xfId="210" applyNumberFormat="1" applyFont="1" applyAlignment="1"/>
    <xf numFmtId="0" fontId="38" fillId="0" borderId="0" xfId="211"/>
    <xf numFmtId="180" fontId="0" fillId="0" borderId="0" xfId="210" applyNumberFormat="1" applyFont="1" applyAlignment="1">
      <alignment wrapText="1"/>
    </xf>
    <xf numFmtId="0" fontId="40" fillId="27" borderId="0" xfId="0" applyFont="1" applyFill="1"/>
    <xf numFmtId="0" fontId="0" fillId="0" borderId="0" xfId="0" applyAlignment="1">
      <alignment horizontal="center" wrapText="1"/>
    </xf>
    <xf numFmtId="0" fontId="41" fillId="0" borderId="0" xfId="0" applyFont="1" applyAlignment="1">
      <alignment wrapText="1"/>
    </xf>
    <xf numFmtId="0" fontId="42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" fillId="0" borderId="0" xfId="0" applyFont="1" applyAlignment="1">
      <alignment horizontal="right"/>
    </xf>
    <xf numFmtId="1" fontId="0" fillId="0" borderId="0" xfId="0" applyNumberFormat="1"/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38" fillId="0" borderId="0" xfId="211" applyAlignment="1">
      <alignment vertical="center"/>
    </xf>
    <xf numFmtId="0" fontId="0" fillId="28" borderId="0" xfId="0" applyFill="1"/>
    <xf numFmtId="0" fontId="0" fillId="29" borderId="0" xfId="0" applyFill="1" applyAlignment="1">
      <alignment horizontal="center" vertical="center" wrapText="1"/>
    </xf>
    <xf numFmtId="1" fontId="0" fillId="29" borderId="0" xfId="0" applyNumberFormat="1" applyFill="1"/>
    <xf numFmtId="180" fontId="0" fillId="0" borderId="0" xfId="210" applyNumberFormat="1" applyFont="1" applyFill="1" applyAlignment="1"/>
    <xf numFmtId="0" fontId="45" fillId="0" borderId="0" xfId="0" applyFont="1"/>
    <xf numFmtId="1" fontId="45" fillId="0" borderId="0" xfId="0" applyNumberFormat="1" applyFont="1"/>
    <xf numFmtId="0" fontId="1" fillId="0" borderId="0" xfId="0" applyFont="1"/>
    <xf numFmtId="0" fontId="40" fillId="0" borderId="0" xfId="0" applyFont="1" applyAlignment="1">
      <alignment horizontal="center" wrapText="1"/>
    </xf>
    <xf numFmtId="0" fontId="0" fillId="0" borderId="0" xfId="0" applyAlignment="1">
      <alignment horizontal="center"/>
    </xf>
    <xf numFmtId="0" fontId="0" fillId="0" borderId="18" xfId="0" applyBorder="1" applyAlignment="1">
      <alignment horizontal="center" vertical="center"/>
    </xf>
    <xf numFmtId="1" fontId="0" fillId="30" borderId="0" xfId="0" applyNumberFormat="1" applyFill="1"/>
    <xf numFmtId="0" fontId="41" fillId="0" borderId="0" xfId="0" applyFont="1" applyAlignment="1">
      <alignment horizontal="left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/>
    </xf>
    <xf numFmtId="0" fontId="0" fillId="0" borderId="18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/>
    </xf>
  </cellXfs>
  <cellStyles count="212">
    <cellStyle name="20% - Accent1 2" xfId="15" xr:uid="{00000000-0005-0000-0000-000000000000}"/>
    <cellStyle name="20% - Accent2 2" xfId="16" xr:uid="{00000000-0005-0000-0000-000001000000}"/>
    <cellStyle name="20% - Accent3 2" xfId="17" xr:uid="{00000000-0005-0000-0000-000002000000}"/>
    <cellStyle name="20% - Accent4 2" xfId="18" xr:uid="{00000000-0005-0000-0000-000003000000}"/>
    <cellStyle name="20% - Accent5 2" xfId="19" xr:uid="{00000000-0005-0000-0000-000004000000}"/>
    <cellStyle name="20% - Accent6 2" xfId="20" xr:uid="{00000000-0005-0000-0000-000005000000}"/>
    <cellStyle name="40% - Accent1 2" xfId="21" xr:uid="{00000000-0005-0000-0000-000006000000}"/>
    <cellStyle name="40% - Accent2 2" xfId="22" xr:uid="{00000000-0005-0000-0000-000007000000}"/>
    <cellStyle name="40% - Accent3 2" xfId="23" xr:uid="{00000000-0005-0000-0000-000008000000}"/>
    <cellStyle name="40% - Accent4 2" xfId="24" xr:uid="{00000000-0005-0000-0000-000009000000}"/>
    <cellStyle name="40% - Accent5 2" xfId="25" xr:uid="{00000000-0005-0000-0000-00000A000000}"/>
    <cellStyle name="40% - Accent6 2" xfId="26" xr:uid="{00000000-0005-0000-0000-00000B000000}"/>
    <cellStyle name="60% - Accent1 2" xfId="27" xr:uid="{00000000-0005-0000-0000-00000C000000}"/>
    <cellStyle name="60% - Accent2 2" xfId="28" xr:uid="{00000000-0005-0000-0000-00000D000000}"/>
    <cellStyle name="60% - Accent3 2" xfId="29" xr:uid="{00000000-0005-0000-0000-00000E000000}"/>
    <cellStyle name="60% - Accent4 2" xfId="30" xr:uid="{00000000-0005-0000-0000-00000F000000}"/>
    <cellStyle name="60% - Accent5 2" xfId="31" xr:uid="{00000000-0005-0000-0000-000010000000}"/>
    <cellStyle name="60% - Accent6 2" xfId="32" xr:uid="{00000000-0005-0000-0000-000011000000}"/>
    <cellStyle name="Accent1 2" xfId="33" xr:uid="{00000000-0005-0000-0000-000012000000}"/>
    <cellStyle name="Accent2 2" xfId="34" xr:uid="{00000000-0005-0000-0000-000013000000}"/>
    <cellStyle name="Accent3 2" xfId="35" xr:uid="{00000000-0005-0000-0000-000014000000}"/>
    <cellStyle name="Accent4 2" xfId="36" xr:uid="{00000000-0005-0000-0000-000015000000}"/>
    <cellStyle name="Accent5 2" xfId="37" xr:uid="{00000000-0005-0000-0000-000016000000}"/>
    <cellStyle name="Accent6 2" xfId="38" xr:uid="{00000000-0005-0000-0000-000017000000}"/>
    <cellStyle name="Bad 2" xfId="39" xr:uid="{00000000-0005-0000-0000-000018000000}"/>
    <cellStyle name="Body: normal cell" xfId="4" xr:uid="{00000000-0005-0000-0000-000019000000}"/>
    <cellStyle name="Calculation 2" xfId="40" xr:uid="{00000000-0005-0000-0000-00001A000000}"/>
    <cellStyle name="Check Cell 2" xfId="41" xr:uid="{00000000-0005-0000-0000-00001B000000}"/>
    <cellStyle name="Comma 2" xfId="42" xr:uid="{00000000-0005-0000-0000-00001D000000}"/>
    <cellStyle name="Comma 2 2" xfId="11" xr:uid="{00000000-0005-0000-0000-00001E000000}"/>
    <cellStyle name="Comma 2 2 2" xfId="43" xr:uid="{00000000-0005-0000-0000-00001F000000}"/>
    <cellStyle name="Comma 2 2 3" xfId="44" xr:uid="{00000000-0005-0000-0000-000020000000}"/>
    <cellStyle name="Comma 2 3" xfId="45" xr:uid="{00000000-0005-0000-0000-000021000000}"/>
    <cellStyle name="Comma 3" xfId="46" xr:uid="{00000000-0005-0000-0000-000022000000}"/>
    <cellStyle name="Comma 4" xfId="47" xr:uid="{00000000-0005-0000-0000-000023000000}"/>
    <cellStyle name="Comma 5" xfId="48" xr:uid="{00000000-0005-0000-0000-000024000000}"/>
    <cellStyle name="Comma 6" xfId="49" xr:uid="{00000000-0005-0000-0000-000025000000}"/>
    <cellStyle name="Comma 7" xfId="50" xr:uid="{00000000-0005-0000-0000-000026000000}"/>
    <cellStyle name="Currency 2" xfId="51" xr:uid="{00000000-0005-0000-0000-000027000000}"/>
    <cellStyle name="Currency 3" xfId="52" xr:uid="{00000000-0005-0000-0000-000028000000}"/>
    <cellStyle name="Currency 3 2" xfId="53" xr:uid="{00000000-0005-0000-0000-000029000000}"/>
    <cellStyle name="Data" xfId="54" xr:uid="{00000000-0005-0000-0000-00002A000000}"/>
    <cellStyle name="Data no deci" xfId="55" xr:uid="{00000000-0005-0000-0000-00002B000000}"/>
    <cellStyle name="Data Superscript" xfId="56" xr:uid="{00000000-0005-0000-0000-00002C000000}"/>
    <cellStyle name="Data_1-1A-Regular" xfId="57" xr:uid="{00000000-0005-0000-0000-00002D000000}"/>
    <cellStyle name="Explanatory Text 2" xfId="58" xr:uid="{00000000-0005-0000-0000-00002E000000}"/>
    <cellStyle name="Font: Calibri, 9pt regular" xfId="6" xr:uid="{00000000-0005-0000-0000-000052000000}"/>
    <cellStyle name="Footnotes: top row" xfId="2" xr:uid="{00000000-0005-0000-0000-000053000000}"/>
    <cellStyle name="Good 2" xfId="59" xr:uid="{00000000-0005-0000-0000-000054000000}"/>
    <cellStyle name="Header: bottom row" xfId="5" xr:uid="{00000000-0005-0000-0000-000055000000}"/>
    <cellStyle name="Heading 1 2" xfId="60" xr:uid="{00000000-0005-0000-0000-000056000000}"/>
    <cellStyle name="Heading 2 2" xfId="61" xr:uid="{00000000-0005-0000-0000-000057000000}"/>
    <cellStyle name="Heading 3 2" xfId="62" xr:uid="{00000000-0005-0000-0000-000058000000}"/>
    <cellStyle name="Heading 4 2" xfId="63" xr:uid="{00000000-0005-0000-0000-000059000000}"/>
    <cellStyle name="Hed Side" xfId="13" xr:uid="{00000000-0005-0000-0000-00005A000000}"/>
    <cellStyle name="Hed Side bold" xfId="64" xr:uid="{00000000-0005-0000-0000-00005B000000}"/>
    <cellStyle name="Hed Side Indent" xfId="65" xr:uid="{00000000-0005-0000-0000-00005C000000}"/>
    <cellStyle name="Hed Side Regular" xfId="66" xr:uid="{00000000-0005-0000-0000-00005D000000}"/>
    <cellStyle name="Hed Side_1-1A-Regular" xfId="67" xr:uid="{00000000-0005-0000-0000-00005E000000}"/>
    <cellStyle name="Hed Top" xfId="68" xr:uid="{00000000-0005-0000-0000-00005F000000}"/>
    <cellStyle name="Input 2" xfId="69" xr:uid="{00000000-0005-0000-0000-000084000000}"/>
    <cellStyle name="Linked Cell 2" xfId="70" xr:uid="{00000000-0005-0000-0000-000085000000}"/>
    <cellStyle name="Neutral 2" xfId="71" xr:uid="{00000000-0005-0000-0000-000086000000}"/>
    <cellStyle name="Normal 10" xfId="72" xr:uid="{00000000-0005-0000-0000-000088000000}"/>
    <cellStyle name="Normal 11" xfId="10" xr:uid="{00000000-0005-0000-0000-000089000000}"/>
    <cellStyle name="Normal 2" xfId="1" xr:uid="{00000000-0005-0000-0000-00008A000000}"/>
    <cellStyle name="Normal 2 2" xfId="73" xr:uid="{00000000-0005-0000-0000-00008B000000}"/>
    <cellStyle name="Normal 2 2 2" xfId="74" xr:uid="{00000000-0005-0000-0000-00008C000000}"/>
    <cellStyle name="Normal 2 2 3" xfId="75" xr:uid="{00000000-0005-0000-0000-00008D000000}"/>
    <cellStyle name="Normal 2 3" xfId="76" xr:uid="{00000000-0005-0000-0000-00008E000000}"/>
    <cellStyle name="Normal 2 4" xfId="77" xr:uid="{00000000-0005-0000-0000-00008F000000}"/>
    <cellStyle name="Normal 3" xfId="8" xr:uid="{00000000-0005-0000-0000-000090000000}"/>
    <cellStyle name="Normal 3 2" xfId="78" xr:uid="{00000000-0005-0000-0000-000091000000}"/>
    <cellStyle name="Normal 3 2 2" xfId="79" xr:uid="{00000000-0005-0000-0000-000092000000}"/>
    <cellStyle name="Normal 3 2 2 2" xfId="80" xr:uid="{00000000-0005-0000-0000-000093000000}"/>
    <cellStyle name="Normal 3 2 3" xfId="81" xr:uid="{00000000-0005-0000-0000-000094000000}"/>
    <cellStyle name="Normal 3 3" xfId="82" xr:uid="{00000000-0005-0000-0000-000095000000}"/>
    <cellStyle name="Normal 3 3 2" xfId="83" xr:uid="{00000000-0005-0000-0000-000096000000}"/>
    <cellStyle name="Normal 3 3 2 2" xfId="84" xr:uid="{00000000-0005-0000-0000-000097000000}"/>
    <cellStyle name="Normal 3 3 3" xfId="85" xr:uid="{00000000-0005-0000-0000-000098000000}"/>
    <cellStyle name="Normal 3 4" xfId="86" xr:uid="{00000000-0005-0000-0000-000099000000}"/>
    <cellStyle name="Normal 3 4 2" xfId="87" xr:uid="{00000000-0005-0000-0000-00009A000000}"/>
    <cellStyle name="Normal 3 5" xfId="88" xr:uid="{00000000-0005-0000-0000-00009B000000}"/>
    <cellStyle name="Normal 3 6" xfId="89" xr:uid="{00000000-0005-0000-0000-00009C000000}"/>
    <cellStyle name="Normal 3 7" xfId="90" xr:uid="{00000000-0005-0000-0000-00009D000000}"/>
    <cellStyle name="Normal 3 8" xfId="91" xr:uid="{00000000-0005-0000-0000-00009E000000}"/>
    <cellStyle name="Normal 3 9" xfId="12" xr:uid="{00000000-0005-0000-0000-00009F000000}"/>
    <cellStyle name="Normal 4" xfId="92" xr:uid="{00000000-0005-0000-0000-0000A0000000}"/>
    <cellStyle name="Normal 4 2" xfId="93" xr:uid="{00000000-0005-0000-0000-0000A1000000}"/>
    <cellStyle name="Normal 4 2 2" xfId="94" xr:uid="{00000000-0005-0000-0000-0000A2000000}"/>
    <cellStyle name="Normal 4 2 2 2" xfId="95" xr:uid="{00000000-0005-0000-0000-0000A3000000}"/>
    <cellStyle name="Normal 4 2 3" xfId="96" xr:uid="{00000000-0005-0000-0000-0000A4000000}"/>
    <cellStyle name="Normal 4 3" xfId="97" xr:uid="{00000000-0005-0000-0000-0000A5000000}"/>
    <cellStyle name="Normal 4 3 2" xfId="98" xr:uid="{00000000-0005-0000-0000-0000A6000000}"/>
    <cellStyle name="Normal 4 3 2 2" xfId="99" xr:uid="{00000000-0005-0000-0000-0000A7000000}"/>
    <cellStyle name="Normal 4 3 3" xfId="100" xr:uid="{00000000-0005-0000-0000-0000A8000000}"/>
    <cellStyle name="Normal 4 4" xfId="101" xr:uid="{00000000-0005-0000-0000-0000A9000000}"/>
    <cellStyle name="Normal 4 4 2" xfId="102" xr:uid="{00000000-0005-0000-0000-0000AA000000}"/>
    <cellStyle name="Normal 4 5" xfId="103" xr:uid="{00000000-0005-0000-0000-0000AB000000}"/>
    <cellStyle name="Normal 4 6" xfId="104" xr:uid="{00000000-0005-0000-0000-0000AC000000}"/>
    <cellStyle name="Normal 4 7" xfId="105" xr:uid="{00000000-0005-0000-0000-0000AD000000}"/>
    <cellStyle name="Normal 4 8" xfId="106" xr:uid="{00000000-0005-0000-0000-0000AE000000}"/>
    <cellStyle name="Normal 5" xfId="107" xr:uid="{00000000-0005-0000-0000-0000AF000000}"/>
    <cellStyle name="Normal 5 2" xfId="108" xr:uid="{00000000-0005-0000-0000-0000B0000000}"/>
    <cellStyle name="Normal 5 3" xfId="109" xr:uid="{00000000-0005-0000-0000-0000B1000000}"/>
    <cellStyle name="Normal 6" xfId="110" xr:uid="{00000000-0005-0000-0000-0000B2000000}"/>
    <cellStyle name="Normal 6 2" xfId="111" xr:uid="{00000000-0005-0000-0000-0000B3000000}"/>
    <cellStyle name="Normal 7" xfId="112" xr:uid="{00000000-0005-0000-0000-0000B4000000}"/>
    <cellStyle name="Normal 8" xfId="113" xr:uid="{00000000-0005-0000-0000-0000B5000000}"/>
    <cellStyle name="Normal 9" xfId="114" xr:uid="{00000000-0005-0000-0000-0000B6000000}"/>
    <cellStyle name="Note 2" xfId="115" xr:uid="{00000000-0005-0000-0000-0000B7000000}"/>
    <cellStyle name="Note 2 2" xfId="116" xr:uid="{00000000-0005-0000-0000-0000B8000000}"/>
    <cellStyle name="Output 2" xfId="117" xr:uid="{00000000-0005-0000-0000-0000B9000000}"/>
    <cellStyle name="Parent row" xfId="3" xr:uid="{00000000-0005-0000-0000-0000BA000000}"/>
    <cellStyle name="Percent 2" xfId="118" xr:uid="{00000000-0005-0000-0000-0000BC000000}"/>
    <cellStyle name="Percent 2 2" xfId="119" xr:uid="{00000000-0005-0000-0000-0000BD000000}"/>
    <cellStyle name="Percent 3" xfId="120" xr:uid="{00000000-0005-0000-0000-0000BE000000}"/>
    <cellStyle name="Percent 3 2" xfId="121" xr:uid="{00000000-0005-0000-0000-0000BF000000}"/>
    <cellStyle name="Source Hed" xfId="122" xr:uid="{00000000-0005-0000-0000-0000C0000000}"/>
    <cellStyle name="Source Superscript" xfId="123" xr:uid="{00000000-0005-0000-0000-0000C1000000}"/>
    <cellStyle name="Source Text" xfId="9" xr:uid="{00000000-0005-0000-0000-0000C2000000}"/>
    <cellStyle name="State" xfId="124" xr:uid="{00000000-0005-0000-0000-0000C3000000}"/>
    <cellStyle name="Superscript" xfId="125" xr:uid="{00000000-0005-0000-0000-0000C4000000}"/>
    <cellStyle name="Table Data" xfId="126" xr:uid="{00000000-0005-0000-0000-0000C5000000}"/>
    <cellStyle name="Table Head Top" xfId="127" xr:uid="{00000000-0005-0000-0000-0000C6000000}"/>
    <cellStyle name="Table Hed Side" xfId="128" xr:uid="{00000000-0005-0000-0000-0000C7000000}"/>
    <cellStyle name="Table title" xfId="7" xr:uid="{00000000-0005-0000-0000-0000C8000000}"/>
    <cellStyle name="Title 2" xfId="129" xr:uid="{00000000-0005-0000-0000-0000C9000000}"/>
    <cellStyle name="Title Text" xfId="130" xr:uid="{00000000-0005-0000-0000-0000CA000000}"/>
    <cellStyle name="Title Text 1" xfId="131" xr:uid="{00000000-0005-0000-0000-0000CB000000}"/>
    <cellStyle name="Title Text 2" xfId="132" xr:uid="{00000000-0005-0000-0000-0000CC000000}"/>
    <cellStyle name="Title-1" xfId="14" xr:uid="{00000000-0005-0000-0000-0000CD000000}"/>
    <cellStyle name="Title-2" xfId="133" xr:uid="{00000000-0005-0000-0000-0000CE000000}"/>
    <cellStyle name="Title-3" xfId="134" xr:uid="{00000000-0005-0000-0000-0000CF000000}"/>
    <cellStyle name="Total 2" xfId="135" xr:uid="{00000000-0005-0000-0000-0000D0000000}"/>
    <cellStyle name="Warning Text 2" xfId="136" xr:uid="{00000000-0005-0000-0000-0000D1000000}"/>
    <cellStyle name="Wrap" xfId="137" xr:uid="{00000000-0005-0000-0000-0000D2000000}"/>
    <cellStyle name="Wrap Bold" xfId="138" xr:uid="{00000000-0005-0000-0000-0000D3000000}"/>
    <cellStyle name="Wrap Title" xfId="139" xr:uid="{00000000-0005-0000-0000-0000D4000000}"/>
    <cellStyle name="常规" xfId="0" builtinId="0"/>
    <cellStyle name="超链接" xfId="146" builtinId="8" hidden="1"/>
    <cellStyle name="超链接" xfId="140" builtinId="8" hidden="1"/>
    <cellStyle name="超链接" xfId="142" builtinId="8" hidden="1"/>
    <cellStyle name="超链接" xfId="176" builtinId="8" hidden="1"/>
    <cellStyle name="超链接" xfId="196" builtinId="8" hidden="1"/>
    <cellStyle name="超链接" xfId="200" builtinId="8" hidden="1"/>
    <cellStyle name="超链接" xfId="152" builtinId="8" hidden="1"/>
    <cellStyle name="超链接" xfId="172" builtinId="8" hidden="1"/>
    <cellStyle name="超链接" xfId="174" builtinId="8" hidden="1"/>
    <cellStyle name="超链接" xfId="158" builtinId="8" hidden="1"/>
    <cellStyle name="超链接" xfId="148" builtinId="8" hidden="1"/>
    <cellStyle name="超链接" xfId="168" builtinId="8" hidden="1"/>
    <cellStyle name="超链接" xfId="170" builtinId="8" hidden="1"/>
    <cellStyle name="超链接" xfId="164" builtinId="8" hidden="1"/>
    <cellStyle name="超链接" xfId="166" builtinId="8" hidden="1"/>
    <cellStyle name="超链接" xfId="202" builtinId="8" hidden="1"/>
    <cellStyle name="超链接" xfId="188" builtinId="8" hidden="1"/>
    <cellStyle name="超链接" xfId="194" builtinId="8" hidden="1"/>
    <cellStyle name="超链接" xfId="182" builtinId="8" hidden="1"/>
    <cellStyle name="超链接" xfId="184" builtinId="8" hidden="1"/>
    <cellStyle name="超链接" xfId="178" builtinId="8" hidden="1"/>
    <cellStyle name="超链接" xfId="180" builtinId="8" hidden="1"/>
    <cellStyle name="超链接" xfId="162" builtinId="8" hidden="1"/>
    <cellStyle name="超链接" xfId="150" builtinId="8" hidden="1"/>
    <cellStyle name="超链接" xfId="154" builtinId="8" hidden="1"/>
    <cellStyle name="超链接" xfId="144" builtinId="8" hidden="1"/>
    <cellStyle name="超链接" xfId="192" builtinId="8" hidden="1"/>
    <cellStyle name="超链接" xfId="156" builtinId="8" hidden="1"/>
    <cellStyle name="超链接" xfId="160" builtinId="8" hidden="1"/>
    <cellStyle name="超链接" xfId="198" builtinId="8" hidden="1"/>
    <cellStyle name="超链接" xfId="186" builtinId="8" hidden="1"/>
    <cellStyle name="超链接" xfId="206" builtinId="8" hidden="1"/>
    <cellStyle name="超链接" xfId="190" builtinId="8" hidden="1"/>
    <cellStyle name="超链接" xfId="208" builtinId="8" hidden="1"/>
    <cellStyle name="超链接" xfId="204" builtinId="8" hidden="1"/>
    <cellStyle name="超链接" xfId="211" builtinId="8"/>
    <cellStyle name="千位分隔" xfId="210" builtinId="3"/>
    <cellStyle name="已访问的超链接" xfId="149" builtinId="9" hidden="1"/>
    <cellStyle name="已访问的超链接" xfId="159" builtinId="9" hidden="1"/>
    <cellStyle name="已访问的超链接" xfId="169" builtinId="9" hidden="1"/>
    <cellStyle name="已访问的超链接" xfId="161" builtinId="9" hidden="1"/>
    <cellStyle name="已访问的超链接" xfId="145" builtinId="9" hidden="1"/>
    <cellStyle name="已访问的超链接" xfId="157" builtinId="9" hidden="1"/>
    <cellStyle name="已访问的超链接" xfId="155" builtinId="9" hidden="1"/>
    <cellStyle name="已访问的超链接" xfId="147" builtinId="9" hidden="1"/>
    <cellStyle name="已访问的超链接" xfId="167" builtinId="9" hidden="1"/>
    <cellStyle name="已访问的超链接" xfId="177" builtinId="9" hidden="1"/>
    <cellStyle name="已访问的超链接" xfId="181" builtinId="9" hidden="1"/>
    <cellStyle name="已访问的超链接" xfId="183" builtinId="9" hidden="1"/>
    <cellStyle name="已访问的超链接" xfId="187" builtinId="9" hidden="1"/>
    <cellStyle name="已访问的超链接" xfId="191" builtinId="9" hidden="1"/>
    <cellStyle name="已访问的超链接" xfId="173" builtinId="9" hidden="1"/>
    <cellStyle name="已访问的超链接" xfId="153" builtinId="9" hidden="1"/>
    <cellStyle name="已访问的超链接" xfId="151" builtinId="9" hidden="1"/>
    <cellStyle name="已访问的超链接" xfId="179" builtinId="9" hidden="1"/>
    <cellStyle name="已访问的超链接" xfId="209" builtinId="9" hidden="1"/>
    <cellStyle name="已访问的超链接" xfId="207" builtinId="9" hidden="1"/>
    <cellStyle name="已访问的超链接" xfId="185" builtinId="9" hidden="1"/>
    <cellStyle name="已访问的超链接" xfId="141" builtinId="9" hidden="1"/>
    <cellStyle name="已访问的超链接" xfId="143" builtinId="9" hidden="1"/>
    <cellStyle name="已访问的超链接" xfId="189" builtinId="9" hidden="1"/>
    <cellStyle name="已访问的超链接" xfId="195" builtinId="9" hidden="1"/>
    <cellStyle name="已访问的超链接" xfId="193" builtinId="9" hidden="1"/>
    <cellStyle name="已访问的超链接" xfId="203" builtinId="9" hidden="1"/>
    <cellStyle name="已访问的超链接" xfId="163" builtinId="9" hidden="1"/>
    <cellStyle name="已访问的超链接" xfId="171" builtinId="9" hidden="1"/>
    <cellStyle name="已访问的超链接" xfId="175" builtinId="9" hidden="1"/>
    <cellStyle name="已访问的超链接" xfId="165" builtinId="9" hidden="1"/>
    <cellStyle name="已访问的超链接" xfId="199" builtinId="9" hidden="1"/>
    <cellStyle name="已访问的超链接" xfId="201" builtinId="9" hidden="1"/>
    <cellStyle name="已访问的超链接" xfId="197" builtinId="9" hidden="1"/>
    <cellStyle name="已访问的超链接" xfId="205" builtinId="9" hidde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tmp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28574</xdr:colOff>
      <xdr:row>34</xdr:row>
      <xdr:rowOff>31912</xdr:rowOff>
    </xdr:from>
    <xdr:to>
      <xdr:col>18</xdr:col>
      <xdr:colOff>326719</xdr:colOff>
      <xdr:row>44</xdr:row>
      <xdr:rowOff>141432</xdr:rowOff>
    </xdr:to>
    <xdr:pic>
      <xdr:nvPicPr>
        <xdr:cNvPr id="4" name="Picture 3" descr="Screen Clipping">
          <a:extLst>
            <a:ext uri="{FF2B5EF4-FFF2-40B4-BE49-F238E27FC236}">
              <a16:creationId xmlns:a16="http://schemas.microsoft.com/office/drawing/2014/main" id="{39FBA4C9-6283-4DA1-B634-FFF558097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715749" y="6394612"/>
          <a:ext cx="3683331" cy="1825925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120770</xdr:colOff>
      <xdr:row>17</xdr:row>
      <xdr:rowOff>155276</xdr:rowOff>
    </xdr:from>
    <xdr:to>
      <xdr:col>15</xdr:col>
      <xdr:colOff>72050</xdr:colOff>
      <xdr:row>29</xdr:row>
      <xdr:rowOff>147583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2A2532F6-5150-4965-9D55-2BA8BBAF3E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680166" y="2941608"/>
          <a:ext cx="4040201" cy="195913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://www.mee.gov.cn/hjzl/sthjzk/ydyhjgl/201909/P020190905586230826402.pdf" TargetMode="External"/><Relationship Id="rId7" Type="http://schemas.openxmlformats.org/officeDocument/2006/relationships/hyperlink" Target="https://www.sohu.com/a/291989396_115312" TargetMode="External"/><Relationship Id="rId2" Type="http://schemas.openxmlformats.org/officeDocument/2006/relationships/hyperlink" Target="http://www.sohu.com/a/288800709_146550" TargetMode="External"/><Relationship Id="rId1" Type="http://schemas.openxmlformats.org/officeDocument/2006/relationships/hyperlink" Target="http://www.stats.gov.cn/tjsj/ndsj/2019/indexch.htm" TargetMode="External"/><Relationship Id="rId6" Type="http://schemas.openxmlformats.org/officeDocument/2006/relationships/hyperlink" Target="http://www.sohu.com/a/288908266_99922905" TargetMode="External"/><Relationship Id="rId5" Type="http://schemas.openxmlformats.org/officeDocument/2006/relationships/hyperlink" Target="https://baijiahao.baidu.com/s?id=1622349088177624657&amp;wfr=spider&amp;for=pc" TargetMode="External"/><Relationship Id="rId4" Type="http://schemas.openxmlformats.org/officeDocument/2006/relationships/hyperlink" Target="http://www.caac.gov.cn/XXGK/XXGK/TZTG/201905/P020190508527175796080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S50"/>
  <sheetViews>
    <sheetView workbookViewId="0">
      <selection activeCell="K9" sqref="K9"/>
    </sheetView>
  </sheetViews>
  <sheetFormatPr defaultColWidth="8.875" defaultRowHeight="12.9"/>
  <cols>
    <col min="2" max="2" width="48.875" customWidth="1"/>
    <col min="5" max="5" width="11.875" customWidth="1"/>
    <col min="11" max="11" width="32.5" bestFit="1" customWidth="1"/>
  </cols>
  <sheetData>
    <row r="1" spans="2:12">
      <c r="B1" s="5" t="s">
        <v>58</v>
      </c>
      <c r="C1" s="11"/>
      <c r="D1" s="11"/>
      <c r="E1" s="11"/>
      <c r="F1" s="11"/>
      <c r="G1" s="11"/>
      <c r="H1" s="11"/>
      <c r="I1" s="11"/>
      <c r="J1" s="11"/>
      <c r="K1" s="11"/>
      <c r="L1" s="11"/>
    </row>
    <row r="2" spans="2:12" ht="25.85">
      <c r="B2" s="15" t="s">
        <v>50</v>
      </c>
      <c r="C2" s="16" t="s">
        <v>49</v>
      </c>
      <c r="D2" s="11"/>
      <c r="E2" s="11"/>
      <c r="F2" s="11"/>
      <c r="G2" s="11"/>
      <c r="H2" s="11"/>
      <c r="I2" s="11" t="s">
        <v>53</v>
      </c>
      <c r="J2" s="11"/>
      <c r="K2" s="11"/>
      <c r="L2" s="11"/>
    </row>
    <row r="3" spans="2:12">
      <c r="B3" s="15"/>
      <c r="C3" s="16"/>
      <c r="D3" s="11"/>
      <c r="E3" s="11"/>
      <c r="F3" s="11"/>
      <c r="G3" s="11"/>
      <c r="H3" s="11"/>
      <c r="I3" s="11"/>
      <c r="J3" s="11"/>
      <c r="K3" s="11"/>
      <c r="L3" s="11"/>
    </row>
    <row r="4" spans="2:12" ht="38.75">
      <c r="B4" s="15" t="s">
        <v>55</v>
      </c>
      <c r="C4" s="16" t="s">
        <v>66</v>
      </c>
      <c r="D4" s="11"/>
      <c r="E4" s="11"/>
      <c r="F4" s="11"/>
      <c r="G4" s="11"/>
      <c r="H4" s="11"/>
      <c r="I4" s="11"/>
      <c r="J4" s="11"/>
      <c r="K4" s="11" t="s">
        <v>52</v>
      </c>
      <c r="L4" s="29"/>
    </row>
    <row r="5" spans="2:12">
      <c r="B5" s="15"/>
      <c r="C5" s="16"/>
      <c r="D5" s="11"/>
      <c r="E5" s="11"/>
      <c r="F5" s="11"/>
      <c r="G5" s="11"/>
      <c r="H5" s="11"/>
      <c r="I5" s="11"/>
      <c r="J5" s="11"/>
      <c r="K5" s="11"/>
      <c r="L5" s="29"/>
    </row>
    <row r="6" spans="2:12" ht="38.75">
      <c r="B6" s="15" t="s">
        <v>54</v>
      </c>
      <c r="C6" s="16" t="s">
        <v>63</v>
      </c>
      <c r="D6" s="11"/>
      <c r="E6" s="11"/>
      <c r="F6" s="11"/>
      <c r="G6" s="11"/>
      <c r="H6" s="11"/>
      <c r="I6" s="11"/>
      <c r="J6" s="11"/>
      <c r="K6" s="11" t="s">
        <v>51</v>
      </c>
      <c r="L6" s="29"/>
    </row>
    <row r="7" spans="2:12">
      <c r="B7" s="15"/>
      <c r="C7" s="16"/>
      <c r="D7" s="11"/>
      <c r="E7" s="11"/>
      <c r="F7" s="11"/>
      <c r="G7" s="11"/>
      <c r="H7" s="11"/>
      <c r="I7" s="11"/>
      <c r="J7" s="11"/>
      <c r="K7" s="11"/>
      <c r="L7" s="10"/>
    </row>
    <row r="8" spans="2:12">
      <c r="B8" s="15" t="s">
        <v>56</v>
      </c>
      <c r="C8" s="16" t="s">
        <v>36</v>
      </c>
      <c r="D8" s="11"/>
      <c r="E8" s="11"/>
      <c r="F8" s="11"/>
      <c r="G8" s="11"/>
      <c r="H8" s="11"/>
      <c r="I8" s="11"/>
      <c r="J8" s="11"/>
      <c r="K8" s="11"/>
      <c r="L8" s="11"/>
    </row>
    <row r="9" spans="2:12">
      <c r="B9" s="15"/>
      <c r="C9" s="16" t="s">
        <v>67</v>
      </c>
      <c r="D9" s="11"/>
      <c r="E9" s="11"/>
      <c r="F9" s="11"/>
      <c r="G9" s="11"/>
      <c r="H9" s="11"/>
      <c r="I9" s="11"/>
      <c r="J9" s="11"/>
      <c r="K9" s="11" t="s">
        <v>57</v>
      </c>
      <c r="L9" s="11"/>
    </row>
    <row r="10" spans="2:12">
      <c r="B10" s="15"/>
      <c r="C10" s="16" t="s">
        <v>68</v>
      </c>
      <c r="D10" s="11"/>
      <c r="E10" s="11"/>
      <c r="F10" s="11"/>
      <c r="G10" s="11"/>
      <c r="H10" s="11"/>
      <c r="I10" s="11"/>
      <c r="J10" s="11"/>
      <c r="K10" s="11"/>
      <c r="L10" s="11"/>
    </row>
    <row r="11" spans="2:12">
      <c r="B11" s="15"/>
      <c r="C11" s="16" t="s">
        <v>69</v>
      </c>
      <c r="D11" s="11"/>
      <c r="E11" s="11"/>
      <c r="F11" s="11"/>
      <c r="G11" s="11"/>
      <c r="H11" s="11"/>
      <c r="I11" s="11"/>
      <c r="J11" s="11"/>
      <c r="K11" s="11"/>
      <c r="L11" s="11"/>
    </row>
    <row r="13" spans="2:12">
      <c r="B13" s="5" t="s">
        <v>1</v>
      </c>
    </row>
    <row r="14" spans="2:12">
      <c r="B14" t="s">
        <v>2</v>
      </c>
    </row>
    <row r="15" spans="2:12">
      <c r="B15" t="s">
        <v>44</v>
      </c>
    </row>
    <row r="16" spans="2:12">
      <c r="B16" t="s">
        <v>45</v>
      </c>
    </row>
    <row r="18" spans="2:19">
      <c r="B18" s="5" t="s">
        <v>3</v>
      </c>
      <c r="F18" s="6"/>
      <c r="G18" s="6"/>
      <c r="H18" s="6"/>
      <c r="I18" s="6"/>
      <c r="J18" s="6"/>
      <c r="K18" s="6"/>
    </row>
    <row r="19" spans="2:19">
      <c r="B19" t="s">
        <v>4</v>
      </c>
      <c r="F19" s="6"/>
      <c r="G19" s="6"/>
      <c r="H19" s="6"/>
      <c r="I19" s="6"/>
      <c r="J19" s="6"/>
      <c r="K19" s="6"/>
    </row>
    <row r="20" spans="2:19">
      <c r="F20" s="6"/>
      <c r="G20" s="6"/>
      <c r="H20" s="6"/>
      <c r="I20" s="6"/>
      <c r="J20" s="6"/>
      <c r="K20" s="6"/>
    </row>
    <row r="21" spans="2:19">
      <c r="B21" s="5" t="s">
        <v>0</v>
      </c>
    </row>
    <row r="22" spans="2:19">
      <c r="B22" t="s">
        <v>5</v>
      </c>
    </row>
    <row r="24" spans="2:19">
      <c r="B24" s="5" t="s">
        <v>6</v>
      </c>
    </row>
    <row r="25" spans="2:19">
      <c r="B25" t="s">
        <v>7</v>
      </c>
      <c r="O25" s="17" t="s">
        <v>65</v>
      </c>
    </row>
    <row r="26" spans="2:19">
      <c r="B26" t="s">
        <v>8</v>
      </c>
      <c r="O26" t="s">
        <v>64</v>
      </c>
    </row>
    <row r="27" spans="2:19" ht="14.3" customHeight="1">
      <c r="B27" t="s">
        <v>9</v>
      </c>
      <c r="N27" s="28"/>
      <c r="O27" s="28"/>
      <c r="P27" s="28"/>
      <c r="Q27" s="28"/>
      <c r="R27" s="28"/>
      <c r="S27" s="28"/>
    </row>
    <row r="28" spans="2:19" ht="13.6" customHeight="1">
      <c r="B28" t="s">
        <v>10</v>
      </c>
      <c r="N28" s="28"/>
      <c r="O28" s="28"/>
      <c r="P28" s="28"/>
      <c r="Q28" s="28"/>
      <c r="R28" s="28"/>
      <c r="S28" s="28"/>
    </row>
    <row r="29" spans="2:19" ht="13.6" customHeight="1">
      <c r="B29" t="s">
        <v>11</v>
      </c>
      <c r="N29" s="28"/>
      <c r="O29" s="28"/>
      <c r="P29" s="28"/>
      <c r="Q29" s="28"/>
      <c r="R29" s="28"/>
      <c r="S29" s="28"/>
    </row>
    <row r="30" spans="2:19" ht="13.6" customHeight="1">
      <c r="N30" s="28"/>
      <c r="O30" s="28"/>
      <c r="P30" s="28"/>
      <c r="Q30" s="28"/>
      <c r="R30" s="28"/>
      <c r="S30" s="28"/>
    </row>
    <row r="31" spans="2:19" ht="14.3" customHeight="1">
      <c r="O31" s="8"/>
      <c r="P31" s="7"/>
      <c r="Q31" s="7"/>
      <c r="R31" s="7"/>
      <c r="S31" s="7"/>
    </row>
    <row r="32" spans="2:19" ht="13.6" customHeight="1">
      <c r="B32" s="5" t="s">
        <v>12</v>
      </c>
      <c r="N32" s="3"/>
      <c r="O32" s="7"/>
      <c r="P32" s="7"/>
      <c r="Q32" s="7"/>
      <c r="R32" s="7"/>
      <c r="S32" s="7"/>
    </row>
    <row r="33" spans="2:19" ht="13.6" customHeight="1">
      <c r="B33" t="s">
        <v>13</v>
      </c>
      <c r="O33" s="7"/>
      <c r="P33" s="7"/>
      <c r="Q33" s="7"/>
      <c r="R33" s="7"/>
      <c r="S33" s="7"/>
    </row>
    <row r="34" spans="2:19" ht="13.6" customHeight="1">
      <c r="O34" s="7"/>
      <c r="P34" s="7"/>
      <c r="Q34" s="7"/>
      <c r="R34" s="7"/>
      <c r="S34" s="7"/>
    </row>
    <row r="35" spans="2:19">
      <c r="B35" t="s">
        <v>47</v>
      </c>
    </row>
    <row r="36" spans="2:19">
      <c r="B36" t="s">
        <v>48</v>
      </c>
    </row>
    <row r="37" spans="2:19">
      <c r="M37" t="s">
        <v>14</v>
      </c>
    </row>
    <row r="38" spans="2:19">
      <c r="B38" t="s">
        <v>15</v>
      </c>
      <c r="G38" s="6"/>
      <c r="H38" s="6"/>
      <c r="I38" s="6"/>
      <c r="J38" s="6"/>
      <c r="K38" s="6"/>
    </row>
    <row r="39" spans="2:19">
      <c r="F39" s="6"/>
    </row>
    <row r="40" spans="2:19">
      <c r="B40" t="s">
        <v>60</v>
      </c>
    </row>
    <row r="42" spans="2:19" ht="13.6" customHeight="1">
      <c r="B42" t="s">
        <v>59</v>
      </c>
      <c r="J42" t="s">
        <v>16</v>
      </c>
      <c r="L42" t="s">
        <v>17</v>
      </c>
    </row>
    <row r="43" spans="2:19" ht="13.6" customHeight="1"/>
    <row r="45" spans="2:19" ht="13.6" customHeight="1">
      <c r="I45" s="30" t="s">
        <v>46</v>
      </c>
      <c r="J45" s="30"/>
      <c r="K45" s="30"/>
    </row>
    <row r="46" spans="2:19" ht="13.6" customHeight="1">
      <c r="H46" s="9"/>
      <c r="I46" s="30"/>
      <c r="J46" s="30"/>
      <c r="K46" s="30"/>
      <c r="L46" s="9"/>
    </row>
    <row r="47" spans="2:19">
      <c r="G47" s="9"/>
      <c r="H47" s="9"/>
      <c r="I47" s="30"/>
      <c r="J47" s="30"/>
      <c r="K47" s="30"/>
      <c r="L47" s="9"/>
    </row>
    <row r="48" spans="2:19">
      <c r="G48" s="9"/>
      <c r="H48" s="9"/>
      <c r="I48" s="30"/>
      <c r="J48" s="30"/>
      <c r="K48" s="30"/>
      <c r="L48" s="9"/>
    </row>
    <row r="49" spans="9:11">
      <c r="I49" s="30"/>
      <c r="J49" s="30"/>
      <c r="K49" s="30"/>
    </row>
    <row r="50" spans="9:11">
      <c r="I50" s="30"/>
      <c r="J50" s="30"/>
      <c r="K50" s="30"/>
    </row>
  </sheetData>
  <mergeCells count="3">
    <mergeCell ref="N27:S30"/>
    <mergeCell ref="L4:L6"/>
    <mergeCell ref="I45:K50"/>
  </mergeCells>
  <phoneticPr fontId="37" type="noConversion"/>
  <hyperlinks>
    <hyperlink ref="C2" r:id="rId1" xr:uid="{00000000-0004-0000-0000-000001000000}"/>
    <hyperlink ref="C8" r:id="rId2" xr:uid="{00000000-0004-0000-0000-000002000000}"/>
    <hyperlink ref="C6" r:id="rId3" xr:uid="{00000000-0004-0000-0000-000003000000}"/>
    <hyperlink ref="C4" r:id="rId4" xr:uid="{9321C830-08E0-4DB1-A473-0662552D88BE}"/>
    <hyperlink ref="C9" r:id="rId5" xr:uid="{384E997F-8167-48E9-A035-A2DF5792D36E}"/>
    <hyperlink ref="C10" r:id="rId6" xr:uid="{E9F0372D-2889-426F-BBB6-D808D6E1997D}"/>
    <hyperlink ref="C11" r:id="rId7" xr:uid="{DABB18C2-F498-4208-84ED-7F665722FBBB}"/>
  </hyperlinks>
  <pageMargins left="0.7" right="0.7" top="0.75" bottom="0.75" header="0.3" footer="0.3"/>
  <pageSetup orientation="portrait"/>
  <drawing r:id="rId8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9F9892-9489-4A3B-91D6-1F5201E13D20}">
  <dimension ref="A1:Q30"/>
  <sheetViews>
    <sheetView tabSelected="1" topLeftCell="A9" workbookViewId="0">
      <selection activeCell="A28" sqref="A28:C28"/>
    </sheetView>
  </sheetViews>
  <sheetFormatPr defaultRowHeight="12.9"/>
  <cols>
    <col min="1" max="1" width="12.25" customWidth="1"/>
    <col min="2" max="2" width="11.625" bestFit="1" customWidth="1"/>
    <col min="3" max="3" width="10.5" bestFit="1" customWidth="1"/>
    <col min="4" max="4" width="13" customWidth="1"/>
    <col min="5" max="5" width="9.5" bestFit="1" customWidth="1"/>
    <col min="6" max="7" width="10.5" bestFit="1" customWidth="1"/>
    <col min="8" max="9" width="9.5" bestFit="1" customWidth="1"/>
    <col min="10" max="11" width="10.5" bestFit="1" customWidth="1"/>
    <col min="12" max="13" width="9.125" bestFit="1" customWidth="1"/>
    <col min="14" max="15" width="9.5" bestFit="1" customWidth="1"/>
    <col min="16" max="17" width="9.125" bestFit="1" customWidth="1"/>
  </cols>
  <sheetData>
    <row r="1" spans="1:17" ht="25.85">
      <c r="A1">
        <v>2019</v>
      </c>
      <c r="B1" s="14" t="s">
        <v>70</v>
      </c>
      <c r="C1" s="18" t="s">
        <v>71</v>
      </c>
      <c r="D1" s="14" t="s">
        <v>72</v>
      </c>
      <c r="E1" s="18" t="s">
        <v>73</v>
      </c>
      <c r="F1" s="14" t="s">
        <v>74</v>
      </c>
      <c r="G1" s="18" t="s">
        <v>75</v>
      </c>
      <c r="H1" s="14" t="s">
        <v>76</v>
      </c>
      <c r="I1" s="18" t="s">
        <v>77</v>
      </c>
      <c r="J1" s="14" t="s">
        <v>78</v>
      </c>
      <c r="K1" s="18" t="s">
        <v>79</v>
      </c>
      <c r="L1" s="14" t="s">
        <v>80</v>
      </c>
      <c r="M1" s="18" t="s">
        <v>81</v>
      </c>
      <c r="N1" s="14" t="s">
        <v>82</v>
      </c>
      <c r="O1" s="18" t="s">
        <v>83</v>
      </c>
      <c r="P1" s="14" t="s">
        <v>84</v>
      </c>
      <c r="Q1" s="18" t="s">
        <v>85</v>
      </c>
    </row>
    <row r="2" spans="1:17">
      <c r="A2" t="s">
        <v>86</v>
      </c>
      <c r="B2" s="13">
        <v>1849624.4879981384</v>
      </c>
      <c r="C2" s="19">
        <v>252202.2260543342</v>
      </c>
      <c r="D2" s="13">
        <v>37143.237186500715</v>
      </c>
      <c r="E2" s="19">
        <v>12686.579375605608</v>
      </c>
      <c r="F2" s="13">
        <v>438244.30732902896</v>
      </c>
      <c r="G2" s="19">
        <v>101792.34308760613</v>
      </c>
      <c r="H2" s="13">
        <v>81082.727127729158</v>
      </c>
      <c r="I2" s="19">
        <v>45907.413598834231</v>
      </c>
      <c r="J2" s="13">
        <v>432005.81981867674</v>
      </c>
      <c r="K2" s="19">
        <v>252409.47100517977</v>
      </c>
      <c r="L2" s="13">
        <v>0</v>
      </c>
      <c r="M2" s="19">
        <v>0</v>
      </c>
      <c r="N2" s="13">
        <v>17170.509876207107</v>
      </c>
      <c r="O2" s="19">
        <v>15441.34302992158</v>
      </c>
      <c r="P2" s="13">
        <v>3009.8343630489308</v>
      </c>
      <c r="Q2" s="19">
        <v>214.68451318357486</v>
      </c>
    </row>
    <row r="3" spans="1:17">
      <c r="A3" t="s">
        <v>87</v>
      </c>
      <c r="B3" s="13">
        <v>215027955.77954271</v>
      </c>
      <c r="C3" s="19">
        <v>21292753.300209127</v>
      </c>
      <c r="D3" s="13">
        <v>2160864.4227178507</v>
      </c>
      <c r="E3" s="19">
        <v>155130.81666752725</v>
      </c>
      <c r="F3" s="13">
        <v>334141.89022303506</v>
      </c>
      <c r="G3" s="19">
        <v>11971.318596533596</v>
      </c>
      <c r="H3" s="13">
        <v>1038136.0203040794</v>
      </c>
      <c r="I3" s="19">
        <v>567728.94393548486</v>
      </c>
      <c r="J3" s="13">
        <v>994327.85989400966</v>
      </c>
      <c r="K3" s="19">
        <v>403462.34471683868</v>
      </c>
      <c r="L3" s="13">
        <v>0</v>
      </c>
      <c r="M3" s="19">
        <v>0</v>
      </c>
      <c r="N3" s="13">
        <v>257.26006564958482</v>
      </c>
      <c r="O3" s="19">
        <v>0</v>
      </c>
      <c r="P3" s="13">
        <v>534.30936711836864</v>
      </c>
      <c r="Q3" s="19">
        <v>0</v>
      </c>
    </row>
    <row r="4" spans="1:17">
      <c r="A4" t="s">
        <v>88</v>
      </c>
      <c r="B4" s="13">
        <v>674.87458352262399</v>
      </c>
      <c r="C4" s="19">
        <v>315.65000205703831</v>
      </c>
      <c r="D4" s="13">
        <v>600.47896014217724</v>
      </c>
      <c r="E4" s="19">
        <v>5.3139730986033378</v>
      </c>
      <c r="F4" s="13">
        <v>365.60134918390975</v>
      </c>
      <c r="G4" s="19">
        <v>179.61229073279281</v>
      </c>
      <c r="H4" s="13">
        <v>0</v>
      </c>
      <c r="I4" s="19">
        <v>0</v>
      </c>
      <c r="J4" s="13">
        <v>60.579293324078058</v>
      </c>
      <c r="K4" s="19">
        <v>46.762963267709374</v>
      </c>
      <c r="L4" s="13">
        <v>0</v>
      </c>
      <c r="M4" s="19">
        <v>0</v>
      </c>
      <c r="N4" s="13">
        <v>0</v>
      </c>
      <c r="O4" s="19">
        <v>0</v>
      </c>
      <c r="P4" s="13">
        <v>0</v>
      </c>
      <c r="Q4" s="19">
        <v>0</v>
      </c>
    </row>
    <row r="5" spans="1:17">
      <c r="A5" t="s">
        <v>89</v>
      </c>
      <c r="B5" s="13">
        <v>5348.972563276594</v>
      </c>
      <c r="C5" s="19">
        <v>159.1577173076825</v>
      </c>
      <c r="D5" s="13">
        <v>24952.351769303768</v>
      </c>
      <c r="E5" s="19">
        <v>951.65338555697065</v>
      </c>
      <c r="F5" s="13">
        <v>6649.6752874807589</v>
      </c>
      <c r="G5" s="19">
        <v>60.370168633948545</v>
      </c>
      <c r="H5" s="13">
        <v>0</v>
      </c>
      <c r="I5" s="19">
        <v>0</v>
      </c>
      <c r="J5" s="13">
        <v>1280.9452144694174</v>
      </c>
      <c r="K5" s="19">
        <v>1212.8915698275118</v>
      </c>
      <c r="L5" s="13">
        <v>0</v>
      </c>
      <c r="M5" s="19">
        <v>0</v>
      </c>
      <c r="N5" s="13">
        <v>0</v>
      </c>
      <c r="O5" s="19">
        <v>0</v>
      </c>
      <c r="P5" s="13">
        <v>0</v>
      </c>
      <c r="Q5" s="19">
        <v>0</v>
      </c>
    </row>
    <row r="6" spans="1:17">
      <c r="A6" t="s">
        <v>90</v>
      </c>
      <c r="B6" s="13">
        <v>11756.38396171659</v>
      </c>
      <c r="C6" s="19">
        <v>2.5787396836160377</v>
      </c>
      <c r="D6" s="13">
        <v>221475.25113283962</v>
      </c>
      <c r="E6" s="19">
        <v>1304.8422799097152</v>
      </c>
      <c r="F6" s="13">
        <v>242415.36519831017</v>
      </c>
      <c r="G6" s="19">
        <v>1402.8343878871244</v>
      </c>
      <c r="H6" s="13">
        <v>13266.326302362706</v>
      </c>
      <c r="I6" s="19">
        <v>5540.4222102490567</v>
      </c>
      <c r="J6" s="13">
        <v>187474.37499888588</v>
      </c>
      <c r="K6" s="19">
        <v>86426.46049639149</v>
      </c>
      <c r="L6" s="13">
        <v>1347.3914846893797</v>
      </c>
      <c r="M6" s="19">
        <v>954.13368293793394</v>
      </c>
      <c r="N6" s="13">
        <v>0</v>
      </c>
      <c r="O6" s="19">
        <v>0</v>
      </c>
      <c r="P6" s="13">
        <v>0</v>
      </c>
      <c r="Q6" s="19">
        <v>0</v>
      </c>
    </row>
    <row r="7" spans="1:17">
      <c r="A7" t="s">
        <v>91</v>
      </c>
      <c r="B7" s="13">
        <v>262101.48871328257</v>
      </c>
      <c r="C7" s="19">
        <v>11798.526229932957</v>
      </c>
      <c r="D7" s="13">
        <v>407170.21610996046</v>
      </c>
      <c r="E7" s="19">
        <v>28998.536093459767</v>
      </c>
      <c r="F7" s="13">
        <v>6223.9972815333149</v>
      </c>
      <c r="G7" s="19">
        <v>93.299351525193202</v>
      </c>
      <c r="H7" s="13">
        <v>0</v>
      </c>
      <c r="I7" s="19">
        <v>0</v>
      </c>
      <c r="J7" s="13">
        <v>246.67250903831379</v>
      </c>
      <c r="K7" s="19">
        <v>248.06651111404307</v>
      </c>
      <c r="L7" s="13">
        <v>0</v>
      </c>
      <c r="M7" s="19">
        <v>0</v>
      </c>
      <c r="N7" s="13">
        <v>0</v>
      </c>
      <c r="O7" s="19">
        <v>0</v>
      </c>
      <c r="P7" s="13">
        <v>0</v>
      </c>
      <c r="Q7" s="19">
        <v>0</v>
      </c>
    </row>
    <row r="8" spans="1:17">
      <c r="A8" t="s">
        <v>92</v>
      </c>
      <c r="B8" s="13">
        <v>75554.380396783235</v>
      </c>
      <c r="C8" s="19">
        <v>5684.8316325315554</v>
      </c>
      <c r="D8" s="13">
        <v>758715.48977083596</v>
      </c>
      <c r="E8" s="19">
        <v>53795.088539914148</v>
      </c>
      <c r="F8" s="13">
        <v>70979.911136000985</v>
      </c>
      <c r="G8" s="19">
        <v>1101.1218449040482</v>
      </c>
      <c r="H8" s="13">
        <v>114.8828529050945</v>
      </c>
      <c r="I8" s="19">
        <v>5.1574793672320753</v>
      </c>
      <c r="J8" s="13">
        <v>12688.172865295992</v>
      </c>
      <c r="K8" s="19">
        <v>5005.3337258987294</v>
      </c>
      <c r="L8" s="13">
        <v>725.03844944548507</v>
      </c>
      <c r="M8" s="19">
        <v>562.16525102829621</v>
      </c>
      <c r="N8" s="13">
        <v>6.3823807169496929</v>
      </c>
      <c r="O8" s="19">
        <v>0</v>
      </c>
      <c r="P8" s="13">
        <v>0</v>
      </c>
      <c r="Q8" s="19">
        <v>0</v>
      </c>
    </row>
    <row r="9" spans="1:17">
      <c r="A9" t="s">
        <v>93</v>
      </c>
      <c r="B9" s="13">
        <v>7715647.1048477273</v>
      </c>
      <c r="C9" s="19">
        <v>1163639.2761537712</v>
      </c>
      <c r="D9" s="13">
        <v>11001245.171946557</v>
      </c>
      <c r="E9" s="19">
        <v>1127332.5174063188</v>
      </c>
      <c r="F9" s="13">
        <v>146358.69042895696</v>
      </c>
      <c r="G9" s="19">
        <v>35151.051968430264</v>
      </c>
      <c r="H9" s="13">
        <v>106.03797138383194</v>
      </c>
      <c r="I9" s="19">
        <v>104.96688076379323</v>
      </c>
      <c r="J9" s="13">
        <v>62983.341730136061</v>
      </c>
      <c r="K9" s="19">
        <v>19423.157303781903</v>
      </c>
      <c r="L9" s="13">
        <v>0</v>
      </c>
      <c r="M9" s="19">
        <v>0</v>
      </c>
      <c r="N9" s="13">
        <v>0</v>
      </c>
      <c r="O9" s="19">
        <v>0</v>
      </c>
      <c r="P9" s="13">
        <v>0</v>
      </c>
      <c r="Q9" s="19">
        <v>0</v>
      </c>
    </row>
    <row r="10" spans="1:17">
      <c r="A10" t="s">
        <v>94</v>
      </c>
      <c r="B10" s="13">
        <v>9030.7627098073899</v>
      </c>
      <c r="C10" s="19">
        <v>29.654263802499546</v>
      </c>
      <c r="D10" s="13">
        <v>1098475.4350233979</v>
      </c>
      <c r="E10" s="19">
        <v>83252.36867459731</v>
      </c>
      <c r="F10" s="13">
        <v>1575.6990766550152</v>
      </c>
      <c r="G10" s="19">
        <v>215.48765029816337</v>
      </c>
      <c r="H10" s="13">
        <v>0</v>
      </c>
      <c r="I10" s="19">
        <v>0</v>
      </c>
      <c r="J10" s="13">
        <v>1871.1840459377215</v>
      </c>
      <c r="K10" s="19">
        <v>887.65096315481969</v>
      </c>
      <c r="L10" s="13">
        <v>2390.1336624814635</v>
      </c>
      <c r="M10" s="19">
        <v>1990.7895766078029</v>
      </c>
      <c r="N10" s="13">
        <v>0</v>
      </c>
      <c r="O10" s="19">
        <v>0</v>
      </c>
      <c r="P10" s="13">
        <v>0</v>
      </c>
      <c r="Q10" s="19">
        <v>0</v>
      </c>
    </row>
    <row r="11" spans="1:17">
      <c r="A11" t="s">
        <v>95</v>
      </c>
      <c r="B11" s="13">
        <v>34095.052238180331</v>
      </c>
      <c r="C11" s="19">
        <v>0</v>
      </c>
      <c r="D11" s="13">
        <v>7037095.2327644899</v>
      </c>
      <c r="E11" s="19">
        <v>1211734.8571893964</v>
      </c>
      <c r="F11" s="13">
        <v>311949.39093249157</v>
      </c>
      <c r="G11" s="19">
        <v>132946.23824651662</v>
      </c>
      <c r="H11" s="13">
        <v>2.2237179455635459</v>
      </c>
      <c r="I11" s="19">
        <v>0</v>
      </c>
      <c r="J11" s="13">
        <v>6356.4977473933941</v>
      </c>
      <c r="K11" s="19">
        <v>5804.5915857390719</v>
      </c>
      <c r="L11" s="13">
        <v>0</v>
      </c>
      <c r="M11" s="19">
        <v>0</v>
      </c>
      <c r="N11" s="13">
        <v>14.454166646163049</v>
      </c>
      <c r="O11" s="19">
        <v>0</v>
      </c>
      <c r="P11" s="13">
        <v>0</v>
      </c>
      <c r="Q11" s="19">
        <v>0</v>
      </c>
    </row>
    <row r="12" spans="1:17"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</row>
    <row r="13" spans="1:17"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</row>
    <row r="14" spans="1:17"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</row>
    <row r="15" spans="1:17"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</row>
    <row r="16" spans="1:17">
      <c r="A16" s="24" t="s">
        <v>62</v>
      </c>
      <c r="B16" s="25"/>
      <c r="C16" s="25"/>
      <c r="D16" s="25"/>
      <c r="G16" s="13" t="s">
        <v>99</v>
      </c>
      <c r="H16" s="13"/>
      <c r="I16" s="13"/>
      <c r="J16" s="13"/>
      <c r="K16" s="13"/>
      <c r="L16" s="13"/>
      <c r="M16" s="13"/>
      <c r="N16" s="13"/>
      <c r="O16" s="13"/>
      <c r="P16" s="13"/>
      <c r="Q16" s="13"/>
    </row>
    <row r="17" spans="1:11">
      <c r="A17" s="32" t="s">
        <v>37</v>
      </c>
      <c r="B17" s="32"/>
      <c r="C17" s="33" t="s">
        <v>34</v>
      </c>
      <c r="D17" s="33"/>
      <c r="E17" s="33" t="s">
        <v>35</v>
      </c>
      <c r="F17" s="33"/>
    </row>
    <row r="18" spans="1:11">
      <c r="A18" s="33">
        <f>A20+B20</f>
        <v>21700</v>
      </c>
      <c r="B18" s="33"/>
      <c r="C18" s="33">
        <v>76000</v>
      </c>
      <c r="D18" s="33"/>
      <c r="E18" s="33">
        <v>878000</v>
      </c>
      <c r="F18" s="33"/>
    </row>
    <row r="19" spans="1:11">
      <c r="A19" s="26" t="s">
        <v>38</v>
      </c>
      <c r="B19" s="26" t="s">
        <v>39</v>
      </c>
      <c r="C19" s="26" t="s">
        <v>38</v>
      </c>
      <c r="D19" s="26" t="s">
        <v>39</v>
      </c>
      <c r="E19" s="26" t="s">
        <v>38</v>
      </c>
      <c r="F19" s="26" t="s">
        <v>39</v>
      </c>
    </row>
    <row r="20" spans="1:11">
      <c r="A20" s="26">
        <v>8000</v>
      </c>
      <c r="B20" s="26">
        <v>13700</v>
      </c>
      <c r="C20" s="26">
        <f>C18*($A$20/$A$18)</f>
        <v>28018.433179723503</v>
      </c>
      <c r="D20" s="26">
        <f>C18-C20</f>
        <v>47981.566820276494</v>
      </c>
      <c r="E20" s="26">
        <f>E18*($A$20/$A$18)</f>
        <v>323686.63594470045</v>
      </c>
      <c r="F20" s="26">
        <f>E18-E20</f>
        <v>554313.36405529955</v>
      </c>
    </row>
    <row r="21" spans="1:11">
      <c r="C21" s="27">
        <f>A20*$C$18/($C$18+$E$18)+C18*0.06</f>
        <v>5197.3165618448638</v>
      </c>
      <c r="D21" s="27">
        <f>B20*$C$18/($C$18+$E$18)+C18*0.94</f>
        <v>72531.404612159327</v>
      </c>
      <c r="E21" s="27">
        <f>A20*$E$18/($C$18+$E$18)+E18*0.14</f>
        <v>130282.68343815515</v>
      </c>
      <c r="F21" s="27">
        <f>B20*$E$18/($C$18+$E$18)+E18*0.86</f>
        <v>767688.59538784064</v>
      </c>
    </row>
    <row r="22" spans="1:11">
      <c r="D22">
        <f>D21/C21</f>
        <v>13.955548743102391</v>
      </c>
      <c r="F22">
        <f>F21/E21</f>
        <v>5.8924837524724492</v>
      </c>
    </row>
    <row r="23" spans="1:11">
      <c r="A23" s="24" t="s">
        <v>61</v>
      </c>
      <c r="G23" t="s">
        <v>108</v>
      </c>
    </row>
    <row r="24" spans="1:11">
      <c r="A24" t="s">
        <v>100</v>
      </c>
      <c r="B24">
        <v>477</v>
      </c>
    </row>
    <row r="25" spans="1:11">
      <c r="A25" t="s">
        <v>101</v>
      </c>
      <c r="B25" t="s">
        <v>103</v>
      </c>
      <c r="C25" t="s">
        <v>104</v>
      </c>
      <c r="D25" t="s">
        <v>105</v>
      </c>
      <c r="E25" t="s">
        <v>102</v>
      </c>
    </row>
    <row r="26" spans="1:11">
      <c r="A26">
        <f>SUM(B26:D26)</f>
        <v>131528</v>
      </c>
      <c r="B26">
        <f>11.95*10000</f>
        <v>119500</v>
      </c>
      <c r="C26">
        <v>10364</v>
      </c>
      <c r="D26">
        <v>1664</v>
      </c>
      <c r="E26">
        <v>224</v>
      </c>
    </row>
    <row r="27" spans="1:11">
      <c r="A27" s="31" t="s">
        <v>42</v>
      </c>
      <c r="B27" s="31"/>
      <c r="C27" s="31"/>
      <c r="D27" s="31" t="s">
        <v>43</v>
      </c>
      <c r="E27" s="31"/>
      <c r="F27" s="31"/>
    </row>
    <row r="28" spans="1:11">
      <c r="A28" s="31">
        <v>5853</v>
      </c>
      <c r="B28" s="31"/>
      <c r="C28" s="31"/>
      <c r="D28" s="31">
        <f>A26-A28</f>
        <v>125675</v>
      </c>
      <c r="E28" s="31"/>
      <c r="F28" s="31"/>
    </row>
    <row r="29" spans="1:11">
      <c r="A29" s="25" t="s">
        <v>39</v>
      </c>
      <c r="B29" s="25" t="s">
        <v>40</v>
      </c>
      <c r="C29" s="25" t="s">
        <v>41</v>
      </c>
      <c r="D29" s="25" t="s">
        <v>39</v>
      </c>
      <c r="E29" s="25" t="s">
        <v>40</v>
      </c>
      <c r="F29" s="25" t="s">
        <v>41</v>
      </c>
      <c r="K29">
        <f>11.95*10000+10364+1664-A28</f>
        <v>125675</v>
      </c>
    </row>
    <row r="30" spans="1:11">
      <c r="A30" s="25">
        <v>250</v>
      </c>
      <c r="B30" s="25">
        <v>1</v>
      </c>
      <c r="C30" s="25">
        <f>A28-A30-B30</f>
        <v>5602</v>
      </c>
      <c r="D30" s="25">
        <f>B24-A30</f>
        <v>227</v>
      </c>
      <c r="E30" s="25">
        <v>399</v>
      </c>
      <c r="F30" s="25">
        <f>D28-D30-E30</f>
        <v>125049</v>
      </c>
    </row>
  </sheetData>
  <mergeCells count="10">
    <mergeCell ref="A27:C27"/>
    <mergeCell ref="D27:F27"/>
    <mergeCell ref="A28:C28"/>
    <mergeCell ref="D28:F28"/>
    <mergeCell ref="A17:B17"/>
    <mergeCell ref="C17:D17"/>
    <mergeCell ref="E17:F17"/>
    <mergeCell ref="A18:B18"/>
    <mergeCell ref="C18:D18"/>
    <mergeCell ref="E18:F18"/>
  </mergeCells>
  <phoneticPr fontId="37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9"/>
  <sheetViews>
    <sheetView topLeftCell="A2" workbookViewId="0">
      <selection activeCell="B17" sqref="B17"/>
    </sheetView>
  </sheetViews>
  <sheetFormatPr defaultRowHeight="12.9"/>
  <cols>
    <col min="1" max="1" width="20.5" bestFit="1" customWidth="1"/>
    <col min="2" max="2" width="27.125" bestFit="1" customWidth="1"/>
    <col min="3" max="3" width="21.5" bestFit="1" customWidth="1"/>
    <col min="4" max="4" width="18.375" bestFit="1" customWidth="1"/>
    <col min="5" max="5" width="16.125" bestFit="1" customWidth="1"/>
    <col min="6" max="6" width="23.75" bestFit="1" customWidth="1"/>
    <col min="7" max="7" width="12.75" bestFit="1" customWidth="1"/>
    <col min="8" max="8" width="18.375" bestFit="1" customWidth="1"/>
    <col min="10" max="10" width="10.5" bestFit="1" customWidth="1"/>
    <col min="12" max="12" width="12.75" bestFit="1" customWidth="1"/>
  </cols>
  <sheetData>
    <row r="1" spans="1:10">
      <c r="A1" t="s">
        <v>33</v>
      </c>
    </row>
    <row r="2" spans="1:10">
      <c r="A2" t="s">
        <v>29</v>
      </c>
      <c r="B2" t="s">
        <v>18</v>
      </c>
      <c r="C2" t="s">
        <v>19</v>
      </c>
      <c r="D2" t="s">
        <v>20</v>
      </c>
      <c r="E2" t="s">
        <v>21</v>
      </c>
      <c r="F2" t="s">
        <v>22</v>
      </c>
      <c r="G2" t="s">
        <v>30</v>
      </c>
      <c r="H2" t="s">
        <v>31</v>
      </c>
      <c r="J2" t="s">
        <v>97</v>
      </c>
    </row>
    <row r="3" spans="1:10">
      <c r="A3" t="s">
        <v>23</v>
      </c>
      <c r="B3" s="22">
        <f>SUM(销量数据库上险数据!J2:J4)</f>
        <v>1426394.2590060106</v>
      </c>
      <c r="C3" s="22">
        <f>SUM(销量数据库上险数据!F2:F4)</f>
        <v>772751.79890124791</v>
      </c>
      <c r="D3" s="22">
        <f>SUM(销量数据库上险数据!B2:B4)</f>
        <v>216878255.14212435</v>
      </c>
      <c r="E3" s="22">
        <f>SUM(销量数据库上险数据!D2:D4)</f>
        <v>2198608.1388644935</v>
      </c>
      <c r="F3" s="22">
        <f>SUM(销量数据库上险数据!H2:H4)</f>
        <v>1119218.7474318086</v>
      </c>
      <c r="G3" s="22">
        <f>SUM(销量数据库上险数据!P2:P4)+SUM(销量数据库上险数据!N2:N4)</f>
        <v>20971.913672023991</v>
      </c>
      <c r="H3" s="22">
        <f>SUM(销量数据库上险数据!L2:L4)</f>
        <v>0</v>
      </c>
      <c r="J3" t="s">
        <v>96</v>
      </c>
    </row>
    <row r="4" spans="1:10">
      <c r="A4" t="s">
        <v>24</v>
      </c>
      <c r="B4" s="22">
        <f>SUM(销量数据库上险数据!J5:J8)</f>
        <v>201690.16558768961</v>
      </c>
      <c r="C4" s="22">
        <f>SUM(销量数据库上险数据!F5:F8)</f>
        <v>326268.94890332525</v>
      </c>
      <c r="D4" s="22">
        <f>SUM(销量数据库上险数据!B5:B8)</f>
        <v>354761.225635059</v>
      </c>
      <c r="E4" s="22">
        <f>SUM(销量数据库上险数据!D5:D8)</f>
        <v>1412313.3087829398</v>
      </c>
      <c r="F4" s="22">
        <f>SUM(销量数据库上险数据!H5:H8)</f>
        <v>13381.209155267801</v>
      </c>
      <c r="G4" s="22">
        <f>SUM(销量数据库上险数据!P5:P8)+SUM(销量数据库上险数据!N5:N8)</f>
        <v>6.3823807169496929</v>
      </c>
      <c r="H4" s="22">
        <f>SUM(销量数据库上险数据!L5:L8)</f>
        <v>2072.4299341348647</v>
      </c>
      <c r="J4" t="s">
        <v>96</v>
      </c>
    </row>
    <row r="5" spans="1:10">
      <c r="A5" t="s">
        <v>25</v>
      </c>
      <c r="B5" s="21">
        <v>0</v>
      </c>
      <c r="C5" s="21">
        <v>0</v>
      </c>
      <c r="D5" s="21">
        <v>0</v>
      </c>
      <c r="E5" s="21">
        <v>3645</v>
      </c>
      <c r="F5" s="21">
        <v>0</v>
      </c>
      <c r="G5" s="21">
        <v>0</v>
      </c>
      <c r="H5" s="21">
        <v>0</v>
      </c>
      <c r="J5" t="s">
        <v>98</v>
      </c>
    </row>
    <row r="6" spans="1:10">
      <c r="A6" t="s">
        <v>26</v>
      </c>
      <c r="B6" s="22">
        <f>销量数据库上险数据!D21</f>
        <v>72531.404612159327</v>
      </c>
      <c r="C6" s="21">
        <v>0</v>
      </c>
      <c r="D6" s="21">
        <v>0</v>
      </c>
      <c r="E6" s="22">
        <f>销量数据库上险数据!C21</f>
        <v>5197.3165618448638</v>
      </c>
      <c r="F6" s="21">
        <v>0</v>
      </c>
      <c r="G6" s="21">
        <v>0</v>
      </c>
      <c r="H6" s="21">
        <v>0</v>
      </c>
    </row>
    <row r="7" spans="1:10">
      <c r="A7" t="s">
        <v>27</v>
      </c>
      <c r="B7" s="21">
        <f>销量数据库上险数据!A30</f>
        <v>250</v>
      </c>
      <c r="C7" s="21">
        <f>销量数据库上险数据!B30</f>
        <v>1</v>
      </c>
      <c r="D7" s="21">
        <v>0</v>
      </c>
      <c r="E7" s="21">
        <f>销量数据库上险数据!C30</f>
        <v>5602</v>
      </c>
      <c r="F7" s="21">
        <v>0</v>
      </c>
      <c r="G7" s="21">
        <v>0</v>
      </c>
      <c r="H7" s="21">
        <v>0</v>
      </c>
    </row>
    <row r="8" spans="1:10">
      <c r="A8" t="s">
        <v>28</v>
      </c>
      <c r="B8" s="21">
        <v>0</v>
      </c>
      <c r="C8" s="21">
        <v>0</v>
      </c>
      <c r="D8" s="21">
        <v>68890000</v>
      </c>
      <c r="E8" s="21">
        <v>0</v>
      </c>
      <c r="F8" s="21">
        <v>0</v>
      </c>
      <c r="G8" s="21">
        <v>0</v>
      </c>
      <c r="H8" s="21">
        <v>0</v>
      </c>
    </row>
    <row r="9" spans="1:10">
      <c r="B9" s="21"/>
      <c r="C9" s="21"/>
      <c r="D9" s="21"/>
      <c r="E9" s="21"/>
      <c r="F9" s="21"/>
      <c r="G9" s="21"/>
      <c r="H9" s="21"/>
    </row>
    <row r="10" spans="1:10">
      <c r="B10" s="21"/>
      <c r="C10" s="21"/>
      <c r="D10" s="21"/>
      <c r="E10" s="21"/>
      <c r="F10" s="21"/>
      <c r="G10" s="21"/>
      <c r="H10" s="21"/>
    </row>
    <row r="11" spans="1:10">
      <c r="A11" t="s">
        <v>32</v>
      </c>
      <c r="B11" s="21"/>
      <c r="C11" s="21"/>
      <c r="D11" s="21"/>
      <c r="E11" s="21"/>
      <c r="F11" s="21"/>
      <c r="G11" s="21"/>
      <c r="H11" s="21"/>
    </row>
    <row r="12" spans="1:10">
      <c r="A12" t="s">
        <v>29</v>
      </c>
      <c r="B12" s="21" t="s">
        <v>18</v>
      </c>
      <c r="C12" s="21" t="s">
        <v>19</v>
      </c>
      <c r="D12" s="21" t="s">
        <v>20</v>
      </c>
      <c r="E12" s="21" t="s">
        <v>21</v>
      </c>
      <c r="F12" s="21" t="s">
        <v>22</v>
      </c>
      <c r="G12" s="21" t="s">
        <v>30</v>
      </c>
      <c r="H12" s="21" t="s">
        <v>31</v>
      </c>
    </row>
    <row r="13" spans="1:10">
      <c r="A13" t="s">
        <v>23</v>
      </c>
      <c r="B13" s="22">
        <f>销量数据库上险数据!J9</f>
        <v>62983.341730136061</v>
      </c>
      <c r="C13" s="22">
        <f>销量数据库上险数据!F9</f>
        <v>146358.69042895696</v>
      </c>
      <c r="D13" s="22">
        <f>销量数据库上险数据!B9</f>
        <v>7715647.1048477273</v>
      </c>
      <c r="E13" s="22">
        <f>销量数据库上险数据!D9</f>
        <v>11001245.171946557</v>
      </c>
      <c r="F13" s="22">
        <f>销量数据库上险数据!H9</f>
        <v>106.03797138383194</v>
      </c>
      <c r="G13" s="22">
        <f>销量数据库上险数据!P9+销量数据库上险数据!N9</f>
        <v>0</v>
      </c>
      <c r="H13" s="22">
        <f>销量数据库上险数据!L9</f>
        <v>0</v>
      </c>
      <c r="I13" s="22"/>
      <c r="J13" t="s">
        <v>96</v>
      </c>
    </row>
    <row r="14" spans="1:10">
      <c r="A14" t="s">
        <v>24</v>
      </c>
      <c r="B14" s="22">
        <f>SUM(销量数据库上险数据!J10:J11)</f>
        <v>8227.6817933311158</v>
      </c>
      <c r="C14" s="22">
        <f>SUM(销量数据库上险数据!F10:F11)</f>
        <v>313525.0900091466</v>
      </c>
      <c r="D14" s="22">
        <f>SUM(销量数据库上险数据!B10:B11)</f>
        <v>43125.814947987717</v>
      </c>
      <c r="E14" s="22">
        <f>SUM(销量数据库上险数据!D10:D11)</f>
        <v>8135570.6677878881</v>
      </c>
      <c r="F14" s="22">
        <f>SUM(销量数据库上险数据!H10:H11)</f>
        <v>2.2237179455635459</v>
      </c>
      <c r="G14" s="22">
        <f>SUM(销量数据库上险数据!P10:P11)+SUM(销量数据库上险数据!N10:N11)</f>
        <v>14.454166646163049</v>
      </c>
      <c r="H14" s="22">
        <f>SUM(销量数据库上险数据!L10:L11)</f>
        <v>2390.1336624814635</v>
      </c>
      <c r="I14" s="22"/>
      <c r="J14" t="s">
        <v>96</v>
      </c>
    </row>
    <row r="15" spans="1:10">
      <c r="A15" t="s">
        <v>25</v>
      </c>
      <c r="B15" s="21">
        <v>0</v>
      </c>
      <c r="C15" s="21">
        <v>0</v>
      </c>
      <c r="D15" s="21">
        <v>0</v>
      </c>
      <c r="E15" s="21">
        <v>173</v>
      </c>
      <c r="F15" s="21">
        <v>0</v>
      </c>
      <c r="G15" s="21">
        <v>0</v>
      </c>
      <c r="H15" s="21">
        <v>0</v>
      </c>
      <c r="J15" t="s">
        <v>98</v>
      </c>
    </row>
    <row r="16" spans="1:10">
      <c r="A16" t="s">
        <v>26</v>
      </c>
      <c r="B16" s="22">
        <f>销量数据库上险数据!F21</f>
        <v>767688.59538784064</v>
      </c>
      <c r="C16" s="21">
        <v>0</v>
      </c>
      <c r="D16" s="21">
        <v>0</v>
      </c>
      <c r="E16" s="22">
        <f>销量数据库上险数据!E21</f>
        <v>130282.68343815515</v>
      </c>
      <c r="F16" s="21">
        <v>0</v>
      </c>
      <c r="G16" s="21">
        <v>0</v>
      </c>
      <c r="H16" s="21">
        <v>0</v>
      </c>
      <c r="J16" t="s">
        <v>107</v>
      </c>
    </row>
    <row r="17" spans="1:10">
      <c r="A17" t="s">
        <v>27</v>
      </c>
      <c r="B17" s="21">
        <f>销量数据库上险数据!D30</f>
        <v>227</v>
      </c>
      <c r="C17" s="21">
        <f>销量数据库上险数据!E30</f>
        <v>399</v>
      </c>
      <c r="D17" s="21">
        <v>0</v>
      </c>
      <c r="E17" s="21">
        <f>销量数据库上险数据!F30</f>
        <v>125049</v>
      </c>
      <c r="F17" s="21">
        <v>0</v>
      </c>
      <c r="G17" s="21">
        <v>0</v>
      </c>
      <c r="H17" s="21">
        <v>0</v>
      </c>
      <c r="J17" t="s">
        <v>106</v>
      </c>
    </row>
    <row r="18" spans="1:10">
      <c r="A18" t="s">
        <v>28</v>
      </c>
      <c r="B18" s="21">
        <v>0</v>
      </c>
      <c r="C18" s="21">
        <v>0</v>
      </c>
      <c r="D18" s="21">
        <v>0</v>
      </c>
      <c r="E18" s="21">
        <v>0</v>
      </c>
      <c r="F18" s="21">
        <v>0</v>
      </c>
      <c r="G18" s="21">
        <v>0</v>
      </c>
      <c r="H18" s="21">
        <v>0</v>
      </c>
    </row>
    <row r="19" spans="1:10">
      <c r="B19" s="21"/>
      <c r="C19" s="21"/>
      <c r="D19" s="21"/>
      <c r="E19" s="21"/>
      <c r="F19" s="21"/>
      <c r="G19" s="21"/>
      <c r="H19" s="21"/>
    </row>
  </sheetData>
  <phoneticPr fontId="37" type="noConversion"/>
  <pageMargins left="0.7" right="0.7" top="0.75" bottom="0.75" header="0.3" footer="0.3"/>
  <pageSetup paperSize="9" orientation="portrait" horizontalDpi="360" verticalDpi="36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/>
  </sheetPr>
  <dimension ref="A1:H7"/>
  <sheetViews>
    <sheetView workbookViewId="0">
      <selection activeCell="A6" sqref="A6:XFD6"/>
    </sheetView>
  </sheetViews>
  <sheetFormatPr defaultColWidth="8.875" defaultRowHeight="12.9"/>
  <cols>
    <col min="1" max="1" width="16.875" style="2" customWidth="1"/>
    <col min="2" max="2" width="34.125" style="2" bestFit="1" customWidth="1"/>
    <col min="3" max="3" width="27.25" style="2" bestFit="1" customWidth="1"/>
    <col min="4" max="4" width="23" style="2" bestFit="1" customWidth="1"/>
    <col min="5" max="5" width="20.25" style="2" customWidth="1"/>
    <col min="6" max="6" width="30" style="2" bestFit="1" customWidth="1"/>
    <col min="7" max="7" width="16.125" style="2" bestFit="1" customWidth="1"/>
    <col min="8" max="8" width="23" style="2" bestFit="1" customWidth="1"/>
    <col min="9" max="9" width="15" style="2" bestFit="1" customWidth="1"/>
    <col min="10" max="16384" width="8.875" style="2"/>
  </cols>
  <sheetData>
    <row r="1" spans="1:8" s="4" customFormat="1" ht="25.85">
      <c r="A1" s="1" t="s">
        <v>29</v>
      </c>
      <c r="B1" s="12" t="s">
        <v>18</v>
      </c>
      <c r="C1" s="12" t="s">
        <v>19</v>
      </c>
      <c r="D1" s="12" t="s">
        <v>20</v>
      </c>
      <c r="E1" s="12" t="s">
        <v>21</v>
      </c>
      <c r="F1" s="12" t="s">
        <v>22</v>
      </c>
      <c r="G1" s="12" t="s">
        <v>30</v>
      </c>
      <c r="H1" s="12" t="s">
        <v>31</v>
      </c>
    </row>
    <row r="2" spans="1:8" s="20" customFormat="1">
      <c r="A2" s="23" t="s">
        <v>23</v>
      </c>
      <c r="B2" s="13">
        <f>table!B3</f>
        <v>1426394.2590060106</v>
      </c>
      <c r="C2" s="13">
        <f>table!C3</f>
        <v>772751.79890124791</v>
      </c>
      <c r="D2" s="13">
        <f>table!D3</f>
        <v>216878255.14212435</v>
      </c>
      <c r="E2" s="13">
        <f>table!E3</f>
        <v>2198608.1388644935</v>
      </c>
      <c r="F2" s="13">
        <f>table!F3</f>
        <v>1119218.7474318086</v>
      </c>
      <c r="G2" s="13">
        <f>table!G3</f>
        <v>20971.913672023991</v>
      </c>
      <c r="H2" s="13">
        <f>table!H3</f>
        <v>0</v>
      </c>
    </row>
    <row r="3" spans="1:8" s="20" customFormat="1">
      <c r="A3" s="23" t="s">
        <v>24</v>
      </c>
      <c r="B3" s="13">
        <f>table!B4</f>
        <v>201690.16558768961</v>
      </c>
      <c r="C3" s="13">
        <f>table!C4</f>
        <v>326268.94890332525</v>
      </c>
      <c r="D3" s="13">
        <f>table!D4</f>
        <v>354761.225635059</v>
      </c>
      <c r="E3" s="13">
        <f>table!E4</f>
        <v>1412313.3087829398</v>
      </c>
      <c r="F3" s="13">
        <f>table!F4</f>
        <v>13381.209155267801</v>
      </c>
      <c r="G3" s="13">
        <f>table!G4</f>
        <v>6.3823807169496929</v>
      </c>
      <c r="H3" s="13">
        <f>table!H4</f>
        <v>2072.4299341348647</v>
      </c>
    </row>
    <row r="4" spans="1:8" s="20" customFormat="1">
      <c r="A4" s="23" t="s">
        <v>25</v>
      </c>
      <c r="B4" s="13">
        <f>table!B5</f>
        <v>0</v>
      </c>
      <c r="C4" s="13">
        <f>table!C5</f>
        <v>0</v>
      </c>
      <c r="D4" s="13">
        <f>table!D5</f>
        <v>0</v>
      </c>
      <c r="E4" s="13">
        <f>table!E5</f>
        <v>3645</v>
      </c>
      <c r="F4" s="13">
        <f>table!F5</f>
        <v>0</v>
      </c>
      <c r="G4" s="13">
        <f>table!G5</f>
        <v>0</v>
      </c>
      <c r="H4" s="13">
        <f>table!H5</f>
        <v>0</v>
      </c>
    </row>
    <row r="5" spans="1:8" s="20" customFormat="1">
      <c r="A5" s="23" t="s">
        <v>26</v>
      </c>
      <c r="B5" s="13">
        <f>table!B6</f>
        <v>72531.404612159327</v>
      </c>
      <c r="C5" s="13">
        <f>table!C6</f>
        <v>0</v>
      </c>
      <c r="D5" s="13">
        <f>table!D6</f>
        <v>0</v>
      </c>
      <c r="E5" s="13">
        <f>table!E6</f>
        <v>5197.3165618448638</v>
      </c>
      <c r="F5" s="13">
        <f>table!F6</f>
        <v>0</v>
      </c>
      <c r="G5" s="13">
        <f>table!G6</f>
        <v>0</v>
      </c>
      <c r="H5" s="13">
        <f>table!H6</f>
        <v>0</v>
      </c>
    </row>
    <row r="6" spans="1:8" s="20" customFormat="1">
      <c r="A6" s="23" t="s">
        <v>27</v>
      </c>
      <c r="B6" s="13">
        <f>table!B7</f>
        <v>250</v>
      </c>
      <c r="C6" s="13">
        <f>table!C7</f>
        <v>1</v>
      </c>
      <c r="D6" s="13">
        <f>table!D7</f>
        <v>0</v>
      </c>
      <c r="E6" s="13">
        <f>table!E7</f>
        <v>5602</v>
      </c>
      <c r="F6" s="13">
        <f>table!F7</f>
        <v>0</v>
      </c>
      <c r="G6" s="13">
        <f>table!G7</f>
        <v>0</v>
      </c>
      <c r="H6" s="13">
        <f>table!H7</f>
        <v>0</v>
      </c>
    </row>
    <row r="7" spans="1:8" s="20" customFormat="1">
      <c r="A7" s="23" t="s">
        <v>28</v>
      </c>
      <c r="B7" s="13">
        <f>table!B8</f>
        <v>0</v>
      </c>
      <c r="C7" s="13">
        <f>table!C8</f>
        <v>0</v>
      </c>
      <c r="D7" s="13">
        <f>table!D8</f>
        <v>68890000</v>
      </c>
      <c r="E7" s="13">
        <f>table!E8</f>
        <v>0</v>
      </c>
      <c r="F7" s="13">
        <f>table!F8</f>
        <v>0</v>
      </c>
      <c r="G7" s="13">
        <f>table!G8</f>
        <v>0</v>
      </c>
      <c r="H7" s="13">
        <f>table!H8</f>
        <v>0</v>
      </c>
    </row>
  </sheetData>
  <phoneticPr fontId="37" type="noConversion"/>
  <pageMargins left="0.7" right="0.7" top="0.75" bottom="0.75" header="0.3" footer="0.3"/>
  <pageSetup orientation="portrait" horizontalDpi="4294967292" verticalDpi="4294967292" r:id="rId1"/>
  <extLst>
    <ext xmlns:mx="http://schemas.microsoft.com/office/mac/excel/2008/main" uri="{64002731-A6B0-56B0-2670-7721B7C09600}">
      <mx:PLV Mode="0" OnePage="0" WScale="0"/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3"/>
  </sheetPr>
  <dimension ref="A1:H8"/>
  <sheetViews>
    <sheetView workbookViewId="0">
      <selection activeCell="B6" sqref="B6"/>
    </sheetView>
  </sheetViews>
  <sheetFormatPr defaultColWidth="8.875" defaultRowHeight="12.9"/>
  <cols>
    <col min="1" max="1" width="16.875" style="2" customWidth="1"/>
    <col min="2" max="2" width="34.125" style="2" bestFit="1" customWidth="1"/>
    <col min="3" max="3" width="27.25" style="2" bestFit="1" customWidth="1"/>
    <col min="4" max="4" width="23" style="2" bestFit="1" customWidth="1"/>
    <col min="5" max="5" width="20.25" style="2" bestFit="1" customWidth="1"/>
    <col min="6" max="6" width="30" style="2" bestFit="1" customWidth="1"/>
    <col min="7" max="7" width="16.125" style="2" bestFit="1" customWidth="1"/>
    <col min="8" max="8" width="23" style="2" bestFit="1" customWidth="1"/>
    <col min="9" max="9" width="13.875" style="2" bestFit="1" customWidth="1"/>
    <col min="10" max="16384" width="8.875" style="2"/>
  </cols>
  <sheetData>
    <row r="1" spans="1:8" ht="25.85">
      <c r="A1" s="1" t="s">
        <v>29</v>
      </c>
      <c r="B1" s="12" t="s">
        <v>18</v>
      </c>
      <c r="C1" s="12" t="s">
        <v>19</v>
      </c>
      <c r="D1" s="12" t="s">
        <v>20</v>
      </c>
      <c r="E1" s="12" t="s">
        <v>21</v>
      </c>
      <c r="F1" s="12" t="s">
        <v>22</v>
      </c>
      <c r="G1" s="12" t="s">
        <v>30</v>
      </c>
      <c r="H1" s="12" t="s">
        <v>31</v>
      </c>
    </row>
    <row r="2" spans="1:8" s="20" customFormat="1">
      <c r="A2" s="23" t="s">
        <v>23</v>
      </c>
      <c r="B2" s="13">
        <f>table!B13</f>
        <v>62983.341730136061</v>
      </c>
      <c r="C2" s="13">
        <f>table!C13</f>
        <v>146358.69042895696</v>
      </c>
      <c r="D2" s="13">
        <f>table!D13</f>
        <v>7715647.1048477273</v>
      </c>
      <c r="E2" s="13">
        <f>table!E13</f>
        <v>11001245.171946557</v>
      </c>
      <c r="F2" s="13">
        <f>table!F13</f>
        <v>106.03797138383194</v>
      </c>
      <c r="G2" s="13">
        <f>table!G13</f>
        <v>0</v>
      </c>
      <c r="H2" s="13">
        <f>table!H13</f>
        <v>0</v>
      </c>
    </row>
    <row r="3" spans="1:8" s="20" customFormat="1">
      <c r="A3" s="23" t="s">
        <v>24</v>
      </c>
      <c r="B3" s="13">
        <f>table!B14</f>
        <v>8227.6817933311158</v>
      </c>
      <c r="C3" s="13">
        <f>table!C14</f>
        <v>313525.0900091466</v>
      </c>
      <c r="D3" s="13">
        <f>table!D14</f>
        <v>43125.814947987717</v>
      </c>
      <c r="E3" s="13">
        <f>table!E14</f>
        <v>8135570.6677878881</v>
      </c>
      <c r="F3" s="13">
        <f>table!F14</f>
        <v>2.2237179455635459</v>
      </c>
      <c r="G3" s="13">
        <f>table!G14</f>
        <v>14.454166646163049</v>
      </c>
      <c r="H3" s="13">
        <f>table!H14</f>
        <v>2390.1336624814635</v>
      </c>
    </row>
    <row r="4" spans="1:8" s="20" customFormat="1">
      <c r="A4" s="23" t="s">
        <v>25</v>
      </c>
      <c r="B4" s="13">
        <f>table!B15</f>
        <v>0</v>
      </c>
      <c r="C4" s="13">
        <f>table!C15</f>
        <v>0</v>
      </c>
      <c r="D4" s="13">
        <f>table!D15</f>
        <v>0</v>
      </c>
      <c r="E4" s="13">
        <f>table!E15</f>
        <v>173</v>
      </c>
      <c r="F4" s="13">
        <f>table!F15</f>
        <v>0</v>
      </c>
      <c r="G4" s="13">
        <f>table!G15</f>
        <v>0</v>
      </c>
      <c r="H4" s="13">
        <f>table!H15</f>
        <v>0</v>
      </c>
    </row>
    <row r="5" spans="1:8" s="20" customFormat="1">
      <c r="A5" s="23" t="s">
        <v>26</v>
      </c>
      <c r="B5" s="13">
        <f>table!B16</f>
        <v>767688.59538784064</v>
      </c>
      <c r="C5" s="13">
        <f>table!C16</f>
        <v>0</v>
      </c>
      <c r="D5" s="13">
        <f>table!D16</f>
        <v>0</v>
      </c>
      <c r="E5" s="13">
        <f>table!E16</f>
        <v>130282.68343815515</v>
      </c>
      <c r="F5" s="13">
        <f>table!F16</f>
        <v>0</v>
      </c>
      <c r="G5" s="13">
        <f>table!G16</f>
        <v>0</v>
      </c>
      <c r="H5" s="13">
        <f>table!H16</f>
        <v>0</v>
      </c>
    </row>
    <row r="6" spans="1:8" s="20" customFormat="1">
      <c r="A6" s="23" t="s">
        <v>27</v>
      </c>
      <c r="B6" s="13">
        <f>table!B17</f>
        <v>227</v>
      </c>
      <c r="C6" s="13">
        <f>table!C17</f>
        <v>399</v>
      </c>
      <c r="D6" s="13">
        <f>table!D17</f>
        <v>0</v>
      </c>
      <c r="E6" s="13">
        <f>table!E17</f>
        <v>125049</v>
      </c>
      <c r="F6" s="13">
        <f>table!F17</f>
        <v>0</v>
      </c>
      <c r="G6" s="13">
        <f>table!G17</f>
        <v>0</v>
      </c>
      <c r="H6" s="13">
        <f>table!H17</f>
        <v>0</v>
      </c>
    </row>
    <row r="7" spans="1:8" s="20" customFormat="1">
      <c r="A7" s="23" t="s">
        <v>28</v>
      </c>
      <c r="B7" s="13">
        <f>table!B18</f>
        <v>0</v>
      </c>
      <c r="C7" s="13">
        <f>table!C18</f>
        <v>0</v>
      </c>
      <c r="D7" s="13">
        <f>table!D18</f>
        <v>0</v>
      </c>
      <c r="E7" s="13">
        <f>table!E18</f>
        <v>0</v>
      </c>
      <c r="F7" s="13">
        <f>table!F18</f>
        <v>0</v>
      </c>
      <c r="G7" s="13">
        <f>table!G18</f>
        <v>0</v>
      </c>
      <c r="H7" s="13">
        <f>table!H18</f>
        <v>0</v>
      </c>
    </row>
    <row r="8" spans="1:8" s="20" customFormat="1"/>
  </sheetData>
  <phoneticPr fontId="37" type="noConversion"/>
  <pageMargins left="0.7" right="0.7" top="0.75" bottom="0.75" header="0.3" footer="0.3"/>
  <pageSetup paperSize="9" orientation="portrait" r:id="rId1"/>
  <extLst>
    <ext xmlns:mx="http://schemas.microsoft.com/office/mac/excel/2008/main" uri="{64002731-A6B0-56B0-2670-7721B7C09600}">
      <mx:PLV Mode="0" OnePage="0" WScale="0"/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文档" ma:contentTypeID="0x010100BD1DE36A36CC7845A4126EF01914151E" ma:contentTypeVersion="14" ma:contentTypeDescription="新建文档。" ma:contentTypeScope="" ma:versionID="310835f059701aa681930bc3a1715053">
  <xsd:schema xmlns:xsd="http://www.w3.org/2001/XMLSchema" xmlns:xs="http://www.w3.org/2001/XMLSchema" xmlns:p="http://schemas.microsoft.com/office/2006/metadata/properties" xmlns:ns1="http://schemas.microsoft.com/sharepoint/v3" xmlns:ns2="2e2398b5-f60e-4ca0-a4ba-6048b5e4e90c" xmlns:ns3="a06c533b-533a-4f75-b7db-110f073002e4" targetNamespace="http://schemas.microsoft.com/office/2006/metadata/properties" ma:root="true" ma:fieldsID="7ba933288dd05553e9ce0f804d4dc608" ns1:_="" ns2:_="" ns3:_="">
    <xsd:import namespace="http://schemas.microsoft.com/sharepoint/v3"/>
    <xsd:import namespace="2e2398b5-f60e-4ca0-a4ba-6048b5e4e90c"/>
    <xsd:import namespace="a06c533b-533a-4f75-b7db-110f073002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DateTaken" minOccurs="0"/>
                <xsd:element ref="ns1:_ip_UnifiedCompliancePolicyProperties" minOccurs="0"/>
                <xsd:element ref="ns1:_ip_UnifiedCompliancePolicyUIAction" minOccurs="0"/>
                <xsd:element ref="ns2:MediaServiceEventHashCode" minOccurs="0"/>
                <xsd:element ref="ns2:MediaServiceGenerationTime" minOccurs="0"/>
                <xsd:element ref="ns2:MediaServiceAutoKeyPoints" minOccurs="0"/>
                <xsd:element ref="ns2:MediaServiceKeyPoint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5" nillable="true" ma:displayName="统一合规性策略属性" ma:hidden="true" ma:internalName="_ip_UnifiedCompliancePolicyProperties">
      <xsd:simpleType>
        <xsd:restriction base="dms:Note"/>
      </xsd:simpleType>
    </xsd:element>
    <xsd:element name="_ip_UnifiedCompliancePolicyUIAction" ma:index="16" nillable="true" ma:displayName="统一合规性策略 UI 操作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e2398b5-f60e-4ca0-a4ba-6048b5e4e90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MediaServiceAutoTags" ma:internalName="MediaServiceAutoTags" ma:readOnly="true">
      <xsd:simpleType>
        <xsd:restriction base="dms:Text"/>
      </xsd:simpleType>
    </xsd:element>
    <xsd:element name="MediaServiceOCR" ma:index="13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06c533b-533a-4f75-b7db-110f073002e4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享对象: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享对象详细信息" ma:description="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内容类型"/>
        <xsd:element ref="dc:title" minOccurs="0" maxOccurs="1" ma:index="4" ma:displayName="标题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_ip_UnifiedCompliancePolicyProperties xmlns="http://schemas.microsoft.com/sharepoint/v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86E742B-F707-4292-AB4B-BBCC3EF7A9C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2e2398b5-f60e-4ca0-a4ba-6048b5e4e90c"/>
    <ds:schemaRef ds:uri="a06c533b-533a-4f75-b7db-110f073002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2182DF7-646D-4589-A629-CF484F739AB6}">
  <ds:schemaRefs>
    <ds:schemaRef ds:uri="http://purl.org/dc/elements/1.1/"/>
    <ds:schemaRef ds:uri="a06c533b-533a-4f75-b7db-110f073002e4"/>
    <ds:schemaRef ds:uri="http://www.w3.org/XML/1998/namespace"/>
    <ds:schemaRef ds:uri="http://purl.org/dc/terms/"/>
    <ds:schemaRef ds:uri="http://schemas.microsoft.com/office/2006/documentManagement/types"/>
    <ds:schemaRef ds:uri="http://schemas.microsoft.com/office/2006/metadata/properties"/>
    <ds:schemaRef ds:uri="http://schemas.microsoft.com/office/infopath/2007/PartnerControls"/>
    <ds:schemaRef ds:uri="2e2398b5-f60e-4ca0-a4ba-6048b5e4e90c"/>
    <ds:schemaRef ds:uri="http://schemas.openxmlformats.org/package/2006/metadata/core-properties"/>
    <ds:schemaRef ds:uri="http://schemas.microsoft.com/sharepoint/v3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A426CBD0-2BC4-4D82-AA23-473F471AA30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About</vt:lpstr>
      <vt:lpstr>销量数据库上险数据</vt:lpstr>
      <vt:lpstr>table</vt:lpstr>
      <vt:lpstr>SYVbT-passenger</vt:lpstr>
      <vt:lpstr>SYVbT-freight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Jeffrey Rissman</dc:creator>
  <cp:keywords/>
  <dc:description/>
  <cp:lastModifiedBy>wcy3015@126.com</cp:lastModifiedBy>
  <cp:revision/>
  <dcterms:created xsi:type="dcterms:W3CDTF">2017-06-22T21:46:10Z</dcterms:created>
  <dcterms:modified xsi:type="dcterms:W3CDTF">2026-03-31T06:22:40Z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0x010100BD1DE36A36CC7845A4126EF01914151E</vt:lpwstr>
  </property>
</Properties>
</file>