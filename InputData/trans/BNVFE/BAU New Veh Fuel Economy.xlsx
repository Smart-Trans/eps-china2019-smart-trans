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zhlxl\Desktop\EPS\eps-china2019-smart-trans\InputData\trans\BNVFE\"/>
    </mc:Choice>
  </mc:AlternateContent>
  <xr:revisionPtr revIDLastSave="0" documentId="13_ncr:1_{045D6E46-7D9F-4E95-842C-D97A7A0AEB72}" xr6:coauthVersionLast="47" xr6:coauthVersionMax="47" xr10:uidLastSave="{00000000-0000-0000-0000-000000000000}"/>
  <bookViews>
    <workbookView xWindow="-109" yWindow="-109" windowWidth="26301" windowHeight="14169" firstSheet="18" activeTab="18" xr2:uid="{00000000-000D-0000-FFFF-FFFF00000000}"/>
  </bookViews>
  <sheets>
    <sheet name="About" sheetId="1" r:id="rId1"/>
    <sheet name="AEO 7" sheetId="4" r:id="rId2"/>
    <sheet name="AEO 7 (2020)" sheetId="32" r:id="rId3"/>
    <sheet name="AEO 35" sheetId="21" r:id="rId4"/>
    <sheet name="AEO 36" sheetId="27" r:id="rId5"/>
    <sheet name="AEO 38" sheetId="26" r:id="rId6"/>
    <sheet name="AEO 40" sheetId="25" r:id="rId7"/>
    <sheet name="AEO 44" sheetId="38" r:id="rId8"/>
    <sheet name="AEO 47" sheetId="16" r:id="rId9"/>
    <sheet name="AEO 48" sheetId="17" r:id="rId10"/>
    <sheet name="AEO 49" sheetId="28" r:id="rId11"/>
    <sheet name="AEO 49 (2020)" sheetId="36" r:id="rId12"/>
    <sheet name="psgr LDVs" sheetId="31" r:id="rId13"/>
    <sheet name="NTS 1-40" sheetId="20" r:id="rId14"/>
    <sheet name="NRBS 40" sheetId="19" r:id="rId15"/>
    <sheet name="NAP F28" sheetId="37" r:id="rId16"/>
    <sheet name="SYFAFE-passenger" sheetId="39" r:id="rId17"/>
    <sheet name="SYFAFE-freight" sheetId="29" r:id="rId18"/>
    <sheet name="Calculations Etc" sheetId="18" r:id="rId19"/>
    <sheet name="BNVFE-LDVs-psgr" sheetId="2" r:id="rId20"/>
    <sheet name="BNVFE-LDVs-frgt" sheetId="5" r:id="rId21"/>
    <sheet name="BNVFE-HDVs-psgr" sheetId="6" r:id="rId22"/>
    <sheet name="BNVFE-HDVs-frgt" sheetId="7" r:id="rId23"/>
    <sheet name="BNVFE-aircraft-psgr" sheetId="8" r:id="rId24"/>
    <sheet name="BNVFE-aircraft-frgt" sheetId="9" r:id="rId25"/>
    <sheet name="BNVFE-rail-psgr" sheetId="10" r:id="rId26"/>
    <sheet name="BNVFE-rail-frgt" sheetId="11" r:id="rId27"/>
    <sheet name="BNVFE-ships-psgr" sheetId="12" r:id="rId28"/>
    <sheet name="BNVFE-ships-frgt" sheetId="13" r:id="rId29"/>
    <sheet name="BNVFE-motorbikes-psgr" sheetId="14" r:id="rId30"/>
    <sheet name="BNVFE-motorbikes-frgt" sheetId="15" r:id="rId31"/>
  </sheets>
  <externalReferences>
    <externalReference r:id="rId32"/>
    <externalReference r:id="rId33"/>
    <externalReference r:id="rId34"/>
    <externalReference r:id="rId35"/>
    <externalReference r:id="rId36"/>
  </externalReferences>
  <definedNames>
    <definedName name="billion" localSheetId="12">[1]About!$A$93</definedName>
    <definedName name="billion">[2]About!$A$109</definedName>
    <definedName name="Eno_TM" localSheetId="15">'[3]1997  Table 1a Modified'!#REF!</definedName>
    <definedName name="Eno_TM" localSheetId="13">'[3]1997  Table 1a Modified'!#REF!</definedName>
    <definedName name="Eno_TM" localSheetId="12">'[3]1997  Table 1a Modified'!#REF!</definedName>
    <definedName name="Eno_TM" localSheetId="17">'[3]1997  Table 1a Modified'!#REF!</definedName>
    <definedName name="Eno_TM">'[3]1997  Table 1a Modified'!#REF!</definedName>
    <definedName name="Eno_Tons" localSheetId="15">'[3]1997  Table 1a Modified'!#REF!</definedName>
    <definedName name="Eno_Tons" localSheetId="13">'[3]1997  Table 1a Modified'!#REF!</definedName>
    <definedName name="Eno_Tons" localSheetId="12">'[3]1997  Table 1a Modified'!#REF!</definedName>
    <definedName name="Eno_Tons" localSheetId="17">'[3]1997  Table 1a Modified'!#REF!</definedName>
    <definedName name="Eno_Tons">'[3]1997  Table 1a Modified'!#REF!</definedName>
    <definedName name="NTS_YR" localSheetId="15">[4]About!$B$136</definedName>
    <definedName name="NTS_YR">About!$B$99</definedName>
    <definedName name="Sum_T2" localSheetId="15">'[3]1997  Table 1a Modified'!#REF!</definedName>
    <definedName name="Sum_T2" localSheetId="13">'[3]1997  Table 1a Modified'!#REF!</definedName>
    <definedName name="Sum_T2" localSheetId="12">'[3]1997  Table 1a Modified'!#REF!</definedName>
    <definedName name="Sum_T2" localSheetId="17">'[3]1997  Table 1a Modified'!#REF!</definedName>
    <definedName name="Sum_T2">'[3]1997  Table 1a Modified'!#REF!</definedName>
    <definedName name="Sum_TTM" localSheetId="15">'[3]1997  Table 1a Modified'!#REF!</definedName>
    <definedName name="Sum_TTM" localSheetId="13">'[3]1997  Table 1a Modified'!#REF!</definedName>
    <definedName name="Sum_TTM" localSheetId="12">'[3]1997  Table 1a Modified'!#REF!</definedName>
    <definedName name="Sum_TTM" localSheetId="17">'[3]1997  Table 1a Modified'!#REF!</definedName>
    <definedName name="Sum_TTM">'[3]1997  Table 1a Modified'!#REF!</definedName>
    <definedName name="ti_tbl_50" localSheetId="15">#REF!</definedName>
    <definedName name="ti_tbl_50" localSheetId="13">#REF!</definedName>
    <definedName name="ti_tbl_50" localSheetId="12">#REF!</definedName>
    <definedName name="ti_tbl_50" localSheetId="17">#REF!</definedName>
    <definedName name="ti_tbl_50">#REF!</definedName>
    <definedName name="ti_tbl_69" localSheetId="15">#REF!</definedName>
    <definedName name="ti_tbl_69" localSheetId="13">#REF!</definedName>
    <definedName name="ti_tbl_69" localSheetId="12">#REF!</definedName>
    <definedName name="ti_tbl_69" localSheetId="17">#REF!</definedName>
    <definedName name="ti_tbl_69">#REF!</definedName>
    <definedName name="trillion" localSheetId="12">[1]About!$A$94</definedName>
    <definedName name="trillion">[2]About!$A$110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2" i="14" l="1"/>
  <c r="AJ2" i="14"/>
  <c r="AK2" i="14"/>
  <c r="AH3" i="14"/>
  <c r="AI3" i="14"/>
  <c r="AJ3" i="14"/>
  <c r="AK3" i="14"/>
  <c r="AL3" i="14"/>
  <c r="AM3" i="14"/>
  <c r="AG4" i="14"/>
  <c r="AG2" i="14" s="1"/>
  <c r="AH4" i="14"/>
  <c r="AH2" i="14" s="1"/>
  <c r="AI4" i="14"/>
  <c r="AJ4" i="14"/>
  <c r="AJ5" i="14" s="1"/>
  <c r="AK4" i="14"/>
  <c r="AL4" i="14"/>
  <c r="AL8" i="14" s="1"/>
  <c r="AM4" i="14"/>
  <c r="AM2" i="14" s="1"/>
  <c r="AN4" i="14"/>
  <c r="AN3" i="14" s="1"/>
  <c r="AO4" i="14"/>
  <c r="AO3" i="14" s="1"/>
  <c r="AP4" i="14"/>
  <c r="AP6" i="14" s="1"/>
  <c r="AH5" i="14"/>
  <c r="AI5" i="14"/>
  <c r="AK5" i="14"/>
  <c r="AL5" i="14"/>
  <c r="AM5" i="14"/>
  <c r="AH6" i="14"/>
  <c r="AI6" i="14"/>
  <c r="AJ6" i="14"/>
  <c r="AK6" i="14"/>
  <c r="AL6" i="14"/>
  <c r="AM6" i="14"/>
  <c r="AN6" i="14"/>
  <c r="AO6" i="14"/>
  <c r="AH7" i="14"/>
  <c r="AI7" i="14"/>
  <c r="AK7" i="14"/>
  <c r="AH8" i="14"/>
  <c r="AI8" i="14"/>
  <c r="AJ8" i="14"/>
  <c r="AK8" i="14"/>
  <c r="AM8" i="14"/>
  <c r="AN8" i="14"/>
  <c r="AO8" i="14"/>
  <c r="AG5" i="13"/>
  <c r="AG2" i="13" s="1"/>
  <c r="AH5" i="13"/>
  <c r="AH8" i="13" s="1"/>
  <c r="AG2" i="12"/>
  <c r="AH2" i="12"/>
  <c r="AI2" i="12"/>
  <c r="AJ2" i="12"/>
  <c r="AK2" i="12"/>
  <c r="AL2" i="12"/>
  <c r="AM2" i="12"/>
  <c r="AN2" i="12" s="1"/>
  <c r="AO2" i="12" s="1"/>
  <c r="AP2" i="12" s="1"/>
  <c r="AG3" i="12"/>
  <c r="AH3" i="12"/>
  <c r="AI3" i="12"/>
  <c r="AJ3" i="12"/>
  <c r="AK3" i="12"/>
  <c r="AL3" i="12"/>
  <c r="AM3" i="12" s="1"/>
  <c r="AN3" i="12" s="1"/>
  <c r="AO3" i="12" s="1"/>
  <c r="AP3" i="12" s="1"/>
  <c r="AG4" i="12"/>
  <c r="AH4" i="12"/>
  <c r="AI4" i="12"/>
  <c r="AJ4" i="12" s="1"/>
  <c r="AK4" i="12" s="1"/>
  <c r="AL4" i="12" s="1"/>
  <c r="AM4" i="12" s="1"/>
  <c r="AN4" i="12" s="1"/>
  <c r="AO4" i="12" s="1"/>
  <c r="AP4" i="12" s="1"/>
  <c r="AG5" i="12"/>
  <c r="AH5" i="12"/>
  <c r="AI5" i="12" s="1"/>
  <c r="AJ5" i="12" s="1"/>
  <c r="AK5" i="12" s="1"/>
  <c r="AL5" i="12" s="1"/>
  <c r="AM5" i="12" s="1"/>
  <c r="AN5" i="12" s="1"/>
  <c r="AO5" i="12" s="1"/>
  <c r="AP5" i="12" s="1"/>
  <c r="AG6" i="12"/>
  <c r="AH6" i="12"/>
  <c r="AI6" i="12"/>
  <c r="AJ6" i="12"/>
  <c r="AK6" i="12"/>
  <c r="AL6" i="12"/>
  <c r="AM6" i="12"/>
  <c r="AN6" i="12"/>
  <c r="AO6" i="12" s="1"/>
  <c r="AP6" i="12" s="1"/>
  <c r="AG7" i="12"/>
  <c r="AH7" i="12"/>
  <c r="AI7" i="12"/>
  <c r="AJ7" i="12"/>
  <c r="AK7" i="12"/>
  <c r="AL7" i="12" s="1"/>
  <c r="AM7" i="12" s="1"/>
  <c r="AN7" i="12" s="1"/>
  <c r="AO7" i="12" s="1"/>
  <c r="AP7" i="12" s="1"/>
  <c r="AG8" i="12"/>
  <c r="AH8" i="12"/>
  <c r="AI8" i="12"/>
  <c r="AJ8" i="12"/>
  <c r="AK8" i="12" s="1"/>
  <c r="AL8" i="12" s="1"/>
  <c r="AM8" i="12" s="1"/>
  <c r="AN8" i="12" s="1"/>
  <c r="AO8" i="12" s="1"/>
  <c r="AP8" i="12" s="1"/>
  <c r="Q2" i="11"/>
  <c r="R2" i="11"/>
  <c r="S2" i="11" s="1"/>
  <c r="T2" i="11" s="1"/>
  <c r="U2" i="11" s="1"/>
  <c r="V2" i="11" s="1"/>
  <c r="W2" i="11" s="1"/>
  <c r="X2" i="11" s="1"/>
  <c r="Y2" i="11" s="1"/>
  <c r="Z2" i="11" s="1"/>
  <c r="AA2" i="11" s="1"/>
  <c r="AB2" i="11" s="1"/>
  <c r="AC2" i="11" s="1"/>
  <c r="AD2" i="11" s="1"/>
  <c r="AE2" i="11" s="1"/>
  <c r="AF2" i="11" s="1"/>
  <c r="AG2" i="11" s="1"/>
  <c r="AH2" i="11" s="1"/>
  <c r="AI2" i="11" s="1"/>
  <c r="AJ2" i="11" s="1"/>
  <c r="AK2" i="11" s="1"/>
  <c r="AL2" i="11" s="1"/>
  <c r="AM2" i="11" s="1"/>
  <c r="AN2" i="11" s="1"/>
  <c r="AO2" i="11" s="1"/>
  <c r="AP2" i="11" s="1"/>
  <c r="Q5" i="11"/>
  <c r="Q8" i="11" s="1"/>
  <c r="D2" i="11"/>
  <c r="E2" i="11"/>
  <c r="F2" i="11"/>
  <c r="G2" i="11"/>
  <c r="H2" i="11" s="1"/>
  <c r="I2" i="11" s="1"/>
  <c r="J2" i="11" s="1"/>
  <c r="K2" i="11" s="1"/>
  <c r="L2" i="11" s="1"/>
  <c r="M2" i="11" s="1"/>
  <c r="N2" i="11" s="1"/>
  <c r="O2" i="11" s="1"/>
  <c r="P2" i="11" s="1"/>
  <c r="D5" i="11"/>
  <c r="D8" i="11" s="1"/>
  <c r="C5" i="11"/>
  <c r="C2" i="11"/>
  <c r="N2" i="10"/>
  <c r="O2" i="10"/>
  <c r="P2" i="10"/>
  <c r="Q2" i="10" s="1"/>
  <c r="R2" i="10" s="1"/>
  <c r="S2" i="10" s="1"/>
  <c r="T2" i="10" s="1"/>
  <c r="U2" i="10" s="1"/>
  <c r="V2" i="10" s="1"/>
  <c r="W2" i="10" s="1"/>
  <c r="X2" i="10" s="1"/>
  <c r="Y2" i="10" s="1"/>
  <c r="Z2" i="10" s="1"/>
  <c r="AA2" i="10" s="1"/>
  <c r="AB2" i="10" s="1"/>
  <c r="AC2" i="10" s="1"/>
  <c r="AD2" i="10" s="1"/>
  <c r="AE2" i="10" s="1"/>
  <c r="AF2" i="10" s="1"/>
  <c r="AG2" i="10" s="1"/>
  <c r="AH2" i="10" s="1"/>
  <c r="AI2" i="10" s="1"/>
  <c r="AJ2" i="10" s="1"/>
  <c r="AK2" i="10" s="1"/>
  <c r="AL2" i="10" s="1"/>
  <c r="AM2" i="10" s="1"/>
  <c r="AN2" i="10" s="1"/>
  <c r="AO2" i="10" s="1"/>
  <c r="AP2" i="10" s="1"/>
  <c r="N5" i="10"/>
  <c r="N8" i="10" s="1"/>
  <c r="O5" i="10"/>
  <c r="O8" i="10" s="1"/>
  <c r="P5" i="10"/>
  <c r="Q5" i="10" s="1"/>
  <c r="D2" i="10"/>
  <c r="E2" i="10"/>
  <c r="F2" i="10"/>
  <c r="G2" i="10"/>
  <c r="H2" i="10"/>
  <c r="I2" i="10" s="1"/>
  <c r="J2" i="10" s="1"/>
  <c r="K2" i="10" s="1"/>
  <c r="L2" i="10" s="1"/>
  <c r="M2" i="10" s="1"/>
  <c r="D5" i="10"/>
  <c r="D8" i="10" s="1"/>
  <c r="C5" i="10"/>
  <c r="C2" i="10"/>
  <c r="AG2" i="9"/>
  <c r="AH2" i="9"/>
  <c r="AI2" i="9" s="1"/>
  <c r="AJ2" i="9" s="1"/>
  <c r="AK2" i="9" s="1"/>
  <c r="AL2" i="9" s="1"/>
  <c r="AM2" i="9" s="1"/>
  <c r="AN2" i="9" s="1"/>
  <c r="AO2" i="9" s="1"/>
  <c r="AP2" i="9" s="1"/>
  <c r="AG5" i="9"/>
  <c r="AG8" i="9" s="1"/>
  <c r="AH5" i="9"/>
  <c r="AH8" i="9" s="1"/>
  <c r="AI5" i="9"/>
  <c r="AI8" i="9" s="1"/>
  <c r="AJ5" i="9"/>
  <c r="AJ8" i="9" s="1"/>
  <c r="AK5" i="9"/>
  <c r="AK8" i="9" s="1"/>
  <c r="AL5" i="9"/>
  <c r="AL8" i="9" s="1"/>
  <c r="AM5" i="9"/>
  <c r="AN5" i="9" s="1"/>
  <c r="R2" i="9"/>
  <c r="S2" i="9"/>
  <c r="T2" i="9"/>
  <c r="U2" i="9" s="1"/>
  <c r="V2" i="9" s="1"/>
  <c r="W2" i="9" s="1"/>
  <c r="X2" i="9" s="1"/>
  <c r="Y2" i="9" s="1"/>
  <c r="Z2" i="9" s="1"/>
  <c r="AA2" i="9" s="1"/>
  <c r="AB2" i="9" s="1"/>
  <c r="AC2" i="9" s="1"/>
  <c r="AD2" i="9" s="1"/>
  <c r="AE2" i="9" s="1"/>
  <c r="AF2" i="9" s="1"/>
  <c r="R5" i="9"/>
  <c r="S5" i="9" s="1"/>
  <c r="T5" i="9" s="1"/>
  <c r="U5" i="9" s="1"/>
  <c r="V5" i="9" s="1"/>
  <c r="W5" i="9" s="1"/>
  <c r="X5" i="9" s="1"/>
  <c r="Y5" i="9" s="1"/>
  <c r="Z5" i="9" s="1"/>
  <c r="AA5" i="9" s="1"/>
  <c r="AB5" i="9" s="1"/>
  <c r="AC5" i="9" s="1"/>
  <c r="AD5" i="9" s="1"/>
  <c r="AE5" i="9" s="1"/>
  <c r="AF5" i="9" s="1"/>
  <c r="D2" i="9"/>
  <c r="E2" i="9" s="1"/>
  <c r="F2" i="9" s="1"/>
  <c r="G2" i="9" s="1"/>
  <c r="H2" i="9" s="1"/>
  <c r="I2" i="9" s="1"/>
  <c r="J2" i="9" s="1"/>
  <c r="K2" i="9" s="1"/>
  <c r="L2" i="9" s="1"/>
  <c r="M2" i="9" s="1"/>
  <c r="N2" i="9" s="1"/>
  <c r="O2" i="9" s="1"/>
  <c r="P2" i="9" s="1"/>
  <c r="Q2" i="9" s="1"/>
  <c r="D5" i="9"/>
  <c r="E5" i="9" s="1"/>
  <c r="F5" i="9" s="1"/>
  <c r="G5" i="9" s="1"/>
  <c r="H5" i="9" s="1"/>
  <c r="I5" i="9" s="1"/>
  <c r="J5" i="9" s="1"/>
  <c r="K5" i="9" s="1"/>
  <c r="L5" i="9" s="1"/>
  <c r="M5" i="9" s="1"/>
  <c r="N5" i="9" s="1"/>
  <c r="O5" i="9" s="1"/>
  <c r="P5" i="9" s="1"/>
  <c r="Q5" i="9" s="1"/>
  <c r="C5" i="9"/>
  <c r="C2" i="9"/>
  <c r="D2" i="8"/>
  <c r="E2" i="8"/>
  <c r="F2" i="8" s="1"/>
  <c r="G2" i="8" s="1"/>
  <c r="H2" i="8" s="1"/>
  <c r="I2" i="8" s="1"/>
  <c r="J2" i="8" s="1"/>
  <c r="K2" i="8" s="1"/>
  <c r="L2" i="8" s="1"/>
  <c r="M2" i="8" s="1"/>
  <c r="N2" i="8" s="1"/>
  <c r="O2" i="8" s="1"/>
  <c r="P2" i="8" s="1"/>
  <c r="Q2" i="8" s="1"/>
  <c r="R2" i="8" s="1"/>
  <c r="S2" i="8" s="1"/>
  <c r="T2" i="8" s="1"/>
  <c r="U2" i="8" s="1"/>
  <c r="V2" i="8" s="1"/>
  <c r="W2" i="8" s="1"/>
  <c r="X2" i="8" s="1"/>
  <c r="Y2" i="8" s="1"/>
  <c r="Z2" i="8" s="1"/>
  <c r="AA2" i="8" s="1"/>
  <c r="AB2" i="8" s="1"/>
  <c r="AC2" i="8" s="1"/>
  <c r="AD2" i="8" s="1"/>
  <c r="AE2" i="8" s="1"/>
  <c r="AF2" i="8" s="1"/>
  <c r="AG2" i="8" s="1"/>
  <c r="AH2" i="8" s="1"/>
  <c r="AI2" i="8" s="1"/>
  <c r="AJ2" i="8" s="1"/>
  <c r="AK2" i="8" s="1"/>
  <c r="AL2" i="8" s="1"/>
  <c r="AM2" i="8" s="1"/>
  <c r="AN2" i="8" s="1"/>
  <c r="AO2" i="8" s="1"/>
  <c r="AP2" i="8" s="1"/>
  <c r="D5" i="8"/>
  <c r="E5" i="8"/>
  <c r="F5" i="8"/>
  <c r="G5" i="8"/>
  <c r="H5" i="8"/>
  <c r="I5" i="8"/>
  <c r="J5" i="8"/>
  <c r="K5" i="8"/>
  <c r="L5" i="8"/>
  <c r="M5" i="8" s="1"/>
  <c r="N5" i="8" s="1"/>
  <c r="O5" i="8" s="1"/>
  <c r="P5" i="8" s="1"/>
  <c r="Q5" i="8" s="1"/>
  <c r="R5" i="8" s="1"/>
  <c r="S5" i="8" s="1"/>
  <c r="T5" i="8" s="1"/>
  <c r="U5" i="8" s="1"/>
  <c r="V5" i="8" s="1"/>
  <c r="W5" i="8" s="1"/>
  <c r="X5" i="8" s="1"/>
  <c r="Y5" i="8" s="1"/>
  <c r="Z5" i="8" s="1"/>
  <c r="AA5" i="8" s="1"/>
  <c r="AB5" i="8" s="1"/>
  <c r="AC5" i="8" s="1"/>
  <c r="AD5" i="8" s="1"/>
  <c r="AE5" i="8" s="1"/>
  <c r="AF5" i="8" s="1"/>
  <c r="AG5" i="8" s="1"/>
  <c r="AH5" i="8" s="1"/>
  <c r="AI5" i="8" s="1"/>
  <c r="AJ5" i="8" s="1"/>
  <c r="AK5" i="8" s="1"/>
  <c r="AL5" i="8" s="1"/>
  <c r="AM5" i="8" s="1"/>
  <c r="AN5" i="8" s="1"/>
  <c r="AO5" i="8" s="1"/>
  <c r="AP5" i="8" s="1"/>
  <c r="D8" i="8"/>
  <c r="E8" i="8"/>
  <c r="F8" i="8" s="1"/>
  <c r="G8" i="8" s="1"/>
  <c r="H8" i="8" s="1"/>
  <c r="I8" i="8" s="1"/>
  <c r="J8" i="8" s="1"/>
  <c r="K8" i="8" s="1"/>
  <c r="L8" i="8" s="1"/>
  <c r="M8" i="8" s="1"/>
  <c r="N8" i="8" s="1"/>
  <c r="O8" i="8" s="1"/>
  <c r="P8" i="8" s="1"/>
  <c r="Q8" i="8" s="1"/>
  <c r="R8" i="8" s="1"/>
  <c r="S8" i="8" s="1"/>
  <c r="T8" i="8" s="1"/>
  <c r="U8" i="8" s="1"/>
  <c r="V8" i="8" s="1"/>
  <c r="W8" i="8" s="1"/>
  <c r="X8" i="8" s="1"/>
  <c r="Y8" i="8" s="1"/>
  <c r="Z8" i="8" s="1"/>
  <c r="AA8" i="8" s="1"/>
  <c r="AB8" i="8" s="1"/>
  <c r="AC8" i="8" s="1"/>
  <c r="AD8" i="8" s="1"/>
  <c r="AE8" i="8" s="1"/>
  <c r="AF8" i="8" s="1"/>
  <c r="AG8" i="8" s="1"/>
  <c r="AH8" i="8" s="1"/>
  <c r="AI8" i="8" s="1"/>
  <c r="AJ8" i="8" s="1"/>
  <c r="AK8" i="8" s="1"/>
  <c r="AL8" i="8" s="1"/>
  <c r="AM8" i="8" s="1"/>
  <c r="AN8" i="8" s="1"/>
  <c r="AO8" i="8" s="1"/>
  <c r="AP8" i="8" s="1"/>
  <c r="C5" i="8"/>
  <c r="C8" i="8"/>
  <c r="C2" i="8"/>
  <c r="AG2" i="7"/>
  <c r="AH2" i="7" s="1"/>
  <c r="AI2" i="7" s="1"/>
  <c r="AJ2" i="7" s="1"/>
  <c r="AK2" i="7" s="1"/>
  <c r="AL2" i="7" s="1"/>
  <c r="AM2" i="7" s="1"/>
  <c r="AN2" i="7" s="1"/>
  <c r="AO2" i="7" s="1"/>
  <c r="AP2" i="7" s="1"/>
  <c r="AG3" i="7"/>
  <c r="AH3" i="7"/>
  <c r="AI3" i="7"/>
  <c r="AJ3" i="7"/>
  <c r="AK3" i="7"/>
  <c r="AL3" i="7"/>
  <c r="AM3" i="7"/>
  <c r="AN3" i="7" s="1"/>
  <c r="AO3" i="7" s="1"/>
  <c r="AP3" i="7" s="1"/>
  <c r="AG4" i="7"/>
  <c r="AH4" i="7"/>
  <c r="AI4" i="7"/>
  <c r="AJ4" i="7" s="1"/>
  <c r="AK4" i="7" s="1"/>
  <c r="AL4" i="7" s="1"/>
  <c r="AM4" i="7" s="1"/>
  <c r="AN4" i="7" s="1"/>
  <c r="AO4" i="7" s="1"/>
  <c r="AP4" i="7" s="1"/>
  <c r="AG5" i="7"/>
  <c r="AH5" i="7"/>
  <c r="AI5" i="7"/>
  <c r="AJ5" i="7" s="1"/>
  <c r="AK5" i="7" s="1"/>
  <c r="AL5" i="7" s="1"/>
  <c r="AM5" i="7" s="1"/>
  <c r="AN5" i="7" s="1"/>
  <c r="AO5" i="7" s="1"/>
  <c r="AP5" i="7" s="1"/>
  <c r="AG6" i="7"/>
  <c r="AH6" i="7"/>
  <c r="AI6" i="7"/>
  <c r="AJ6" i="7"/>
  <c r="AK6" i="7"/>
  <c r="AL6" i="7"/>
  <c r="AM6" i="7"/>
  <c r="AN6" i="7"/>
  <c r="AO6" i="7"/>
  <c r="AP6" i="7" s="1"/>
  <c r="AG7" i="7"/>
  <c r="AH7" i="7"/>
  <c r="AI7" i="7" s="1"/>
  <c r="AJ7" i="7" s="1"/>
  <c r="AK7" i="7" s="1"/>
  <c r="AL7" i="7" s="1"/>
  <c r="AM7" i="7" s="1"/>
  <c r="AN7" i="7" s="1"/>
  <c r="AO7" i="7" s="1"/>
  <c r="AP7" i="7" s="1"/>
  <c r="AG8" i="7"/>
  <c r="AH8" i="7"/>
  <c r="AI8" i="7"/>
  <c r="AJ8" i="7"/>
  <c r="AK8" i="7"/>
  <c r="AL8" i="7" s="1"/>
  <c r="AM8" i="7" s="1"/>
  <c r="AN8" i="7" s="1"/>
  <c r="AO8" i="7" s="1"/>
  <c r="AP8" i="7" s="1"/>
  <c r="L2" i="6"/>
  <c r="M2" i="6" s="1"/>
  <c r="N2" i="6" s="1"/>
  <c r="O2" i="6" s="1"/>
  <c r="P2" i="6" s="1"/>
  <c r="Q2" i="6" s="1"/>
  <c r="R2" i="6" s="1"/>
  <c r="S2" i="6" s="1"/>
  <c r="T2" i="6" s="1"/>
  <c r="U2" i="6" s="1"/>
  <c r="V2" i="6" s="1"/>
  <c r="W2" i="6" s="1"/>
  <c r="X2" i="6" s="1"/>
  <c r="Y2" i="6" s="1"/>
  <c r="Z2" i="6" s="1"/>
  <c r="AA2" i="6" s="1"/>
  <c r="AB2" i="6" s="1"/>
  <c r="AC2" i="6" s="1"/>
  <c r="AD2" i="6" s="1"/>
  <c r="AE2" i="6" s="1"/>
  <c r="AF2" i="6" s="1"/>
  <c r="AG2" i="6" s="1"/>
  <c r="AH2" i="6" s="1"/>
  <c r="AI2" i="6" s="1"/>
  <c r="AJ2" i="6" s="1"/>
  <c r="AK2" i="6" s="1"/>
  <c r="AL2" i="6" s="1"/>
  <c r="AM2" i="6" s="1"/>
  <c r="AN2" i="6" s="1"/>
  <c r="AO2" i="6" s="1"/>
  <c r="AP2" i="6" s="1"/>
  <c r="L3" i="6"/>
  <c r="M3" i="6"/>
  <c r="N3" i="6"/>
  <c r="O3" i="6" s="1"/>
  <c r="P3" i="6" s="1"/>
  <c r="Q3" i="6" s="1"/>
  <c r="R3" i="6" s="1"/>
  <c r="S3" i="6" s="1"/>
  <c r="T3" i="6" s="1"/>
  <c r="U3" i="6" s="1"/>
  <c r="V3" i="6" s="1"/>
  <c r="W3" i="6" s="1"/>
  <c r="X3" i="6" s="1"/>
  <c r="Y3" i="6" s="1"/>
  <c r="Z3" i="6" s="1"/>
  <c r="AA3" i="6" s="1"/>
  <c r="AB3" i="6" s="1"/>
  <c r="AC3" i="6" s="1"/>
  <c r="AD3" i="6" s="1"/>
  <c r="AE3" i="6" s="1"/>
  <c r="AF3" i="6" s="1"/>
  <c r="AG3" i="6" s="1"/>
  <c r="AH3" i="6" s="1"/>
  <c r="AI3" i="6" s="1"/>
  <c r="AJ3" i="6" s="1"/>
  <c r="AK3" i="6" s="1"/>
  <c r="AL3" i="6" s="1"/>
  <c r="AM3" i="6" s="1"/>
  <c r="AN3" i="6" s="1"/>
  <c r="AO3" i="6" s="1"/>
  <c r="AP3" i="6" s="1"/>
  <c r="L4" i="6"/>
  <c r="M4" i="6"/>
  <c r="N4" i="6"/>
  <c r="O4" i="6"/>
  <c r="P4" i="6" s="1"/>
  <c r="Q4" i="6" s="1"/>
  <c r="R4" i="6" s="1"/>
  <c r="S4" i="6" s="1"/>
  <c r="T4" i="6" s="1"/>
  <c r="U4" i="6" s="1"/>
  <c r="V4" i="6" s="1"/>
  <c r="W4" i="6" s="1"/>
  <c r="X4" i="6" s="1"/>
  <c r="Y4" i="6" s="1"/>
  <c r="Z4" i="6" s="1"/>
  <c r="AA4" i="6" s="1"/>
  <c r="AB4" i="6" s="1"/>
  <c r="AC4" i="6" s="1"/>
  <c r="AD4" i="6" s="1"/>
  <c r="AE4" i="6" s="1"/>
  <c r="AF4" i="6" s="1"/>
  <c r="AG4" i="6" s="1"/>
  <c r="AH4" i="6" s="1"/>
  <c r="AI4" i="6" s="1"/>
  <c r="AJ4" i="6" s="1"/>
  <c r="AK4" i="6" s="1"/>
  <c r="AL4" i="6" s="1"/>
  <c r="AM4" i="6" s="1"/>
  <c r="AN4" i="6" s="1"/>
  <c r="AO4" i="6" s="1"/>
  <c r="AP4" i="6" s="1"/>
  <c r="L5" i="6"/>
  <c r="M5" i="6"/>
  <c r="N5" i="6"/>
  <c r="O5" i="6"/>
  <c r="P5" i="6"/>
  <c r="Q5" i="6" s="1"/>
  <c r="R5" i="6" s="1"/>
  <c r="S5" i="6" s="1"/>
  <c r="T5" i="6" s="1"/>
  <c r="U5" i="6" s="1"/>
  <c r="V5" i="6" s="1"/>
  <c r="W5" i="6" s="1"/>
  <c r="X5" i="6" s="1"/>
  <c r="Y5" i="6" s="1"/>
  <c r="Z5" i="6" s="1"/>
  <c r="AA5" i="6" s="1"/>
  <c r="AB5" i="6" s="1"/>
  <c r="AC5" i="6" s="1"/>
  <c r="AD5" i="6" s="1"/>
  <c r="AE5" i="6" s="1"/>
  <c r="AF5" i="6" s="1"/>
  <c r="AG5" i="6" s="1"/>
  <c r="AH5" i="6" s="1"/>
  <c r="AI5" i="6" s="1"/>
  <c r="AJ5" i="6" s="1"/>
  <c r="AK5" i="6" s="1"/>
  <c r="AL5" i="6" s="1"/>
  <c r="AM5" i="6" s="1"/>
  <c r="AN5" i="6" s="1"/>
  <c r="AO5" i="6" s="1"/>
  <c r="AP5" i="6" s="1"/>
  <c r="L6" i="6"/>
  <c r="M6" i="6"/>
  <c r="N6" i="6"/>
  <c r="O6" i="6"/>
  <c r="P6" i="6"/>
  <c r="Q6" i="6"/>
  <c r="R6" i="6" s="1"/>
  <c r="S6" i="6" s="1"/>
  <c r="T6" i="6" s="1"/>
  <c r="U6" i="6" s="1"/>
  <c r="V6" i="6" s="1"/>
  <c r="W6" i="6" s="1"/>
  <c r="X6" i="6" s="1"/>
  <c r="Y6" i="6" s="1"/>
  <c r="Z6" i="6" s="1"/>
  <c r="AA6" i="6" s="1"/>
  <c r="AB6" i="6" s="1"/>
  <c r="AC6" i="6" s="1"/>
  <c r="AD6" i="6" s="1"/>
  <c r="AE6" i="6" s="1"/>
  <c r="AF6" i="6" s="1"/>
  <c r="AG6" i="6" s="1"/>
  <c r="AH6" i="6" s="1"/>
  <c r="AI6" i="6" s="1"/>
  <c r="AJ6" i="6" s="1"/>
  <c r="AK6" i="6" s="1"/>
  <c r="AL6" i="6" s="1"/>
  <c r="AM6" i="6" s="1"/>
  <c r="AN6" i="6" s="1"/>
  <c r="AO6" i="6" s="1"/>
  <c r="AP6" i="6" s="1"/>
  <c r="L7" i="6"/>
  <c r="M7" i="6"/>
  <c r="N7" i="6"/>
  <c r="O7" i="6"/>
  <c r="P7" i="6"/>
  <c r="Q7" i="6"/>
  <c r="R7" i="6"/>
  <c r="S7" i="6" s="1"/>
  <c r="T7" i="6" s="1"/>
  <c r="U7" i="6" s="1"/>
  <c r="V7" i="6" s="1"/>
  <c r="W7" i="6" s="1"/>
  <c r="X7" i="6" s="1"/>
  <c r="Y7" i="6" s="1"/>
  <c r="Z7" i="6" s="1"/>
  <c r="AA7" i="6" s="1"/>
  <c r="AB7" i="6" s="1"/>
  <c r="AC7" i="6" s="1"/>
  <c r="AD7" i="6" s="1"/>
  <c r="AE7" i="6" s="1"/>
  <c r="AF7" i="6" s="1"/>
  <c r="AG7" i="6" s="1"/>
  <c r="AH7" i="6" s="1"/>
  <c r="AI7" i="6" s="1"/>
  <c r="AJ7" i="6" s="1"/>
  <c r="AK7" i="6" s="1"/>
  <c r="AL7" i="6" s="1"/>
  <c r="AM7" i="6" s="1"/>
  <c r="AN7" i="6" s="1"/>
  <c r="AO7" i="6" s="1"/>
  <c r="AP7" i="6" s="1"/>
  <c r="L8" i="6"/>
  <c r="M8" i="6"/>
  <c r="N8" i="6"/>
  <c r="O8" i="6"/>
  <c r="P8" i="6"/>
  <c r="Q8" i="6"/>
  <c r="R8" i="6"/>
  <c r="S8" i="6"/>
  <c r="T8" i="6" s="1"/>
  <c r="U8" i="6" s="1"/>
  <c r="V8" i="6" s="1"/>
  <c r="W8" i="6" s="1"/>
  <c r="X8" i="6" s="1"/>
  <c r="Y8" i="6" s="1"/>
  <c r="Z8" i="6" s="1"/>
  <c r="AA8" i="6" s="1"/>
  <c r="AB8" i="6" s="1"/>
  <c r="AC8" i="6" s="1"/>
  <c r="AD8" i="6" s="1"/>
  <c r="AE8" i="6" s="1"/>
  <c r="AF8" i="6" s="1"/>
  <c r="AG8" i="6" s="1"/>
  <c r="AH8" i="6" s="1"/>
  <c r="AI8" i="6" s="1"/>
  <c r="AJ8" i="6" s="1"/>
  <c r="AK8" i="6" s="1"/>
  <c r="AL8" i="6" s="1"/>
  <c r="AM8" i="6" s="1"/>
  <c r="AN8" i="6" s="1"/>
  <c r="AO8" i="6" s="1"/>
  <c r="AP8" i="6" s="1"/>
  <c r="D2" i="6"/>
  <c r="E2" i="6" s="1"/>
  <c r="F2" i="6" s="1"/>
  <c r="G2" i="6" s="1"/>
  <c r="H2" i="6" s="1"/>
  <c r="I2" i="6" s="1"/>
  <c r="J2" i="6" s="1"/>
  <c r="K2" i="6" s="1"/>
  <c r="D3" i="6"/>
  <c r="E3" i="6"/>
  <c r="F3" i="6"/>
  <c r="G3" i="6" s="1"/>
  <c r="H3" i="6" s="1"/>
  <c r="I3" i="6" s="1"/>
  <c r="J3" i="6" s="1"/>
  <c r="K3" i="6" s="1"/>
  <c r="D4" i="6"/>
  <c r="E4" i="6" s="1"/>
  <c r="F4" i="6" s="1"/>
  <c r="G4" i="6" s="1"/>
  <c r="H4" i="6" s="1"/>
  <c r="I4" i="6" s="1"/>
  <c r="J4" i="6" s="1"/>
  <c r="K4" i="6" s="1"/>
  <c r="D5" i="6"/>
  <c r="E5" i="6"/>
  <c r="F5" i="6"/>
  <c r="G5" i="6" s="1"/>
  <c r="H5" i="6" s="1"/>
  <c r="I5" i="6" s="1"/>
  <c r="J5" i="6" s="1"/>
  <c r="K5" i="6" s="1"/>
  <c r="D6" i="6"/>
  <c r="E6" i="6" s="1"/>
  <c r="F6" i="6" s="1"/>
  <c r="G6" i="6" s="1"/>
  <c r="H6" i="6" s="1"/>
  <c r="I6" i="6" s="1"/>
  <c r="J6" i="6" s="1"/>
  <c r="K6" i="6" s="1"/>
  <c r="D7" i="6"/>
  <c r="E7" i="6"/>
  <c r="F7" i="6"/>
  <c r="G7" i="6"/>
  <c r="H7" i="6"/>
  <c r="I7" i="6"/>
  <c r="J7" i="6"/>
  <c r="K7" i="6"/>
  <c r="D8" i="6"/>
  <c r="E8" i="6" s="1"/>
  <c r="F8" i="6" s="1"/>
  <c r="G8" i="6" s="1"/>
  <c r="H8" i="6" s="1"/>
  <c r="I8" i="6" s="1"/>
  <c r="J8" i="6" s="1"/>
  <c r="K8" i="6" s="1"/>
  <c r="C8" i="6"/>
  <c r="C3" i="6"/>
  <c r="C4" i="6"/>
  <c r="C5" i="6"/>
  <c r="C6" i="6"/>
  <c r="C7" i="6"/>
  <c r="C2" i="6"/>
  <c r="D2" i="5"/>
  <c r="E2" i="5" s="1"/>
  <c r="F2" i="5" s="1"/>
  <c r="G2" i="5" s="1"/>
  <c r="H2" i="5" s="1"/>
  <c r="I2" i="5" s="1"/>
  <c r="J2" i="5" s="1"/>
  <c r="K2" i="5" s="1"/>
  <c r="L2" i="5" s="1"/>
  <c r="M2" i="5" s="1"/>
  <c r="N2" i="5" s="1"/>
  <c r="O2" i="5" s="1"/>
  <c r="P2" i="5" s="1"/>
  <c r="Q2" i="5" s="1"/>
  <c r="R2" i="5" s="1"/>
  <c r="S2" i="5" s="1"/>
  <c r="T2" i="5" s="1"/>
  <c r="U2" i="5" s="1"/>
  <c r="V2" i="5" s="1"/>
  <c r="W2" i="5" s="1"/>
  <c r="X2" i="5" s="1"/>
  <c r="Y2" i="5" s="1"/>
  <c r="Z2" i="5" s="1"/>
  <c r="AA2" i="5" s="1"/>
  <c r="AB2" i="5" s="1"/>
  <c r="AC2" i="5" s="1"/>
  <c r="AD2" i="5" s="1"/>
  <c r="AE2" i="5" s="1"/>
  <c r="AF2" i="5" s="1"/>
  <c r="AG2" i="5" s="1"/>
  <c r="AH2" i="5" s="1"/>
  <c r="AI2" i="5" s="1"/>
  <c r="AJ2" i="5" s="1"/>
  <c r="AK2" i="5" s="1"/>
  <c r="AL2" i="5" s="1"/>
  <c r="AM2" i="5" s="1"/>
  <c r="AN2" i="5" s="1"/>
  <c r="AO2" i="5" s="1"/>
  <c r="AP2" i="5" s="1"/>
  <c r="D3" i="5"/>
  <c r="E3" i="5"/>
  <c r="F3" i="5"/>
  <c r="G3" i="5"/>
  <c r="H3" i="5"/>
  <c r="I3" i="5"/>
  <c r="J3" i="5"/>
  <c r="K3" i="5"/>
  <c r="L3" i="5"/>
  <c r="M3" i="5"/>
  <c r="N3" i="5" s="1"/>
  <c r="O3" i="5" s="1"/>
  <c r="P3" i="5" s="1"/>
  <c r="Q3" i="5" s="1"/>
  <c r="R3" i="5" s="1"/>
  <c r="S3" i="5" s="1"/>
  <c r="T3" i="5" s="1"/>
  <c r="U3" i="5" s="1"/>
  <c r="V3" i="5" s="1"/>
  <c r="W3" i="5" s="1"/>
  <c r="X3" i="5" s="1"/>
  <c r="Y3" i="5" s="1"/>
  <c r="Z3" i="5" s="1"/>
  <c r="AA3" i="5" s="1"/>
  <c r="AB3" i="5" s="1"/>
  <c r="AC3" i="5" s="1"/>
  <c r="AD3" i="5" s="1"/>
  <c r="AE3" i="5" s="1"/>
  <c r="AF3" i="5" s="1"/>
  <c r="AG3" i="5" s="1"/>
  <c r="AH3" i="5" s="1"/>
  <c r="AI3" i="5" s="1"/>
  <c r="AJ3" i="5" s="1"/>
  <c r="AK3" i="5" s="1"/>
  <c r="AL3" i="5" s="1"/>
  <c r="AM3" i="5" s="1"/>
  <c r="AN3" i="5" s="1"/>
  <c r="AO3" i="5" s="1"/>
  <c r="AP3" i="5" s="1"/>
  <c r="D4" i="5"/>
  <c r="E4" i="5"/>
  <c r="F4" i="5"/>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H4" i="5" s="1"/>
  <c r="AI4" i="5" s="1"/>
  <c r="AJ4" i="5" s="1"/>
  <c r="AK4" i="5" s="1"/>
  <c r="AL4" i="5" s="1"/>
  <c r="AM4" i="5" s="1"/>
  <c r="AN4" i="5" s="1"/>
  <c r="AO4" i="5" s="1"/>
  <c r="AP4" i="5" s="1"/>
  <c r="D5" i="5"/>
  <c r="E5" i="5" s="1"/>
  <c r="F5" i="5" s="1"/>
  <c r="G5" i="5" s="1"/>
  <c r="H5" i="5" s="1"/>
  <c r="I5" i="5" s="1"/>
  <c r="J5" i="5" s="1"/>
  <c r="K5" i="5" s="1"/>
  <c r="L5" i="5" s="1"/>
  <c r="M5" i="5" s="1"/>
  <c r="N5" i="5" s="1"/>
  <c r="O5" i="5" s="1"/>
  <c r="P5" i="5" s="1"/>
  <c r="Q5" i="5" s="1"/>
  <c r="R5" i="5" s="1"/>
  <c r="S5" i="5" s="1"/>
  <c r="T5" i="5" s="1"/>
  <c r="U5" i="5" s="1"/>
  <c r="V5" i="5" s="1"/>
  <c r="W5" i="5" s="1"/>
  <c r="X5" i="5" s="1"/>
  <c r="Y5" i="5" s="1"/>
  <c r="Z5" i="5" s="1"/>
  <c r="AA5" i="5" s="1"/>
  <c r="AB5" i="5" s="1"/>
  <c r="AC5" i="5" s="1"/>
  <c r="AD5" i="5" s="1"/>
  <c r="AE5" i="5" s="1"/>
  <c r="AF5" i="5" s="1"/>
  <c r="AG5" i="5" s="1"/>
  <c r="AH5" i="5" s="1"/>
  <c r="AI5" i="5" s="1"/>
  <c r="AJ5" i="5" s="1"/>
  <c r="AK5" i="5" s="1"/>
  <c r="AL5" i="5" s="1"/>
  <c r="AM5" i="5" s="1"/>
  <c r="AN5" i="5" s="1"/>
  <c r="AO5" i="5" s="1"/>
  <c r="AP5" i="5" s="1"/>
  <c r="D6" i="5"/>
  <c r="E6" i="5"/>
  <c r="F6" i="5"/>
  <c r="G6" i="5"/>
  <c r="H6" i="5"/>
  <c r="I6" i="5" s="1"/>
  <c r="J6" i="5" s="1"/>
  <c r="K6" i="5" s="1"/>
  <c r="L6" i="5" s="1"/>
  <c r="M6" i="5" s="1"/>
  <c r="N6" i="5" s="1"/>
  <c r="O6" i="5" s="1"/>
  <c r="P6" i="5" s="1"/>
  <c r="Q6" i="5" s="1"/>
  <c r="R6" i="5" s="1"/>
  <c r="S6" i="5" s="1"/>
  <c r="T6" i="5" s="1"/>
  <c r="U6" i="5" s="1"/>
  <c r="V6" i="5" s="1"/>
  <c r="W6" i="5" s="1"/>
  <c r="X6" i="5" s="1"/>
  <c r="Y6" i="5" s="1"/>
  <c r="Z6" i="5" s="1"/>
  <c r="AA6" i="5" s="1"/>
  <c r="AB6" i="5" s="1"/>
  <c r="AC6" i="5" s="1"/>
  <c r="AD6" i="5" s="1"/>
  <c r="AE6" i="5" s="1"/>
  <c r="AF6" i="5" s="1"/>
  <c r="AG6" i="5" s="1"/>
  <c r="AH6" i="5" s="1"/>
  <c r="AI6" i="5" s="1"/>
  <c r="AJ6" i="5" s="1"/>
  <c r="AK6" i="5" s="1"/>
  <c r="AL6" i="5" s="1"/>
  <c r="AM6" i="5" s="1"/>
  <c r="AN6" i="5" s="1"/>
  <c r="AO6" i="5" s="1"/>
  <c r="AP6" i="5" s="1"/>
  <c r="D7" i="5"/>
  <c r="E7" i="5" s="1"/>
  <c r="F7" i="5" s="1"/>
  <c r="G7" i="5" s="1"/>
  <c r="H7" i="5" s="1"/>
  <c r="I7" i="5" s="1"/>
  <c r="J7" i="5" s="1"/>
  <c r="K7" i="5" s="1"/>
  <c r="L7" i="5" s="1"/>
  <c r="M7" i="5" s="1"/>
  <c r="N7" i="5" s="1"/>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D8" i="5"/>
  <c r="E8" i="5"/>
  <c r="F8" i="5"/>
  <c r="G8" i="5"/>
  <c r="H8" i="5"/>
  <c r="I8" i="5"/>
  <c r="J8" i="5"/>
  <c r="K8" i="5" s="1"/>
  <c r="L8" i="5" s="1"/>
  <c r="M8" i="5" s="1"/>
  <c r="N8" i="5" s="1"/>
  <c r="O8" i="5" s="1"/>
  <c r="P8" i="5" s="1"/>
  <c r="Q8" i="5" s="1"/>
  <c r="R8" i="5" s="1"/>
  <c r="S8" i="5" s="1"/>
  <c r="T8" i="5" s="1"/>
  <c r="U8" i="5" s="1"/>
  <c r="V8" i="5" s="1"/>
  <c r="W8" i="5" s="1"/>
  <c r="X8" i="5" s="1"/>
  <c r="Y8" i="5" s="1"/>
  <c r="Z8" i="5" s="1"/>
  <c r="AA8" i="5" s="1"/>
  <c r="AB8" i="5" s="1"/>
  <c r="AC8" i="5" s="1"/>
  <c r="AD8" i="5" s="1"/>
  <c r="AE8" i="5" s="1"/>
  <c r="AF8" i="5" s="1"/>
  <c r="AG8" i="5" s="1"/>
  <c r="AH8" i="5" s="1"/>
  <c r="AI8" i="5" s="1"/>
  <c r="AJ8" i="5" s="1"/>
  <c r="AK8" i="5" s="1"/>
  <c r="AL8" i="5" s="1"/>
  <c r="AM8" i="5" s="1"/>
  <c r="AN8" i="5" s="1"/>
  <c r="AO8" i="5" s="1"/>
  <c r="AP8" i="5" s="1"/>
  <c r="C3" i="5"/>
  <c r="C4" i="5"/>
  <c r="C5" i="5"/>
  <c r="C6" i="5"/>
  <c r="C7" i="5"/>
  <c r="C8" i="5"/>
  <c r="C2" i="5"/>
  <c r="D2" i="2"/>
  <c r="E2" i="2"/>
  <c r="F2" i="2"/>
  <c r="G2" i="2" s="1"/>
  <c r="H2" i="2" s="1"/>
  <c r="I2" i="2" s="1"/>
  <c r="J2" i="2" s="1"/>
  <c r="K2" i="2" s="1"/>
  <c r="L2" i="2" s="1"/>
  <c r="M2" i="2" s="1"/>
  <c r="N2" i="2" s="1"/>
  <c r="O2" i="2" s="1"/>
  <c r="P2" i="2" s="1"/>
  <c r="Q2" i="2" s="1"/>
  <c r="R2" i="2" s="1"/>
  <c r="S2" i="2" s="1"/>
  <c r="T2" i="2" s="1"/>
  <c r="U2" i="2" s="1"/>
  <c r="V2" i="2" s="1"/>
  <c r="W2" i="2" s="1"/>
  <c r="X2" i="2" s="1"/>
  <c r="Y2" i="2" s="1"/>
  <c r="Z2" i="2" s="1"/>
  <c r="AA2" i="2" s="1"/>
  <c r="AB2" i="2" s="1"/>
  <c r="AC2" i="2" s="1"/>
  <c r="AD2" i="2" s="1"/>
  <c r="AE2" i="2" s="1"/>
  <c r="AF2" i="2" s="1"/>
  <c r="AG2" i="2" s="1"/>
  <c r="AH2" i="2" s="1"/>
  <c r="AI2" i="2" s="1"/>
  <c r="AJ2" i="2" s="1"/>
  <c r="AK2" i="2" s="1"/>
  <c r="AL2" i="2" s="1"/>
  <c r="AM2" i="2" s="1"/>
  <c r="AN2" i="2" s="1"/>
  <c r="AO2" i="2" s="1"/>
  <c r="AP2" i="2" s="1"/>
  <c r="D3" i="2"/>
  <c r="E3" i="2"/>
  <c r="F3" i="2" s="1"/>
  <c r="G3" i="2" s="1"/>
  <c r="H3" i="2" s="1"/>
  <c r="I3" i="2" s="1"/>
  <c r="J3" i="2" s="1"/>
  <c r="K3" i="2" s="1"/>
  <c r="L3" i="2" s="1"/>
  <c r="M3" i="2" s="1"/>
  <c r="N3" i="2" s="1"/>
  <c r="O3" i="2" s="1"/>
  <c r="P3" i="2" s="1"/>
  <c r="Q3" i="2" s="1"/>
  <c r="R3" i="2" s="1"/>
  <c r="S3" i="2" s="1"/>
  <c r="T3" i="2" s="1"/>
  <c r="U3" i="2" s="1"/>
  <c r="V3" i="2" s="1"/>
  <c r="W3" i="2" s="1"/>
  <c r="X3" i="2" s="1"/>
  <c r="Y3" i="2" s="1"/>
  <c r="Z3" i="2" s="1"/>
  <c r="AA3" i="2" s="1"/>
  <c r="AB3" i="2" s="1"/>
  <c r="AC3" i="2" s="1"/>
  <c r="AD3" i="2" s="1"/>
  <c r="AE3" i="2" s="1"/>
  <c r="AF3" i="2" s="1"/>
  <c r="AG3" i="2" s="1"/>
  <c r="AH3" i="2" s="1"/>
  <c r="AI3" i="2" s="1"/>
  <c r="AJ3" i="2" s="1"/>
  <c r="AK3" i="2" s="1"/>
  <c r="AL3" i="2" s="1"/>
  <c r="AM3" i="2" s="1"/>
  <c r="AN3" i="2" s="1"/>
  <c r="AO3" i="2" s="1"/>
  <c r="AP3" i="2" s="1"/>
  <c r="D4" i="2"/>
  <c r="E4" i="2"/>
  <c r="F4" i="2" s="1"/>
  <c r="G4" i="2" s="1"/>
  <c r="H4" i="2" s="1"/>
  <c r="I4" i="2" s="1"/>
  <c r="J4" i="2" s="1"/>
  <c r="K4" i="2" s="1"/>
  <c r="L4" i="2" s="1"/>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AK4" i="2" s="1"/>
  <c r="AL4" i="2" s="1"/>
  <c r="AM4" i="2" s="1"/>
  <c r="AN4" i="2" s="1"/>
  <c r="AO4" i="2" s="1"/>
  <c r="AP4" i="2" s="1"/>
  <c r="D5" i="2"/>
  <c r="E5" i="2"/>
  <c r="F5" i="2"/>
  <c r="G5" i="2"/>
  <c r="H5" i="2" s="1"/>
  <c r="I5" i="2" s="1"/>
  <c r="J5" i="2" s="1"/>
  <c r="K5" i="2" s="1"/>
  <c r="L5" i="2" s="1"/>
  <c r="M5" i="2" s="1"/>
  <c r="N5" i="2" s="1"/>
  <c r="O5" i="2" s="1"/>
  <c r="P5" i="2" s="1"/>
  <c r="Q5" i="2" s="1"/>
  <c r="R5" i="2" s="1"/>
  <c r="S5" i="2" s="1"/>
  <c r="T5" i="2" s="1"/>
  <c r="U5" i="2" s="1"/>
  <c r="V5" i="2" s="1"/>
  <c r="W5" i="2" s="1"/>
  <c r="X5" i="2" s="1"/>
  <c r="Y5" i="2" s="1"/>
  <c r="Z5" i="2" s="1"/>
  <c r="AA5" i="2" s="1"/>
  <c r="AB5" i="2" s="1"/>
  <c r="AC5" i="2" s="1"/>
  <c r="AD5" i="2" s="1"/>
  <c r="AE5" i="2" s="1"/>
  <c r="AF5" i="2" s="1"/>
  <c r="AG5" i="2" s="1"/>
  <c r="AH5" i="2" s="1"/>
  <c r="AI5" i="2" s="1"/>
  <c r="AJ5" i="2" s="1"/>
  <c r="AK5" i="2" s="1"/>
  <c r="AL5" i="2" s="1"/>
  <c r="AM5" i="2" s="1"/>
  <c r="AN5" i="2" s="1"/>
  <c r="AO5" i="2" s="1"/>
  <c r="AP5" i="2" s="1"/>
  <c r="D6" i="2"/>
  <c r="E6" i="2"/>
  <c r="F6" i="2"/>
  <c r="G6" i="2"/>
  <c r="H6" i="2" s="1"/>
  <c r="I6" i="2" s="1"/>
  <c r="J6" i="2" s="1"/>
  <c r="K6" i="2" s="1"/>
  <c r="L6" i="2" s="1"/>
  <c r="M6" i="2" s="1"/>
  <c r="N6" i="2" s="1"/>
  <c r="O6" i="2" s="1"/>
  <c r="P6" i="2" s="1"/>
  <c r="Q6" i="2" s="1"/>
  <c r="R6" i="2" s="1"/>
  <c r="S6" i="2" s="1"/>
  <c r="T6" i="2" s="1"/>
  <c r="U6" i="2" s="1"/>
  <c r="V6" i="2" s="1"/>
  <c r="W6" i="2" s="1"/>
  <c r="X6" i="2" s="1"/>
  <c r="Y6" i="2" s="1"/>
  <c r="Z6" i="2" s="1"/>
  <c r="AA6" i="2" s="1"/>
  <c r="AB6" i="2" s="1"/>
  <c r="AC6" i="2" s="1"/>
  <c r="AD6" i="2" s="1"/>
  <c r="AE6" i="2" s="1"/>
  <c r="AF6" i="2" s="1"/>
  <c r="AG6" i="2" s="1"/>
  <c r="AH6" i="2" s="1"/>
  <c r="AI6" i="2" s="1"/>
  <c r="AJ6" i="2" s="1"/>
  <c r="AK6" i="2" s="1"/>
  <c r="AL6" i="2" s="1"/>
  <c r="AM6" i="2" s="1"/>
  <c r="AN6" i="2" s="1"/>
  <c r="AO6" i="2" s="1"/>
  <c r="AP6" i="2" s="1"/>
  <c r="D7" i="2"/>
  <c r="E7" i="2"/>
  <c r="F7" i="2"/>
  <c r="G7" i="2"/>
  <c r="H7" i="2"/>
  <c r="I7" i="2"/>
  <c r="J7" i="2" s="1"/>
  <c r="K7" i="2" s="1"/>
  <c r="L7" i="2" s="1"/>
  <c r="M7" i="2" s="1"/>
  <c r="N7" i="2" s="1"/>
  <c r="O7" i="2" s="1"/>
  <c r="P7" i="2" s="1"/>
  <c r="Q7" i="2" s="1"/>
  <c r="R7" i="2" s="1"/>
  <c r="S7" i="2" s="1"/>
  <c r="T7" i="2" s="1"/>
  <c r="U7" i="2" s="1"/>
  <c r="V7" i="2" s="1"/>
  <c r="W7" i="2" s="1"/>
  <c r="X7" i="2" s="1"/>
  <c r="Y7" i="2" s="1"/>
  <c r="Z7" i="2" s="1"/>
  <c r="AA7" i="2" s="1"/>
  <c r="AB7" i="2" s="1"/>
  <c r="AC7" i="2" s="1"/>
  <c r="AD7" i="2" s="1"/>
  <c r="AE7" i="2" s="1"/>
  <c r="AF7" i="2" s="1"/>
  <c r="AG7" i="2" s="1"/>
  <c r="AH7" i="2" s="1"/>
  <c r="AI7" i="2" s="1"/>
  <c r="AJ7" i="2" s="1"/>
  <c r="AK7" i="2" s="1"/>
  <c r="AL7" i="2" s="1"/>
  <c r="AM7" i="2" s="1"/>
  <c r="AN7" i="2" s="1"/>
  <c r="AO7" i="2" s="1"/>
  <c r="AP7" i="2" s="1"/>
  <c r="D8" i="2"/>
  <c r="E8" i="2"/>
  <c r="F8" i="2"/>
  <c r="G8" i="2"/>
  <c r="H8" i="2"/>
  <c r="I8" i="2"/>
  <c r="J8" i="2" s="1"/>
  <c r="K8" i="2" s="1"/>
  <c r="L8" i="2" s="1"/>
  <c r="M8" i="2" s="1"/>
  <c r="N8" i="2" s="1"/>
  <c r="O8" i="2" s="1"/>
  <c r="P8" i="2" s="1"/>
  <c r="Q8" i="2" s="1"/>
  <c r="R8" i="2" s="1"/>
  <c r="S8" i="2" s="1"/>
  <c r="T8" i="2" s="1"/>
  <c r="U8" i="2" s="1"/>
  <c r="V8" i="2" s="1"/>
  <c r="W8" i="2" s="1"/>
  <c r="X8" i="2" s="1"/>
  <c r="Y8" i="2" s="1"/>
  <c r="Z8" i="2" s="1"/>
  <c r="AA8" i="2" s="1"/>
  <c r="AB8" i="2" s="1"/>
  <c r="AC8" i="2" s="1"/>
  <c r="AD8" i="2" s="1"/>
  <c r="AE8" i="2" s="1"/>
  <c r="AF8" i="2" s="1"/>
  <c r="AG8" i="2" s="1"/>
  <c r="AH8" i="2" s="1"/>
  <c r="AI8" i="2" s="1"/>
  <c r="AJ8" i="2" s="1"/>
  <c r="AK8" i="2" s="1"/>
  <c r="AL8" i="2" s="1"/>
  <c r="AM8" i="2" s="1"/>
  <c r="AN8" i="2" s="1"/>
  <c r="AO8" i="2" s="1"/>
  <c r="AP8" i="2" s="1"/>
  <c r="C3" i="2"/>
  <c r="C4" i="2"/>
  <c r="C5" i="2"/>
  <c r="C6" i="2"/>
  <c r="C7" i="2"/>
  <c r="C8" i="2"/>
  <c r="C2" i="2"/>
  <c r="AP7" i="14" l="1"/>
  <c r="AP2" i="14"/>
  <c r="AG3" i="14"/>
  <c r="AM7" i="14"/>
  <c r="AG6" i="14"/>
  <c r="AO2" i="14"/>
  <c r="AG8" i="14"/>
  <c r="AO7" i="14"/>
  <c r="AN7" i="14"/>
  <c r="AL7" i="14"/>
  <c r="AP5" i="14"/>
  <c r="AN2" i="14"/>
  <c r="AG5" i="14"/>
  <c r="AO5" i="14"/>
  <c r="AP8" i="14"/>
  <c r="AJ7" i="14"/>
  <c r="AN5" i="14"/>
  <c r="AL2" i="14"/>
  <c r="AP3" i="14"/>
  <c r="AG7" i="14"/>
  <c r="AI5" i="13"/>
  <c r="AH2" i="13"/>
  <c r="AG8" i="13"/>
  <c r="R5" i="11"/>
  <c r="E5" i="11"/>
  <c r="R5" i="10"/>
  <c r="Q8" i="10"/>
  <c r="P8" i="10"/>
  <c r="E5" i="10"/>
  <c r="AN8" i="9"/>
  <c r="AO5" i="9"/>
  <c r="AM8" i="9"/>
  <c r="H3" i="39"/>
  <c r="G3" i="39"/>
  <c r="F3" i="39"/>
  <c r="E3" i="39"/>
  <c r="D3" i="39"/>
  <c r="C3" i="39"/>
  <c r="B3" i="39"/>
  <c r="F4" i="39"/>
  <c r="G4" i="39"/>
  <c r="AI2" i="13" l="1"/>
  <c r="AI8" i="13"/>
  <c r="AJ5" i="13"/>
  <c r="S5" i="11"/>
  <c r="R8" i="11"/>
  <c r="E8" i="11"/>
  <c r="F5" i="11"/>
  <c r="S5" i="10"/>
  <c r="R8" i="10"/>
  <c r="E8" i="10"/>
  <c r="F5" i="10"/>
  <c r="AP5" i="9"/>
  <c r="AP8" i="9" s="1"/>
  <c r="AO8" i="9"/>
  <c r="B5" i="13"/>
  <c r="B4" i="14"/>
  <c r="AJ8" i="13" l="1"/>
  <c r="AJ2" i="13"/>
  <c r="AK5" i="13"/>
  <c r="T5" i="11"/>
  <c r="S8" i="11"/>
  <c r="G5" i="11"/>
  <c r="F8" i="11"/>
  <c r="T5" i="10"/>
  <c r="S8" i="10"/>
  <c r="F8" i="10"/>
  <c r="G5" i="10"/>
  <c r="L1" i="39" a="1"/>
  <c r="L1" i="39" s="1"/>
  <c r="B2" i="12" a="1"/>
  <c r="B2" i="12" s="1"/>
  <c r="C2" i="12" s="1"/>
  <c r="D2" i="12" s="1"/>
  <c r="E2" i="12" s="1"/>
  <c r="F2" i="12" s="1"/>
  <c r="G2" i="12" s="1"/>
  <c r="H2" i="12" s="1"/>
  <c r="I2" i="12" s="1"/>
  <c r="J2" i="12" s="1"/>
  <c r="K2" i="12" s="1"/>
  <c r="L2" i="12" s="1"/>
  <c r="M2" i="12" s="1"/>
  <c r="N2" i="12" s="1"/>
  <c r="O2" i="12" s="1"/>
  <c r="P2" i="12" s="1"/>
  <c r="Q2" i="12" s="1"/>
  <c r="R2" i="12" s="1"/>
  <c r="S2" i="12" s="1"/>
  <c r="T2" i="12" s="1"/>
  <c r="U2" i="12" s="1"/>
  <c r="V2" i="12" s="1"/>
  <c r="W2" i="12" s="1"/>
  <c r="X2" i="12" s="1"/>
  <c r="Y2" i="12" s="1"/>
  <c r="Z2" i="12" s="1"/>
  <c r="AA2" i="12" s="1"/>
  <c r="AB2" i="12" s="1"/>
  <c r="AC2" i="12" s="1"/>
  <c r="AD2" i="12" s="1"/>
  <c r="AE2" i="12" s="1"/>
  <c r="AF2" i="12" s="1"/>
  <c r="AK8" i="13" l="1"/>
  <c r="AL5" i="13"/>
  <c r="AK2" i="13"/>
  <c r="T8" i="11"/>
  <c r="U5" i="11"/>
  <c r="H5" i="11"/>
  <c r="G8" i="11"/>
  <c r="T8" i="10"/>
  <c r="U5" i="10"/>
  <c r="H5" i="10"/>
  <c r="G8" i="10"/>
  <c r="L5" i="39"/>
  <c r="L7" i="39"/>
  <c r="L6" i="39"/>
  <c r="L4" i="39"/>
  <c r="L3" i="39"/>
  <c r="L2" i="39"/>
  <c r="B3" i="12"/>
  <c r="C3" i="12" s="1"/>
  <c r="D3" i="12" s="1"/>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AF3" i="12" s="1"/>
  <c r="B8" i="12"/>
  <c r="C8" i="12" s="1"/>
  <c r="D8" i="12" s="1"/>
  <c r="E8" i="12" s="1"/>
  <c r="F8" i="12" s="1"/>
  <c r="G8" i="12" s="1"/>
  <c r="H8" i="12" s="1"/>
  <c r="I8" i="12" s="1"/>
  <c r="J8" i="12" s="1"/>
  <c r="K8" i="12" s="1"/>
  <c r="L8" i="12" s="1"/>
  <c r="M8" i="12" s="1"/>
  <c r="N8" i="12" s="1"/>
  <c r="O8" i="12" s="1"/>
  <c r="P8" i="12" s="1"/>
  <c r="Q8" i="12" s="1"/>
  <c r="R8" i="12" s="1"/>
  <c r="S8" i="12" s="1"/>
  <c r="T8" i="12" s="1"/>
  <c r="U8" i="12" s="1"/>
  <c r="V8" i="12" s="1"/>
  <c r="W8" i="12" s="1"/>
  <c r="X8" i="12" s="1"/>
  <c r="Y8" i="12" s="1"/>
  <c r="Z8" i="12" s="1"/>
  <c r="AA8" i="12" s="1"/>
  <c r="AB8" i="12" s="1"/>
  <c r="AC8" i="12" s="1"/>
  <c r="AD8" i="12" s="1"/>
  <c r="AE8" i="12" s="1"/>
  <c r="AF8" i="12" s="1"/>
  <c r="B7" i="12"/>
  <c r="C7" i="12" s="1"/>
  <c r="D7" i="12" s="1"/>
  <c r="E7" i="12" s="1"/>
  <c r="F7" i="12" s="1"/>
  <c r="G7" i="12" s="1"/>
  <c r="H7" i="12" s="1"/>
  <c r="I7" i="12" s="1"/>
  <c r="J7" i="12" s="1"/>
  <c r="K7" i="12" s="1"/>
  <c r="L7" i="12" s="1"/>
  <c r="M7" i="12" s="1"/>
  <c r="N7" i="12" s="1"/>
  <c r="O7" i="12" s="1"/>
  <c r="P7" i="12" s="1"/>
  <c r="Q7" i="12" s="1"/>
  <c r="R7" i="12" s="1"/>
  <c r="S7" i="12" s="1"/>
  <c r="T7" i="12" s="1"/>
  <c r="U7" i="12" s="1"/>
  <c r="V7" i="12" s="1"/>
  <c r="W7" i="12" s="1"/>
  <c r="X7" i="12" s="1"/>
  <c r="Y7" i="12" s="1"/>
  <c r="Z7" i="12" s="1"/>
  <c r="AA7" i="12" s="1"/>
  <c r="AB7" i="12" s="1"/>
  <c r="AC7" i="12" s="1"/>
  <c r="AD7" i="12" s="1"/>
  <c r="AE7" i="12" s="1"/>
  <c r="AF7" i="12" s="1"/>
  <c r="B6" i="12"/>
  <c r="C6" i="12" s="1"/>
  <c r="D6" i="12" s="1"/>
  <c r="E6" i="12" s="1"/>
  <c r="F6" i="12" s="1"/>
  <c r="G6" i="12" s="1"/>
  <c r="H6" i="12" s="1"/>
  <c r="I6" i="12" s="1"/>
  <c r="J6" i="12" s="1"/>
  <c r="K6" i="12" s="1"/>
  <c r="L6" i="12" s="1"/>
  <c r="M6" i="12" s="1"/>
  <c r="N6" i="12" s="1"/>
  <c r="O6" i="12" s="1"/>
  <c r="P6" i="12" s="1"/>
  <c r="Q6" i="12" s="1"/>
  <c r="R6" i="12" s="1"/>
  <c r="S6" i="12" s="1"/>
  <c r="T6" i="12" s="1"/>
  <c r="U6" i="12" s="1"/>
  <c r="V6" i="12" s="1"/>
  <c r="W6" i="12" s="1"/>
  <c r="X6" i="12" s="1"/>
  <c r="Y6" i="12" s="1"/>
  <c r="Z6" i="12" s="1"/>
  <c r="AA6" i="12" s="1"/>
  <c r="AB6" i="12" s="1"/>
  <c r="AC6" i="12" s="1"/>
  <c r="AD6" i="12" s="1"/>
  <c r="AE6" i="12" s="1"/>
  <c r="AF6" i="12" s="1"/>
  <c r="B5" i="12"/>
  <c r="C5" i="12" s="1"/>
  <c r="D5" i="12" s="1"/>
  <c r="E5" i="12" s="1"/>
  <c r="F5" i="12" s="1"/>
  <c r="G5" i="12" s="1"/>
  <c r="H5" i="12" s="1"/>
  <c r="I5" i="12" s="1"/>
  <c r="J5" i="12" s="1"/>
  <c r="K5" i="12" s="1"/>
  <c r="L5" i="12" s="1"/>
  <c r="M5" i="12" s="1"/>
  <c r="N5" i="12" s="1"/>
  <c r="O5" i="12" s="1"/>
  <c r="P5" i="12" s="1"/>
  <c r="Q5" i="12" s="1"/>
  <c r="R5" i="12" s="1"/>
  <c r="S5" i="12" s="1"/>
  <c r="T5" i="12" s="1"/>
  <c r="U5" i="12" s="1"/>
  <c r="V5" i="12" s="1"/>
  <c r="W5" i="12" s="1"/>
  <c r="X5" i="12" s="1"/>
  <c r="Y5" i="12" s="1"/>
  <c r="Z5" i="12" s="1"/>
  <c r="AA5" i="12" s="1"/>
  <c r="AB5" i="12" s="1"/>
  <c r="AC5" i="12" s="1"/>
  <c r="AD5" i="12" s="1"/>
  <c r="AE5" i="12" s="1"/>
  <c r="AF5" i="12" s="1"/>
  <c r="B4" i="12"/>
  <c r="C4" i="12" s="1"/>
  <c r="D4" i="12" s="1"/>
  <c r="E4" i="12" s="1"/>
  <c r="F4" i="12" s="1"/>
  <c r="G4" i="12" s="1"/>
  <c r="H4" i="12" s="1"/>
  <c r="I4" i="12" s="1"/>
  <c r="J4" i="12" s="1"/>
  <c r="K4" i="12" s="1"/>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AM5" i="13" l="1"/>
  <c r="AL8" i="13"/>
  <c r="AL2" i="13"/>
  <c r="U8" i="11"/>
  <c r="V5" i="11"/>
  <c r="I5" i="11"/>
  <c r="H8" i="11"/>
  <c r="U8" i="10"/>
  <c r="V5" i="10"/>
  <c r="H8" i="10"/>
  <c r="I5" i="10"/>
  <c r="B102" i="18"/>
  <c r="B101" i="18"/>
  <c r="B100" i="18"/>
  <c r="C102" i="18"/>
  <c r="D102" i="18" s="1"/>
  <c r="C101" i="18"/>
  <c r="C100" i="18"/>
  <c r="C89" i="18"/>
  <c r="D89" i="18"/>
  <c r="E89" i="18"/>
  <c r="F89" i="18"/>
  <c r="G89" i="18"/>
  <c r="H89" i="18"/>
  <c r="I89" i="18"/>
  <c r="J89" i="18"/>
  <c r="K89" i="18"/>
  <c r="L89" i="18"/>
  <c r="M89" i="18"/>
  <c r="N89" i="18"/>
  <c r="O89" i="18"/>
  <c r="P89" i="18"/>
  <c r="Q89" i="18"/>
  <c r="R89" i="18"/>
  <c r="S89" i="18"/>
  <c r="T89" i="18"/>
  <c r="U89" i="18"/>
  <c r="V89" i="18"/>
  <c r="W89" i="18"/>
  <c r="X89" i="18"/>
  <c r="Y89" i="18"/>
  <c r="Z89" i="18"/>
  <c r="AA89" i="18"/>
  <c r="AB89" i="18"/>
  <c r="AC89" i="18"/>
  <c r="AD89" i="18"/>
  <c r="AE89" i="18"/>
  <c r="AF89" i="18"/>
  <c r="C90" i="18"/>
  <c r="D90" i="18"/>
  <c r="E90" i="18"/>
  <c r="F90" i="18"/>
  <c r="G90" i="18"/>
  <c r="H90" i="18"/>
  <c r="I90" i="18"/>
  <c r="J90" i="18"/>
  <c r="K90" i="18"/>
  <c r="L90" i="18"/>
  <c r="M90" i="18"/>
  <c r="N90" i="18"/>
  <c r="O90" i="18"/>
  <c r="P90" i="18"/>
  <c r="Q90" i="18"/>
  <c r="R90" i="18"/>
  <c r="S90" i="18"/>
  <c r="T90" i="18"/>
  <c r="U90" i="18"/>
  <c r="V90" i="18"/>
  <c r="W90" i="18"/>
  <c r="X90" i="18"/>
  <c r="Y90" i="18"/>
  <c r="Z90" i="18"/>
  <c r="AA90" i="18"/>
  <c r="AB90" i="18"/>
  <c r="AC90" i="18"/>
  <c r="AD90" i="18"/>
  <c r="AE90" i="18"/>
  <c r="AF90" i="18"/>
  <c r="C91" i="18"/>
  <c r="D91" i="18"/>
  <c r="E91" i="18"/>
  <c r="F91" i="18"/>
  <c r="G91" i="18"/>
  <c r="H91" i="18"/>
  <c r="I91" i="18"/>
  <c r="J91" i="18"/>
  <c r="K91" i="18"/>
  <c r="L91" i="18"/>
  <c r="M91" i="18"/>
  <c r="N91" i="18"/>
  <c r="O91" i="18"/>
  <c r="P91" i="18"/>
  <c r="Q91" i="18"/>
  <c r="R91" i="18"/>
  <c r="S91" i="18"/>
  <c r="T91" i="18"/>
  <c r="U91" i="18"/>
  <c r="V91" i="18"/>
  <c r="W91" i="18"/>
  <c r="X91" i="18"/>
  <c r="Y91" i="18"/>
  <c r="Z91" i="18"/>
  <c r="AA91" i="18"/>
  <c r="AB91" i="18"/>
  <c r="AC91" i="18"/>
  <c r="AD91" i="18"/>
  <c r="AE91" i="18"/>
  <c r="AF91" i="18"/>
  <c r="C93" i="18"/>
  <c r="D93" i="18"/>
  <c r="E93" i="18"/>
  <c r="F93" i="18"/>
  <c r="G93" i="18"/>
  <c r="H93" i="18"/>
  <c r="I93" i="18"/>
  <c r="J93" i="18"/>
  <c r="K93" i="18"/>
  <c r="L93" i="18"/>
  <c r="M93" i="18"/>
  <c r="N93" i="18"/>
  <c r="O93" i="18"/>
  <c r="P93" i="18"/>
  <c r="Q93" i="18"/>
  <c r="R93" i="18"/>
  <c r="S93" i="18"/>
  <c r="T93" i="18"/>
  <c r="U93" i="18"/>
  <c r="V93" i="18"/>
  <c r="W93" i="18"/>
  <c r="X93" i="18"/>
  <c r="Y93" i="18"/>
  <c r="Z93" i="18"/>
  <c r="AA93" i="18"/>
  <c r="AB93" i="18"/>
  <c r="AC93" i="18"/>
  <c r="AD93" i="18"/>
  <c r="AE93" i="18"/>
  <c r="AF93" i="18"/>
  <c r="C94" i="18"/>
  <c r="D94" i="18"/>
  <c r="E94" i="18"/>
  <c r="F94" i="18"/>
  <c r="G94" i="18"/>
  <c r="H94" i="18"/>
  <c r="I94" i="18"/>
  <c r="J94" i="18"/>
  <c r="K94" i="18"/>
  <c r="L94" i="18"/>
  <c r="M94" i="18"/>
  <c r="N94" i="18"/>
  <c r="O94" i="18"/>
  <c r="P94" i="18"/>
  <c r="Q94" i="18"/>
  <c r="R94" i="18"/>
  <c r="S94" i="18"/>
  <c r="T94" i="18"/>
  <c r="U94" i="18"/>
  <c r="V94" i="18"/>
  <c r="W94" i="18"/>
  <c r="X94" i="18"/>
  <c r="Y94" i="18"/>
  <c r="Z94" i="18"/>
  <c r="AA94" i="18"/>
  <c r="AB94" i="18"/>
  <c r="AC94" i="18"/>
  <c r="AD94" i="18"/>
  <c r="AE94" i="18"/>
  <c r="AF94" i="18"/>
  <c r="C95" i="18"/>
  <c r="D95" i="18"/>
  <c r="E95" i="18"/>
  <c r="F95" i="18"/>
  <c r="G95" i="18"/>
  <c r="H95" i="18"/>
  <c r="I95" i="18"/>
  <c r="J95" i="18"/>
  <c r="K95" i="18"/>
  <c r="L95" i="18"/>
  <c r="M95" i="18"/>
  <c r="N95" i="18"/>
  <c r="O95" i="18"/>
  <c r="P95" i="18"/>
  <c r="Q95" i="18"/>
  <c r="R95" i="18"/>
  <c r="S95" i="18"/>
  <c r="T95" i="18"/>
  <c r="U95" i="18"/>
  <c r="V95" i="18"/>
  <c r="W95" i="18"/>
  <c r="X95" i="18"/>
  <c r="Y95" i="18"/>
  <c r="Z95" i="18"/>
  <c r="AA95" i="18"/>
  <c r="AB95" i="18"/>
  <c r="AC95" i="18"/>
  <c r="AD95" i="18"/>
  <c r="AE95" i="18"/>
  <c r="AF95" i="18"/>
  <c r="B95" i="18"/>
  <c r="B94" i="18"/>
  <c r="B93" i="18"/>
  <c r="AM2" i="13" l="1"/>
  <c r="AN5" i="13"/>
  <c r="AM8" i="13"/>
  <c r="W5" i="11"/>
  <c r="V8" i="11"/>
  <c r="J5" i="11"/>
  <c r="I8" i="11"/>
  <c r="V8" i="10"/>
  <c r="W5" i="10"/>
  <c r="J5" i="10"/>
  <c r="I8" i="10"/>
  <c r="D100" i="18"/>
  <c r="D101" i="18"/>
  <c r="O97" i="18"/>
  <c r="AD97" i="18"/>
  <c r="V97" i="18"/>
  <c r="N97" i="18"/>
  <c r="F97" i="18"/>
  <c r="AE97" i="18"/>
  <c r="E97" i="18"/>
  <c r="W97" i="18"/>
  <c r="M97" i="18"/>
  <c r="AA97" i="18"/>
  <c r="S97" i="18"/>
  <c r="K97" i="18"/>
  <c r="C97" i="18"/>
  <c r="U97" i="18"/>
  <c r="Y97" i="18"/>
  <c r="Q97" i="18"/>
  <c r="I97" i="18"/>
  <c r="G97" i="18"/>
  <c r="AB97" i="18"/>
  <c r="T97" i="18"/>
  <c r="L97" i="18"/>
  <c r="D97" i="18"/>
  <c r="Z97" i="18"/>
  <c r="R97" i="18"/>
  <c r="J97" i="18"/>
  <c r="AF97" i="18"/>
  <c r="X97" i="18"/>
  <c r="P97" i="18"/>
  <c r="H97" i="18"/>
  <c r="AC97" i="18"/>
  <c r="AO5" i="13" l="1"/>
  <c r="AN2" i="13"/>
  <c r="AN8" i="13"/>
  <c r="X5" i="11"/>
  <c r="W8" i="11"/>
  <c r="J8" i="11"/>
  <c r="K5" i="11"/>
  <c r="W8" i="10"/>
  <c r="X5" i="10"/>
  <c r="K5" i="10"/>
  <c r="J8" i="10"/>
  <c r="B104" i="18"/>
  <c r="B90" i="18"/>
  <c r="B91" i="18"/>
  <c r="B89" i="18"/>
  <c r="B97" i="18" s="1"/>
  <c r="B22" i="37"/>
  <c r="D19" i="37"/>
  <c r="C19" i="37"/>
  <c r="B19" i="37"/>
  <c r="AP5" i="13" l="1"/>
  <c r="AO8" i="13"/>
  <c r="AO2" i="13"/>
  <c r="Y5" i="11"/>
  <c r="X8" i="11"/>
  <c r="K8" i="11"/>
  <c r="L5" i="11"/>
  <c r="X8" i="10"/>
  <c r="Y5" i="10"/>
  <c r="L5" i="10"/>
  <c r="K8" i="10"/>
  <c r="B24" i="37"/>
  <c r="B2" i="5"/>
  <c r="B7" i="5"/>
  <c r="B5" i="5"/>
  <c r="B4" i="5"/>
  <c r="B3" i="5"/>
  <c r="AP2" i="13" l="1"/>
  <c r="AP8" i="13"/>
  <c r="Z5" i="11"/>
  <c r="Y8" i="11"/>
  <c r="L8" i="11"/>
  <c r="M5" i="11"/>
  <c r="Y8" i="10"/>
  <c r="Z5" i="10"/>
  <c r="M5" i="10"/>
  <c r="M8" i="10" s="1"/>
  <c r="L8" i="10"/>
  <c r="B2" i="7"/>
  <c r="C2" i="7" s="1"/>
  <c r="D2" i="7" s="1"/>
  <c r="E2" i="7" s="1"/>
  <c r="F2" i="7" s="1"/>
  <c r="G2" i="7" s="1"/>
  <c r="H2" i="7" s="1"/>
  <c r="I2" i="7" s="1"/>
  <c r="J2" i="7" s="1"/>
  <c r="K2" i="7" s="1"/>
  <c r="L2" i="7" s="1"/>
  <c r="M2" i="7" s="1"/>
  <c r="N2" i="7" s="1"/>
  <c r="O2" i="7" s="1"/>
  <c r="P2" i="7" s="1"/>
  <c r="Q2" i="7" s="1"/>
  <c r="R2" i="7" s="1"/>
  <c r="S2" i="7" s="1"/>
  <c r="T2" i="7" s="1"/>
  <c r="U2" i="7" s="1"/>
  <c r="V2" i="7" s="1"/>
  <c r="W2" i="7" s="1"/>
  <c r="X2" i="7" s="1"/>
  <c r="Y2" i="7" s="1"/>
  <c r="Z2" i="7" s="1"/>
  <c r="AA2" i="7" s="1"/>
  <c r="AB2" i="7" s="1"/>
  <c r="AC2" i="7" s="1"/>
  <c r="AD2" i="7" s="1"/>
  <c r="AE2" i="7" s="1"/>
  <c r="AF2" i="7" s="1"/>
  <c r="B4" i="7"/>
  <c r="C4" i="7" s="1"/>
  <c r="D4" i="7" s="1"/>
  <c r="E4" i="7" s="1"/>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B5" i="7"/>
  <c r="C5" i="7" s="1"/>
  <c r="D5" i="7" s="1"/>
  <c r="E5" i="7" s="1"/>
  <c r="F5" i="7" s="1"/>
  <c r="G5" i="7" s="1"/>
  <c r="H5" i="7" s="1"/>
  <c r="I5" i="7" s="1"/>
  <c r="J5" i="7" s="1"/>
  <c r="K5" i="7" s="1"/>
  <c r="L5" i="7" s="1"/>
  <c r="M5" i="7" s="1"/>
  <c r="N5" i="7" s="1"/>
  <c r="O5" i="7" s="1"/>
  <c r="P5" i="7" s="1"/>
  <c r="Q5" i="7" s="1"/>
  <c r="R5" i="7" s="1"/>
  <c r="S5" i="7" s="1"/>
  <c r="T5" i="7" s="1"/>
  <c r="U5" i="7" s="1"/>
  <c r="V5" i="7" s="1"/>
  <c r="W5" i="7" s="1"/>
  <c r="X5" i="7" s="1"/>
  <c r="Y5" i="7" s="1"/>
  <c r="Z5" i="7" s="1"/>
  <c r="AA5" i="7" s="1"/>
  <c r="AB5" i="7" s="1"/>
  <c r="AC5" i="7" s="1"/>
  <c r="AD5" i="7" s="1"/>
  <c r="AE5" i="7" s="1"/>
  <c r="AF5" i="7" s="1"/>
  <c r="B6" i="7"/>
  <c r="C6" i="7" s="1"/>
  <c r="D6" i="7" s="1"/>
  <c r="E6" i="7" s="1"/>
  <c r="F6" i="7" s="1"/>
  <c r="G6" i="7" s="1"/>
  <c r="H6" i="7" s="1"/>
  <c r="I6" i="7" s="1"/>
  <c r="J6" i="7" s="1"/>
  <c r="K6" i="7" s="1"/>
  <c r="L6" i="7" s="1"/>
  <c r="M6" i="7" s="1"/>
  <c r="N6" i="7" s="1"/>
  <c r="O6" i="7" s="1"/>
  <c r="P6" i="7" s="1"/>
  <c r="Q6" i="7" s="1"/>
  <c r="R6" i="7" s="1"/>
  <c r="S6" i="7" s="1"/>
  <c r="T6" i="7" s="1"/>
  <c r="U6" i="7" s="1"/>
  <c r="V6" i="7" s="1"/>
  <c r="W6" i="7" s="1"/>
  <c r="X6" i="7" s="1"/>
  <c r="Y6" i="7" s="1"/>
  <c r="Z6" i="7" s="1"/>
  <c r="AA6" i="7" s="1"/>
  <c r="AB6" i="7" s="1"/>
  <c r="AC6" i="7" s="1"/>
  <c r="AD6" i="7" s="1"/>
  <c r="AE6" i="7" s="1"/>
  <c r="AF6" i="7" s="1"/>
  <c r="B7" i="7"/>
  <c r="C7" i="7" s="1"/>
  <c r="D7" i="7" s="1"/>
  <c r="E7" i="7" s="1"/>
  <c r="F7" i="7" s="1"/>
  <c r="G7" i="7" s="1"/>
  <c r="H7" i="7" s="1"/>
  <c r="I7" i="7" s="1"/>
  <c r="J7" i="7" s="1"/>
  <c r="K7" i="7" s="1"/>
  <c r="L7" i="7" s="1"/>
  <c r="M7" i="7" s="1"/>
  <c r="N7" i="7" s="1"/>
  <c r="O7" i="7" s="1"/>
  <c r="P7" i="7" s="1"/>
  <c r="Q7" i="7" s="1"/>
  <c r="R7" i="7" s="1"/>
  <c r="S7" i="7" s="1"/>
  <c r="T7" i="7" s="1"/>
  <c r="U7" i="7" s="1"/>
  <c r="V7" i="7" s="1"/>
  <c r="W7" i="7" s="1"/>
  <c r="X7" i="7" s="1"/>
  <c r="Y7" i="7" s="1"/>
  <c r="Z7" i="7" s="1"/>
  <c r="AA7" i="7" s="1"/>
  <c r="AB7" i="7" s="1"/>
  <c r="AC7" i="7" s="1"/>
  <c r="AD7" i="7" s="1"/>
  <c r="AE7" i="7" s="1"/>
  <c r="AF7" i="7" s="1"/>
  <c r="B8" i="7"/>
  <c r="C8" i="7" s="1"/>
  <c r="D8" i="7" s="1"/>
  <c r="E8" i="7" s="1"/>
  <c r="F8" i="7" s="1"/>
  <c r="G8" i="7" s="1"/>
  <c r="H8" i="7" s="1"/>
  <c r="I8" i="7" s="1"/>
  <c r="J8" i="7" s="1"/>
  <c r="K8" i="7" s="1"/>
  <c r="L8" i="7" s="1"/>
  <c r="M8" i="7" s="1"/>
  <c r="N8" i="7" s="1"/>
  <c r="O8" i="7" s="1"/>
  <c r="P8" i="7" s="1"/>
  <c r="Q8" i="7" s="1"/>
  <c r="R8" i="7" s="1"/>
  <c r="S8" i="7" s="1"/>
  <c r="T8" i="7" s="1"/>
  <c r="U8" i="7" s="1"/>
  <c r="V8" i="7" s="1"/>
  <c r="W8" i="7" s="1"/>
  <c r="X8" i="7" s="1"/>
  <c r="Y8" i="7" s="1"/>
  <c r="Z8" i="7" s="1"/>
  <c r="AA8" i="7" s="1"/>
  <c r="AB8" i="7" s="1"/>
  <c r="AC8" i="7" s="1"/>
  <c r="AD8" i="7" s="1"/>
  <c r="AE8" i="7" s="1"/>
  <c r="AF8" i="7" s="1"/>
  <c r="B3" i="7"/>
  <c r="C3" i="7" s="1"/>
  <c r="D3" i="7" s="1"/>
  <c r="E3" i="7" s="1"/>
  <c r="F3" i="7" s="1"/>
  <c r="G3" i="7" s="1"/>
  <c r="H3" i="7" s="1"/>
  <c r="I3" i="7" s="1"/>
  <c r="J3" i="7" s="1"/>
  <c r="K3" i="7" s="1"/>
  <c r="L3" i="7" s="1"/>
  <c r="M3" i="7" s="1"/>
  <c r="N3" i="7" s="1"/>
  <c r="O3" i="7" s="1"/>
  <c r="P3" i="7" s="1"/>
  <c r="Q3" i="7" s="1"/>
  <c r="R3" i="7" s="1"/>
  <c r="S3" i="7" s="1"/>
  <c r="T3" i="7" s="1"/>
  <c r="U3" i="7" s="1"/>
  <c r="V3" i="7" s="1"/>
  <c r="W3" i="7" s="1"/>
  <c r="X3" i="7" s="1"/>
  <c r="Y3" i="7" s="1"/>
  <c r="Z3" i="7" s="1"/>
  <c r="AA3" i="7" s="1"/>
  <c r="AB3" i="7" s="1"/>
  <c r="AC3" i="7" s="1"/>
  <c r="AD3" i="7" s="1"/>
  <c r="AE3" i="7" s="1"/>
  <c r="AF3" i="7" s="1"/>
  <c r="AA5" i="11" l="1"/>
  <c r="Z8" i="11"/>
  <c r="M8" i="11"/>
  <c r="N5" i="11"/>
  <c r="Z8" i="10"/>
  <c r="AA5" i="10"/>
  <c r="C33" i="31"/>
  <c r="D33" i="31"/>
  <c r="E33" i="31"/>
  <c r="F33" i="31"/>
  <c r="G33" i="31"/>
  <c r="H33" i="31"/>
  <c r="I33" i="31"/>
  <c r="J33" i="31"/>
  <c r="K33" i="31"/>
  <c r="L33" i="31"/>
  <c r="M33" i="31"/>
  <c r="N33" i="31"/>
  <c r="O33" i="31"/>
  <c r="P33" i="31"/>
  <c r="Q33" i="31"/>
  <c r="R33" i="31"/>
  <c r="S33" i="31"/>
  <c r="T33" i="31"/>
  <c r="U33" i="31"/>
  <c r="V33" i="31"/>
  <c r="W33" i="31"/>
  <c r="X33" i="31"/>
  <c r="Y33" i="31"/>
  <c r="Z33" i="31"/>
  <c r="AA33" i="31"/>
  <c r="AB33" i="31"/>
  <c r="AC33" i="31"/>
  <c r="AD33" i="31"/>
  <c r="AE33" i="31"/>
  <c r="AF33" i="31"/>
  <c r="AG33" i="31"/>
  <c r="C34" i="31"/>
  <c r="D34" i="31"/>
  <c r="E34" i="31"/>
  <c r="F34" i="31"/>
  <c r="G34" i="31"/>
  <c r="H34" i="31"/>
  <c r="I34" i="31"/>
  <c r="J34" i="31"/>
  <c r="K34" i="31"/>
  <c r="L34" i="31"/>
  <c r="M34" i="31"/>
  <c r="N34" i="31"/>
  <c r="O34" i="31"/>
  <c r="P34" i="31"/>
  <c r="Q34" i="31"/>
  <c r="R34" i="31"/>
  <c r="S34" i="31"/>
  <c r="T34" i="31"/>
  <c r="U34" i="31"/>
  <c r="V34" i="31"/>
  <c r="W34" i="31"/>
  <c r="X34" i="31"/>
  <c r="Y34" i="31"/>
  <c r="Z34" i="31"/>
  <c r="AA34" i="31"/>
  <c r="AB34" i="31"/>
  <c r="AC34" i="31"/>
  <c r="AD34" i="31"/>
  <c r="AE34" i="31"/>
  <c r="AF34" i="31"/>
  <c r="AG34" i="31"/>
  <c r="C35" i="31"/>
  <c r="D35" i="31"/>
  <c r="E35" i="31"/>
  <c r="F35" i="31"/>
  <c r="G35" i="31"/>
  <c r="H35" i="31"/>
  <c r="I35" i="31"/>
  <c r="J35" i="31"/>
  <c r="K35" i="31"/>
  <c r="L35" i="31"/>
  <c r="M35" i="31"/>
  <c r="N35" i="31"/>
  <c r="O35" i="31"/>
  <c r="P35" i="31"/>
  <c r="Q35" i="31"/>
  <c r="R35" i="31"/>
  <c r="S35" i="31"/>
  <c r="T35" i="31"/>
  <c r="U35" i="31"/>
  <c r="V35" i="31"/>
  <c r="W35" i="31"/>
  <c r="X35" i="31"/>
  <c r="Y35" i="31"/>
  <c r="Z35" i="31"/>
  <c r="AA35" i="31"/>
  <c r="AB35" i="31"/>
  <c r="AC35" i="31"/>
  <c r="AD35" i="31"/>
  <c r="AE35" i="31"/>
  <c r="AF35" i="31"/>
  <c r="AG35" i="31"/>
  <c r="C36" i="31"/>
  <c r="D36" i="31"/>
  <c r="E36" i="31"/>
  <c r="F36" i="31"/>
  <c r="G36" i="31"/>
  <c r="H36" i="31"/>
  <c r="I36" i="31"/>
  <c r="J36" i="31"/>
  <c r="K36" i="31"/>
  <c r="L36" i="31"/>
  <c r="M36" i="31"/>
  <c r="N36" i="31"/>
  <c r="O36" i="31"/>
  <c r="P36" i="31"/>
  <c r="Q36" i="31"/>
  <c r="R36" i="31"/>
  <c r="S36" i="31"/>
  <c r="T36" i="31"/>
  <c r="U36" i="31"/>
  <c r="V36" i="31"/>
  <c r="W36" i="31"/>
  <c r="X36" i="31"/>
  <c r="Y36" i="31"/>
  <c r="Z36" i="31"/>
  <c r="AA36" i="31"/>
  <c r="AB36" i="31"/>
  <c r="AC36" i="31"/>
  <c r="AD36" i="31"/>
  <c r="AE36" i="31"/>
  <c r="AF36" i="31"/>
  <c r="AG36" i="31"/>
  <c r="C37" i="31"/>
  <c r="D37" i="31"/>
  <c r="E37" i="31"/>
  <c r="F37" i="31"/>
  <c r="E117" i="31" s="1"/>
  <c r="G37" i="31"/>
  <c r="H37" i="31"/>
  <c r="I37" i="31"/>
  <c r="J37" i="31"/>
  <c r="K37" i="31"/>
  <c r="L37" i="31"/>
  <c r="M37" i="31"/>
  <c r="N37" i="31"/>
  <c r="O37" i="31"/>
  <c r="P37" i="31"/>
  <c r="Q37" i="31"/>
  <c r="R37" i="31"/>
  <c r="S37" i="31"/>
  <c r="T37" i="31"/>
  <c r="U37" i="31"/>
  <c r="T117" i="31" s="1"/>
  <c r="V37" i="31"/>
  <c r="U117" i="31" s="1"/>
  <c r="W37" i="31"/>
  <c r="X37" i="31"/>
  <c r="Y37" i="31"/>
  <c r="Z37" i="31"/>
  <c r="AA37" i="31"/>
  <c r="AB37" i="31"/>
  <c r="AC37" i="31"/>
  <c r="AD37" i="31"/>
  <c r="AE37" i="31"/>
  <c r="AF37" i="31"/>
  <c r="AG37" i="31"/>
  <c r="C38" i="31"/>
  <c r="D38" i="31"/>
  <c r="E38" i="31"/>
  <c r="F38" i="31"/>
  <c r="G38" i="31"/>
  <c r="H38" i="31"/>
  <c r="I38" i="31"/>
  <c r="J38" i="31"/>
  <c r="K38" i="31"/>
  <c r="L38" i="31"/>
  <c r="M38" i="31"/>
  <c r="N38" i="31"/>
  <c r="O38" i="31"/>
  <c r="P38" i="31"/>
  <c r="Q38" i="31"/>
  <c r="R38" i="31"/>
  <c r="S38" i="31"/>
  <c r="T38" i="31"/>
  <c r="U38" i="31"/>
  <c r="V38" i="31"/>
  <c r="U118" i="31" s="1"/>
  <c r="W38" i="31"/>
  <c r="X38" i="31"/>
  <c r="Y38" i="31"/>
  <c r="Z38" i="31"/>
  <c r="AA38" i="31"/>
  <c r="AB38" i="31"/>
  <c r="AC38" i="31"/>
  <c r="AD38" i="31"/>
  <c r="AE38" i="31"/>
  <c r="AF38" i="31"/>
  <c r="AG38" i="31"/>
  <c r="C39" i="31"/>
  <c r="D39" i="31"/>
  <c r="E39" i="31"/>
  <c r="F39" i="31"/>
  <c r="G39" i="31"/>
  <c r="F119" i="31" s="1"/>
  <c r="H39" i="31"/>
  <c r="G119" i="31" s="1"/>
  <c r="I39" i="31"/>
  <c r="J39" i="31"/>
  <c r="K39" i="31"/>
  <c r="L39" i="31"/>
  <c r="M39" i="31"/>
  <c r="N39" i="31"/>
  <c r="O39" i="31"/>
  <c r="P39" i="31"/>
  <c r="Q39" i="31"/>
  <c r="R39" i="31"/>
  <c r="S39" i="31"/>
  <c r="T39" i="31"/>
  <c r="U39" i="31"/>
  <c r="V39" i="31"/>
  <c r="W39" i="31"/>
  <c r="X39" i="31"/>
  <c r="Y39" i="31"/>
  <c r="Z39" i="31"/>
  <c r="AA39" i="31"/>
  <c r="AB39" i="31"/>
  <c r="AC39" i="31"/>
  <c r="AD39" i="31"/>
  <c r="AE39" i="31"/>
  <c r="AF39" i="31"/>
  <c r="AG39" i="31"/>
  <c r="D42" i="31"/>
  <c r="E42" i="31"/>
  <c r="F42" i="31"/>
  <c r="G42" i="31"/>
  <c r="H42" i="31"/>
  <c r="I42" i="31"/>
  <c r="J42" i="31"/>
  <c r="K42" i="31"/>
  <c r="L42" i="31"/>
  <c r="M42" i="31"/>
  <c r="N42" i="31"/>
  <c r="O42" i="31"/>
  <c r="P42" i="31"/>
  <c r="Q42" i="31"/>
  <c r="R42" i="31"/>
  <c r="S42" i="31"/>
  <c r="T42" i="31"/>
  <c r="U42" i="31"/>
  <c r="V42" i="31"/>
  <c r="W42" i="31"/>
  <c r="X42" i="31"/>
  <c r="Y42" i="31"/>
  <c r="Z42" i="31"/>
  <c r="AA42" i="31"/>
  <c r="AB42" i="31"/>
  <c r="AC42" i="31"/>
  <c r="AD42" i="31"/>
  <c r="AE42" i="31"/>
  <c r="AF42" i="31"/>
  <c r="AG42" i="31"/>
  <c r="D43" i="31"/>
  <c r="E43" i="31"/>
  <c r="F43" i="31"/>
  <c r="G43" i="31"/>
  <c r="H43" i="31"/>
  <c r="I43" i="31"/>
  <c r="J43" i="31"/>
  <c r="K43" i="31"/>
  <c r="L43" i="31"/>
  <c r="M43" i="31"/>
  <c r="N43" i="31"/>
  <c r="O43" i="31"/>
  <c r="P43" i="31"/>
  <c r="Q43" i="31"/>
  <c r="R43" i="31"/>
  <c r="S43" i="31"/>
  <c r="T43" i="31"/>
  <c r="U43" i="31"/>
  <c r="V43" i="31"/>
  <c r="W43" i="31"/>
  <c r="X43" i="31"/>
  <c r="Y43" i="31"/>
  <c r="Z43" i="31"/>
  <c r="AA43" i="31"/>
  <c r="AB43" i="31"/>
  <c r="AC43" i="31"/>
  <c r="AD43" i="31"/>
  <c r="AE43" i="31"/>
  <c r="AF43" i="31"/>
  <c r="AG43" i="31"/>
  <c r="D44" i="31"/>
  <c r="E44" i="31"/>
  <c r="F44" i="31"/>
  <c r="G44" i="31"/>
  <c r="H44" i="31"/>
  <c r="I44" i="31"/>
  <c r="J44" i="31"/>
  <c r="K44" i="31"/>
  <c r="L44" i="31"/>
  <c r="M44" i="31"/>
  <c r="N44" i="31"/>
  <c r="O44" i="31"/>
  <c r="P44" i="31"/>
  <c r="Q44" i="31"/>
  <c r="R44" i="31"/>
  <c r="S44" i="31"/>
  <c r="T44" i="31"/>
  <c r="U44" i="31"/>
  <c r="V44" i="31"/>
  <c r="W44" i="31"/>
  <c r="X44" i="31"/>
  <c r="Y44" i="31"/>
  <c r="Z44" i="31"/>
  <c r="AA44" i="31"/>
  <c r="AB44" i="31"/>
  <c r="AC44" i="31"/>
  <c r="AD44" i="31"/>
  <c r="AE44" i="31"/>
  <c r="AF44" i="31"/>
  <c r="AG44" i="31"/>
  <c r="D45" i="31"/>
  <c r="E45" i="31"/>
  <c r="F45" i="31"/>
  <c r="G45" i="31"/>
  <c r="H45" i="31"/>
  <c r="I45" i="31"/>
  <c r="J45" i="31"/>
  <c r="K45" i="31"/>
  <c r="L45" i="31"/>
  <c r="M45" i="31"/>
  <c r="N45" i="31"/>
  <c r="O45" i="31"/>
  <c r="P45" i="31"/>
  <c r="Q45" i="31"/>
  <c r="R45" i="31"/>
  <c r="S45" i="31"/>
  <c r="T45" i="31"/>
  <c r="U45" i="31"/>
  <c r="V45" i="31"/>
  <c r="W45" i="31"/>
  <c r="X45" i="31"/>
  <c r="Y45" i="31"/>
  <c r="Z45" i="31"/>
  <c r="AA45" i="31"/>
  <c r="AB45" i="31"/>
  <c r="AC45" i="31"/>
  <c r="AD45" i="31"/>
  <c r="AE45" i="31"/>
  <c r="AF45" i="31"/>
  <c r="AG45" i="31"/>
  <c r="D46" i="31"/>
  <c r="E46" i="31"/>
  <c r="F46" i="31"/>
  <c r="G46" i="31"/>
  <c r="H46" i="31"/>
  <c r="I46" i="31"/>
  <c r="J46" i="31"/>
  <c r="K46" i="31"/>
  <c r="L46" i="31"/>
  <c r="M46" i="31"/>
  <c r="N46" i="31"/>
  <c r="O46" i="31"/>
  <c r="P46" i="31"/>
  <c r="Q46" i="31"/>
  <c r="R46" i="31"/>
  <c r="S46" i="31"/>
  <c r="T46" i="31"/>
  <c r="U46" i="31"/>
  <c r="V46" i="31"/>
  <c r="W46" i="31"/>
  <c r="X46" i="31"/>
  <c r="Y46" i="31"/>
  <c r="Z46" i="31"/>
  <c r="AA46" i="31"/>
  <c r="AB46" i="31"/>
  <c r="AC46" i="31"/>
  <c r="AD46" i="31"/>
  <c r="AE46" i="31"/>
  <c r="AF46" i="31"/>
  <c r="AG46" i="31"/>
  <c r="D47" i="31"/>
  <c r="E47" i="31"/>
  <c r="F47" i="31"/>
  <c r="G47" i="31"/>
  <c r="H47" i="31"/>
  <c r="I47" i="31"/>
  <c r="J47" i="31"/>
  <c r="K47" i="31"/>
  <c r="L47" i="31"/>
  <c r="M47" i="31"/>
  <c r="N47" i="31"/>
  <c r="O47" i="31"/>
  <c r="P47" i="31"/>
  <c r="Q47" i="31"/>
  <c r="R47" i="31"/>
  <c r="S47" i="31"/>
  <c r="T47" i="31"/>
  <c r="U47" i="31"/>
  <c r="V47" i="31"/>
  <c r="W47" i="31"/>
  <c r="X47" i="31"/>
  <c r="Y47" i="31"/>
  <c r="Z47" i="31"/>
  <c r="AA47" i="31"/>
  <c r="AB47" i="31"/>
  <c r="AC47" i="31"/>
  <c r="AD47" i="31"/>
  <c r="AE47" i="31"/>
  <c r="AF47" i="31"/>
  <c r="AG47" i="31"/>
  <c r="D48" i="31"/>
  <c r="E48" i="31"/>
  <c r="F48" i="31"/>
  <c r="G48" i="31"/>
  <c r="H48" i="31"/>
  <c r="I48" i="31"/>
  <c r="J48" i="31"/>
  <c r="K48" i="31"/>
  <c r="L48" i="31"/>
  <c r="M48" i="31"/>
  <c r="N48" i="31"/>
  <c r="O48" i="31"/>
  <c r="P48" i="31"/>
  <c r="Q48" i="31"/>
  <c r="R48" i="31"/>
  <c r="S48" i="31"/>
  <c r="T48" i="31"/>
  <c r="U48" i="31"/>
  <c r="V48" i="31"/>
  <c r="W48" i="31"/>
  <c r="X48" i="31"/>
  <c r="Y48" i="31"/>
  <c r="Z48" i="31"/>
  <c r="AA48" i="31"/>
  <c r="AB48" i="31"/>
  <c r="AC48" i="31"/>
  <c r="AD48" i="31"/>
  <c r="AE48" i="31"/>
  <c r="AF48" i="31"/>
  <c r="AG48" i="31"/>
  <c r="D49" i="31"/>
  <c r="E49" i="31"/>
  <c r="F49" i="31"/>
  <c r="G49" i="31"/>
  <c r="H49" i="31"/>
  <c r="I49" i="31"/>
  <c r="J49" i="31"/>
  <c r="K49" i="31"/>
  <c r="L49" i="31"/>
  <c r="M49" i="31"/>
  <c r="N49" i="31"/>
  <c r="O49" i="31"/>
  <c r="P49" i="31"/>
  <c r="Q49" i="31"/>
  <c r="R49" i="31"/>
  <c r="S49" i="31"/>
  <c r="T49" i="31"/>
  <c r="U49" i="31"/>
  <c r="V49" i="31"/>
  <c r="W49" i="31"/>
  <c r="X49" i="31"/>
  <c r="Y49" i="31"/>
  <c r="Z49" i="31"/>
  <c r="AA49" i="31"/>
  <c r="AB49" i="31"/>
  <c r="AC49" i="31"/>
  <c r="AD49" i="31"/>
  <c r="AE49" i="31"/>
  <c r="AF49" i="31"/>
  <c r="AG49" i="31"/>
  <c r="D50" i="31"/>
  <c r="E50" i="31"/>
  <c r="F50" i="31"/>
  <c r="G50" i="31"/>
  <c r="H50" i="31"/>
  <c r="I50" i="31"/>
  <c r="J50" i="31"/>
  <c r="K50" i="31"/>
  <c r="L50" i="31"/>
  <c r="M50" i="31"/>
  <c r="N50" i="31"/>
  <c r="O50" i="31"/>
  <c r="P50" i="31"/>
  <c r="Q50" i="31"/>
  <c r="R50" i="31"/>
  <c r="S50" i="31"/>
  <c r="T50" i="31"/>
  <c r="U50" i="31"/>
  <c r="V50" i="31"/>
  <c r="W50" i="31"/>
  <c r="X50" i="31"/>
  <c r="Y50" i="31"/>
  <c r="Z50" i="31"/>
  <c r="AA50" i="31"/>
  <c r="AB50" i="31"/>
  <c r="AC50" i="31"/>
  <c r="AD50" i="31"/>
  <c r="AE50" i="31"/>
  <c r="AF50" i="31"/>
  <c r="AG50" i="31"/>
  <c r="D51" i="31"/>
  <c r="E51" i="31"/>
  <c r="F51" i="31"/>
  <c r="G51" i="31"/>
  <c r="H51" i="31"/>
  <c r="I51" i="31"/>
  <c r="J51" i="31"/>
  <c r="K51" i="31"/>
  <c r="L51" i="31"/>
  <c r="M51" i="31"/>
  <c r="N51" i="31"/>
  <c r="O51" i="31"/>
  <c r="P51" i="31"/>
  <c r="Q51" i="31"/>
  <c r="R51" i="31"/>
  <c r="S51" i="31"/>
  <c r="T51" i="31"/>
  <c r="U51" i="31"/>
  <c r="V51" i="31"/>
  <c r="W51" i="31"/>
  <c r="X51" i="31"/>
  <c r="Y51" i="31"/>
  <c r="Z51" i="31"/>
  <c r="AA51" i="31"/>
  <c r="AB51" i="31"/>
  <c r="AC51" i="31"/>
  <c r="AD51" i="31"/>
  <c r="AE51" i="31"/>
  <c r="AF51" i="31"/>
  <c r="AG51" i="31"/>
  <c r="D52" i="31"/>
  <c r="E52" i="31"/>
  <c r="F52" i="31"/>
  <c r="G52" i="31"/>
  <c r="H52" i="31"/>
  <c r="I52" i="31"/>
  <c r="J52" i="31"/>
  <c r="K52" i="31"/>
  <c r="L52" i="31"/>
  <c r="M52" i="31"/>
  <c r="N52" i="31"/>
  <c r="O52" i="31"/>
  <c r="P52" i="31"/>
  <c r="Q52" i="31"/>
  <c r="R52" i="31"/>
  <c r="S52" i="31"/>
  <c r="T52" i="31"/>
  <c r="U52" i="31"/>
  <c r="V52" i="31"/>
  <c r="W52" i="31"/>
  <c r="X52" i="31"/>
  <c r="Y52" i="31"/>
  <c r="Z52" i="31"/>
  <c r="AA52" i="31"/>
  <c r="AB52" i="31"/>
  <c r="AC52" i="31"/>
  <c r="AD52" i="31"/>
  <c r="AE52" i="31"/>
  <c r="AF52" i="31"/>
  <c r="AG52" i="31"/>
  <c r="D53" i="31"/>
  <c r="E53" i="31"/>
  <c r="F53" i="31"/>
  <c r="G53" i="31"/>
  <c r="H53" i="31"/>
  <c r="I53" i="31"/>
  <c r="J53" i="31"/>
  <c r="K53" i="31"/>
  <c r="L53" i="31"/>
  <c r="M53" i="31"/>
  <c r="N53" i="31"/>
  <c r="O53" i="31"/>
  <c r="P53" i="31"/>
  <c r="Q53" i="31"/>
  <c r="R53" i="31"/>
  <c r="S53" i="31"/>
  <c r="T53" i="31"/>
  <c r="U53" i="31"/>
  <c r="V53" i="31"/>
  <c r="W53" i="31"/>
  <c r="X53" i="31"/>
  <c r="Y53" i="31"/>
  <c r="Z53" i="31"/>
  <c r="AA53" i="31"/>
  <c r="AB53" i="31"/>
  <c r="AC53" i="31"/>
  <c r="AD53" i="31"/>
  <c r="AE53" i="31"/>
  <c r="AF53" i="31"/>
  <c r="AE114" i="31" s="1"/>
  <c r="AG53" i="31"/>
  <c r="D54" i="31"/>
  <c r="E54" i="31"/>
  <c r="F54" i="31"/>
  <c r="G54" i="31"/>
  <c r="H54" i="31"/>
  <c r="I54" i="31"/>
  <c r="J54" i="31"/>
  <c r="K54" i="31"/>
  <c r="L54" i="31"/>
  <c r="M54" i="31"/>
  <c r="N54" i="31"/>
  <c r="O54" i="31"/>
  <c r="P54" i="31"/>
  <c r="Q54" i="31"/>
  <c r="R54" i="31"/>
  <c r="S54" i="31"/>
  <c r="T54" i="31"/>
  <c r="U54" i="31"/>
  <c r="V54" i="31"/>
  <c r="W54" i="31"/>
  <c r="X54" i="31"/>
  <c r="Y54" i="31"/>
  <c r="Z54" i="31"/>
  <c r="AA54" i="31"/>
  <c r="AB54" i="31"/>
  <c r="AC54" i="31"/>
  <c r="AD54" i="31"/>
  <c r="AE54" i="31"/>
  <c r="AF54" i="31"/>
  <c r="AG54" i="31"/>
  <c r="D55" i="31"/>
  <c r="E55" i="31"/>
  <c r="F55" i="31"/>
  <c r="G55" i="31"/>
  <c r="H55" i="31"/>
  <c r="I55" i="31"/>
  <c r="J55" i="31"/>
  <c r="K55" i="31"/>
  <c r="L55" i="31"/>
  <c r="M55" i="31"/>
  <c r="N55" i="31"/>
  <c r="O55" i="31"/>
  <c r="P55" i="31"/>
  <c r="Q55" i="31"/>
  <c r="R55" i="31"/>
  <c r="S55" i="31"/>
  <c r="T55" i="31"/>
  <c r="U55" i="31"/>
  <c r="V55" i="31"/>
  <c r="W55" i="31"/>
  <c r="X55" i="31"/>
  <c r="Y55" i="31"/>
  <c r="Z55" i="31"/>
  <c r="AA55" i="31"/>
  <c r="AB55" i="31"/>
  <c r="AC55" i="31"/>
  <c r="AD55" i="31"/>
  <c r="AE55" i="31"/>
  <c r="AF55" i="31"/>
  <c r="AG55" i="31"/>
  <c r="D56" i="31"/>
  <c r="E56" i="31"/>
  <c r="F56" i="31"/>
  <c r="E115" i="31" s="1"/>
  <c r="G56" i="31"/>
  <c r="H56" i="31"/>
  <c r="I56" i="31"/>
  <c r="J56" i="31"/>
  <c r="K56" i="31"/>
  <c r="L56" i="31"/>
  <c r="M56" i="31"/>
  <c r="N56" i="31"/>
  <c r="O56" i="31"/>
  <c r="P56" i="31"/>
  <c r="Q56" i="31"/>
  <c r="R56" i="31"/>
  <c r="S56" i="31"/>
  <c r="T56" i="31"/>
  <c r="U56" i="31"/>
  <c r="V56" i="31"/>
  <c r="W56" i="31"/>
  <c r="X56" i="31"/>
  <c r="Y56" i="31"/>
  <c r="Z56" i="31"/>
  <c r="AA56" i="31"/>
  <c r="AB56" i="31"/>
  <c r="AC56" i="31"/>
  <c r="AD56" i="31"/>
  <c r="AE56" i="31"/>
  <c r="AF56" i="31"/>
  <c r="AG56" i="31"/>
  <c r="D57" i="31"/>
  <c r="E57" i="31"/>
  <c r="F57" i="31"/>
  <c r="G57" i="31"/>
  <c r="H57" i="31"/>
  <c r="G118" i="31" s="1"/>
  <c r="I57" i="31"/>
  <c r="J57" i="31"/>
  <c r="K57" i="31"/>
  <c r="L57" i="31"/>
  <c r="M57" i="31"/>
  <c r="N57" i="31"/>
  <c r="O57" i="31"/>
  <c r="P57" i="31"/>
  <c r="Q57" i="31"/>
  <c r="R57" i="31"/>
  <c r="S57" i="31"/>
  <c r="T57" i="31"/>
  <c r="U57" i="31"/>
  <c r="V57" i="31"/>
  <c r="W57" i="31"/>
  <c r="X57" i="31"/>
  <c r="Y57" i="31"/>
  <c r="Z57" i="31"/>
  <c r="AA57" i="31"/>
  <c r="AB57" i="31"/>
  <c r="AC57" i="31"/>
  <c r="AD57" i="31"/>
  <c r="AE57" i="31"/>
  <c r="AF57" i="31"/>
  <c r="AG57" i="31"/>
  <c r="D58" i="31"/>
  <c r="E58" i="31"/>
  <c r="F58" i="31"/>
  <c r="G58" i="31"/>
  <c r="H58" i="31"/>
  <c r="I58" i="31"/>
  <c r="J58" i="31"/>
  <c r="K58" i="31"/>
  <c r="L58" i="31"/>
  <c r="M58" i="31"/>
  <c r="N58" i="31"/>
  <c r="O58" i="31"/>
  <c r="P58" i="31"/>
  <c r="Q58" i="31"/>
  <c r="R58" i="31"/>
  <c r="S58" i="31"/>
  <c r="T58" i="31"/>
  <c r="U58" i="31"/>
  <c r="V58" i="31"/>
  <c r="W58" i="31"/>
  <c r="X58" i="31"/>
  <c r="Y58" i="31"/>
  <c r="Z58" i="31"/>
  <c r="AA58" i="31"/>
  <c r="AB58" i="31"/>
  <c r="AC58" i="31"/>
  <c r="AD58" i="31"/>
  <c r="AE58" i="31"/>
  <c r="AF58" i="31"/>
  <c r="AG58" i="31"/>
  <c r="D59" i="31"/>
  <c r="E59" i="31"/>
  <c r="F59" i="31"/>
  <c r="G59" i="31"/>
  <c r="H59" i="31"/>
  <c r="I59" i="31"/>
  <c r="J59" i="31"/>
  <c r="K59" i="31"/>
  <c r="L59" i="31"/>
  <c r="M59" i="31"/>
  <c r="N59" i="31"/>
  <c r="O59" i="31"/>
  <c r="P59" i="31"/>
  <c r="Q59" i="31"/>
  <c r="R59" i="31"/>
  <c r="S59" i="31"/>
  <c r="T59" i="31"/>
  <c r="U59" i="31"/>
  <c r="V59" i="31"/>
  <c r="W59" i="31"/>
  <c r="X59" i="31"/>
  <c r="Y59" i="31"/>
  <c r="Z59" i="31"/>
  <c r="AA59" i="31"/>
  <c r="AB59" i="31"/>
  <c r="AC59" i="31"/>
  <c r="AD59" i="31"/>
  <c r="AE59" i="31"/>
  <c r="AF59" i="31"/>
  <c r="AG59" i="31"/>
  <c r="D60" i="31"/>
  <c r="E60" i="31"/>
  <c r="F60" i="31"/>
  <c r="G60" i="31"/>
  <c r="H60" i="31"/>
  <c r="I60" i="31"/>
  <c r="J60" i="31"/>
  <c r="K60" i="31"/>
  <c r="L60" i="31"/>
  <c r="M60" i="31"/>
  <c r="N60" i="31"/>
  <c r="O60" i="31"/>
  <c r="P60" i="31"/>
  <c r="Q60" i="31"/>
  <c r="R60" i="31"/>
  <c r="S60" i="31"/>
  <c r="T60" i="31"/>
  <c r="U60" i="31"/>
  <c r="V60" i="31"/>
  <c r="W60" i="31"/>
  <c r="X60" i="31"/>
  <c r="Y60" i="31"/>
  <c r="Z60" i="31"/>
  <c r="AA60" i="31"/>
  <c r="AB60" i="31"/>
  <c r="AC60" i="31"/>
  <c r="AD60" i="31"/>
  <c r="AE60" i="31"/>
  <c r="AF60" i="31"/>
  <c r="AG60" i="31"/>
  <c r="D61" i="31"/>
  <c r="E61" i="31"/>
  <c r="F61" i="31"/>
  <c r="G61" i="31"/>
  <c r="H61" i="31"/>
  <c r="I61" i="31"/>
  <c r="J61" i="31"/>
  <c r="K61" i="31"/>
  <c r="L61" i="31"/>
  <c r="M61" i="31"/>
  <c r="N61" i="31"/>
  <c r="O61" i="31"/>
  <c r="P61" i="31"/>
  <c r="Q61" i="31"/>
  <c r="R61" i="31"/>
  <c r="S61" i="31"/>
  <c r="T61" i="31"/>
  <c r="U61" i="31"/>
  <c r="V61" i="31"/>
  <c r="W61" i="31"/>
  <c r="X61" i="31"/>
  <c r="Y61" i="31"/>
  <c r="Z61" i="31"/>
  <c r="AA61" i="31"/>
  <c r="AB61" i="31"/>
  <c r="AC61" i="31"/>
  <c r="AD61" i="31"/>
  <c r="AE61" i="31"/>
  <c r="AF61" i="31"/>
  <c r="AG61" i="31"/>
  <c r="D62" i="31"/>
  <c r="E62" i="31"/>
  <c r="F62" i="31"/>
  <c r="G62" i="31"/>
  <c r="H62" i="31"/>
  <c r="I62" i="31"/>
  <c r="J62" i="31"/>
  <c r="K62" i="31"/>
  <c r="L62" i="31"/>
  <c r="M62" i="31"/>
  <c r="N62" i="31"/>
  <c r="O62" i="31"/>
  <c r="P62" i="31"/>
  <c r="Q62" i="31"/>
  <c r="R62" i="31"/>
  <c r="S62" i="31"/>
  <c r="T62" i="31"/>
  <c r="U62" i="31"/>
  <c r="V62" i="31"/>
  <c r="W62" i="31"/>
  <c r="X62" i="31"/>
  <c r="Y62" i="31"/>
  <c r="Z62" i="31"/>
  <c r="AA62" i="31"/>
  <c r="AB62" i="31"/>
  <c r="AC62" i="31"/>
  <c r="AD62" i="31"/>
  <c r="AE62" i="31"/>
  <c r="AF62" i="31"/>
  <c r="AG62" i="31"/>
  <c r="D63" i="31"/>
  <c r="E63" i="31"/>
  <c r="F63" i="31"/>
  <c r="G63" i="31"/>
  <c r="H63" i="31"/>
  <c r="I63" i="31"/>
  <c r="J63" i="31"/>
  <c r="K63" i="31"/>
  <c r="L63" i="31"/>
  <c r="M63" i="31"/>
  <c r="N63" i="31"/>
  <c r="O63" i="31"/>
  <c r="P63" i="31"/>
  <c r="Q63" i="31"/>
  <c r="R63" i="31"/>
  <c r="S63" i="31"/>
  <c r="T63" i="31"/>
  <c r="U63" i="31"/>
  <c r="V63" i="31"/>
  <c r="W63" i="31"/>
  <c r="X63" i="31"/>
  <c r="Y63" i="31"/>
  <c r="Z63" i="31"/>
  <c r="AA63" i="31"/>
  <c r="AB63" i="31"/>
  <c r="AC63" i="31"/>
  <c r="AD63" i="31"/>
  <c r="AE63" i="31"/>
  <c r="AF63" i="31"/>
  <c r="AG63" i="31"/>
  <c r="D64" i="31"/>
  <c r="E64" i="31"/>
  <c r="F64" i="31"/>
  <c r="G64" i="31"/>
  <c r="H64" i="31"/>
  <c r="I64" i="31"/>
  <c r="J64" i="31"/>
  <c r="K64" i="31"/>
  <c r="L64" i="31"/>
  <c r="M64" i="31"/>
  <c r="N64" i="31"/>
  <c r="O64" i="31"/>
  <c r="P64" i="31"/>
  <c r="Q64" i="31"/>
  <c r="R64" i="31"/>
  <c r="S64" i="31"/>
  <c r="T64" i="31"/>
  <c r="U64" i="31"/>
  <c r="V64" i="31"/>
  <c r="W64" i="31"/>
  <c r="X64" i="31"/>
  <c r="Y64" i="31"/>
  <c r="Z64" i="31"/>
  <c r="AA64" i="31"/>
  <c r="AB64" i="31"/>
  <c r="AC64" i="31"/>
  <c r="AD64" i="31"/>
  <c r="AE64" i="31"/>
  <c r="AF64" i="31"/>
  <c r="AG64" i="31"/>
  <c r="D65" i="31"/>
  <c r="E65" i="31"/>
  <c r="F65" i="31"/>
  <c r="G65" i="31"/>
  <c r="H65" i="31"/>
  <c r="I65" i="31"/>
  <c r="J65" i="31"/>
  <c r="K65" i="31"/>
  <c r="L65" i="31"/>
  <c r="M65" i="31"/>
  <c r="N65" i="31"/>
  <c r="O65" i="31"/>
  <c r="P65" i="31"/>
  <c r="Q65" i="31"/>
  <c r="R65" i="31"/>
  <c r="S65" i="31"/>
  <c r="T65" i="31"/>
  <c r="U65" i="31"/>
  <c r="V65" i="31"/>
  <c r="W65" i="31"/>
  <c r="X65" i="31"/>
  <c r="Y65" i="31"/>
  <c r="Z65" i="31"/>
  <c r="AA65" i="31"/>
  <c r="AB65" i="31"/>
  <c r="AC65" i="31"/>
  <c r="AD65" i="31"/>
  <c r="AE65" i="31"/>
  <c r="AF65" i="31"/>
  <c r="AG65" i="31"/>
  <c r="D66" i="31"/>
  <c r="E66" i="31"/>
  <c r="F66" i="31"/>
  <c r="G66" i="31"/>
  <c r="H66" i="31"/>
  <c r="I66" i="31"/>
  <c r="J66" i="31"/>
  <c r="K66" i="31"/>
  <c r="L66" i="31"/>
  <c r="M66" i="31"/>
  <c r="N66" i="31"/>
  <c r="O66" i="31"/>
  <c r="P66" i="31"/>
  <c r="Q66" i="31"/>
  <c r="R66" i="31"/>
  <c r="S66" i="31"/>
  <c r="T66" i="31"/>
  <c r="U66" i="31"/>
  <c r="V66" i="31"/>
  <c r="W66" i="31"/>
  <c r="X66" i="31"/>
  <c r="Y66" i="31"/>
  <c r="Z66" i="31"/>
  <c r="AA66" i="31"/>
  <c r="AB66" i="31"/>
  <c r="AC66" i="31"/>
  <c r="AD66" i="31"/>
  <c r="AE66" i="31"/>
  <c r="AF66" i="31"/>
  <c r="AG66" i="31"/>
  <c r="D67" i="31"/>
  <c r="E67" i="31"/>
  <c r="F67" i="31"/>
  <c r="G67" i="31"/>
  <c r="H67" i="31"/>
  <c r="I67" i="31"/>
  <c r="J67" i="31"/>
  <c r="K67" i="31"/>
  <c r="L67" i="31"/>
  <c r="M67" i="31"/>
  <c r="N67" i="31"/>
  <c r="O67" i="31"/>
  <c r="P67" i="31"/>
  <c r="Q67" i="31"/>
  <c r="R67" i="31"/>
  <c r="S67" i="31"/>
  <c r="T67" i="31"/>
  <c r="U67" i="31"/>
  <c r="V67" i="31"/>
  <c r="W67" i="31"/>
  <c r="X67" i="31"/>
  <c r="Y67" i="31"/>
  <c r="Z67" i="31"/>
  <c r="AA67" i="31"/>
  <c r="AB67" i="31"/>
  <c r="AC67" i="31"/>
  <c r="AD67" i="31"/>
  <c r="AE67" i="31"/>
  <c r="AF67" i="31"/>
  <c r="AG67" i="31"/>
  <c r="D68" i="31"/>
  <c r="E68" i="31"/>
  <c r="F68" i="31"/>
  <c r="G68" i="31"/>
  <c r="H68" i="31"/>
  <c r="I68" i="31"/>
  <c r="J68" i="31"/>
  <c r="K68" i="31"/>
  <c r="L68" i="31"/>
  <c r="M68" i="31"/>
  <c r="N68" i="31"/>
  <c r="O68" i="31"/>
  <c r="P68" i="31"/>
  <c r="Q68" i="31"/>
  <c r="R68" i="31"/>
  <c r="S68" i="31"/>
  <c r="T68" i="31"/>
  <c r="U68" i="31"/>
  <c r="V68" i="31"/>
  <c r="W68" i="31"/>
  <c r="X68" i="31"/>
  <c r="Y68" i="31"/>
  <c r="Z68" i="31"/>
  <c r="AA68" i="31"/>
  <c r="AB68" i="31"/>
  <c r="AC68" i="31"/>
  <c r="AD68" i="31"/>
  <c r="AE68" i="31"/>
  <c r="AF68" i="31"/>
  <c r="AG68" i="31"/>
  <c r="D69" i="31"/>
  <c r="E69" i="31"/>
  <c r="F69" i="31"/>
  <c r="G69" i="31"/>
  <c r="H69" i="31"/>
  <c r="I69" i="31"/>
  <c r="J69" i="31"/>
  <c r="K69" i="31"/>
  <c r="L69" i="31"/>
  <c r="M69" i="31"/>
  <c r="N69" i="31"/>
  <c r="O69" i="31"/>
  <c r="P69" i="31"/>
  <c r="Q69" i="31"/>
  <c r="R69" i="31"/>
  <c r="S69" i="31"/>
  <c r="T69" i="31"/>
  <c r="U69" i="31"/>
  <c r="V69" i="31"/>
  <c r="W69" i="31"/>
  <c r="X69" i="31"/>
  <c r="Y69" i="31"/>
  <c r="Z69" i="31"/>
  <c r="AA69" i="31"/>
  <c r="AB69" i="31"/>
  <c r="AC69" i="31"/>
  <c r="AD69" i="31"/>
  <c r="AE69" i="31"/>
  <c r="AF69" i="31"/>
  <c r="AG69" i="31"/>
  <c r="D70" i="31"/>
  <c r="E70" i="31"/>
  <c r="F70" i="31"/>
  <c r="G70" i="31"/>
  <c r="H70" i="31"/>
  <c r="I70" i="31"/>
  <c r="J70" i="31"/>
  <c r="K70" i="31"/>
  <c r="L70" i="31"/>
  <c r="M70" i="31"/>
  <c r="N70" i="31"/>
  <c r="O70" i="31"/>
  <c r="P70" i="31"/>
  <c r="Q70" i="31"/>
  <c r="R70" i="31"/>
  <c r="S70" i="31"/>
  <c r="T70" i="31"/>
  <c r="U70" i="31"/>
  <c r="V70" i="31"/>
  <c r="W70" i="31"/>
  <c r="X70" i="31"/>
  <c r="Y70" i="31"/>
  <c r="Z70" i="31"/>
  <c r="AA70" i="31"/>
  <c r="AB70" i="31"/>
  <c r="AC70" i="31"/>
  <c r="AD70" i="31"/>
  <c r="AE70" i="31"/>
  <c r="AF70" i="31"/>
  <c r="AG70" i="31"/>
  <c r="D71" i="31"/>
  <c r="E71" i="31"/>
  <c r="F71" i="31"/>
  <c r="G71" i="31"/>
  <c r="H71" i="31"/>
  <c r="I71" i="31"/>
  <c r="J71" i="31"/>
  <c r="K71" i="31"/>
  <c r="L71" i="31"/>
  <c r="M71" i="31"/>
  <c r="N71" i="31"/>
  <c r="O71" i="31"/>
  <c r="P71" i="31"/>
  <c r="Q71" i="31"/>
  <c r="R71" i="31"/>
  <c r="S71" i="31"/>
  <c r="T71" i="31"/>
  <c r="U71" i="31"/>
  <c r="V71" i="31"/>
  <c r="W71" i="31"/>
  <c r="X71" i="31"/>
  <c r="Y71" i="31"/>
  <c r="Z71" i="31"/>
  <c r="AA71" i="31"/>
  <c r="AB71" i="31"/>
  <c r="AC71" i="31"/>
  <c r="AD71" i="31"/>
  <c r="AE71" i="31"/>
  <c r="AF71" i="31"/>
  <c r="AG71" i="31"/>
  <c r="D72" i="31"/>
  <c r="E72" i="31"/>
  <c r="F72" i="31"/>
  <c r="G72" i="31"/>
  <c r="H72" i="31"/>
  <c r="I72" i="31"/>
  <c r="J72" i="31"/>
  <c r="K72" i="31"/>
  <c r="L72" i="31"/>
  <c r="M72" i="31"/>
  <c r="N72" i="31"/>
  <c r="O72" i="31"/>
  <c r="P72" i="31"/>
  <c r="Q72" i="31"/>
  <c r="R72" i="31"/>
  <c r="S72" i="31"/>
  <c r="T72" i="31"/>
  <c r="U72" i="31"/>
  <c r="V72" i="31"/>
  <c r="W72" i="31"/>
  <c r="X72" i="31"/>
  <c r="Y72" i="31"/>
  <c r="Z72" i="31"/>
  <c r="AA72" i="31"/>
  <c r="AB72" i="31"/>
  <c r="AC72" i="31"/>
  <c r="AD72" i="31"/>
  <c r="AE72" i="31"/>
  <c r="AF72" i="31"/>
  <c r="AG72" i="31"/>
  <c r="D73" i="31"/>
  <c r="E73" i="31"/>
  <c r="F73" i="31"/>
  <c r="G73" i="31"/>
  <c r="H73" i="31"/>
  <c r="I73" i="31"/>
  <c r="J73" i="31"/>
  <c r="K73" i="31"/>
  <c r="L73" i="31"/>
  <c r="M73" i="31"/>
  <c r="N73" i="31"/>
  <c r="O73" i="31"/>
  <c r="P73" i="31"/>
  <c r="Q73" i="31"/>
  <c r="R73" i="31"/>
  <c r="S73" i="31"/>
  <c r="R113" i="31" s="1"/>
  <c r="T73" i="31"/>
  <c r="U73" i="31"/>
  <c r="V73" i="31"/>
  <c r="W73" i="31"/>
  <c r="X73" i="31"/>
  <c r="Y73" i="31"/>
  <c r="Z73" i="31"/>
  <c r="AA73" i="31"/>
  <c r="AB73" i="31"/>
  <c r="AC73" i="31"/>
  <c r="AD73" i="31"/>
  <c r="AE73" i="31"/>
  <c r="AF73" i="31"/>
  <c r="AG73" i="31"/>
  <c r="D74" i="31"/>
  <c r="E74" i="31"/>
  <c r="D114" i="31" s="1"/>
  <c r="F74" i="31"/>
  <c r="E114" i="31" s="1"/>
  <c r="G74" i="31"/>
  <c r="H74" i="31"/>
  <c r="I74" i="31"/>
  <c r="J74" i="31"/>
  <c r="K74" i="31"/>
  <c r="L74" i="31"/>
  <c r="M74" i="31"/>
  <c r="N74" i="31"/>
  <c r="O74" i="31"/>
  <c r="P74" i="31"/>
  <c r="Q74" i="31"/>
  <c r="R74" i="31"/>
  <c r="S74" i="31"/>
  <c r="T74" i="31"/>
  <c r="U74" i="31"/>
  <c r="T114" i="31" s="1"/>
  <c r="V74" i="31"/>
  <c r="U114" i="31" s="1"/>
  <c r="W74" i="31"/>
  <c r="X74" i="31"/>
  <c r="Y74" i="31"/>
  <c r="Z74" i="31"/>
  <c r="AA74" i="31"/>
  <c r="AB74" i="31"/>
  <c r="AC74" i="31"/>
  <c r="AB114" i="31" s="1"/>
  <c r="AD74" i="31"/>
  <c r="AE74" i="31"/>
  <c r="AF74" i="31"/>
  <c r="AG74" i="31"/>
  <c r="D75" i="31"/>
  <c r="E75" i="31"/>
  <c r="F75" i="31"/>
  <c r="G75" i="31"/>
  <c r="F115" i="31" s="1"/>
  <c r="H75" i="31"/>
  <c r="I75" i="31"/>
  <c r="J75" i="31"/>
  <c r="K75" i="31"/>
  <c r="L75" i="31"/>
  <c r="M75" i="31"/>
  <c r="N75" i="31"/>
  <c r="O75" i="31"/>
  <c r="N115" i="31" s="1"/>
  <c r="P75" i="31"/>
  <c r="Q75" i="31"/>
  <c r="R75" i="31"/>
  <c r="S75" i="31"/>
  <c r="T75" i="31"/>
  <c r="U75" i="31"/>
  <c r="V75" i="31"/>
  <c r="W75" i="31"/>
  <c r="V116" i="31" s="1"/>
  <c r="X75" i="31"/>
  <c r="Y75" i="31"/>
  <c r="Z75" i="31"/>
  <c r="AA75" i="31"/>
  <c r="AB75" i="31"/>
  <c r="AC75" i="31"/>
  <c r="AD75" i="31"/>
  <c r="AE75" i="31"/>
  <c r="AD115" i="31" s="1"/>
  <c r="AF75" i="31"/>
  <c r="AG75" i="31"/>
  <c r="D76" i="31"/>
  <c r="E76" i="31"/>
  <c r="F76" i="31"/>
  <c r="G76" i="31"/>
  <c r="H76" i="31"/>
  <c r="I76" i="31"/>
  <c r="H116" i="31" s="1"/>
  <c r="J76" i="31"/>
  <c r="K76" i="31"/>
  <c r="L76" i="31"/>
  <c r="M76" i="31"/>
  <c r="N76" i="31"/>
  <c r="O76" i="31"/>
  <c r="P76" i="31"/>
  <c r="Q76" i="31"/>
  <c r="P116" i="31" s="1"/>
  <c r="R76" i="31"/>
  <c r="S76" i="31"/>
  <c r="T76" i="31"/>
  <c r="U76" i="31"/>
  <c r="V76" i="31"/>
  <c r="W76" i="31"/>
  <c r="X76" i="31"/>
  <c r="Y76" i="31"/>
  <c r="X116" i="31" s="1"/>
  <c r="Z76" i="31"/>
  <c r="AA76" i="31"/>
  <c r="AB76" i="31"/>
  <c r="AC76" i="31"/>
  <c r="AD76" i="31"/>
  <c r="AC115" i="31" s="1"/>
  <c r="AE76" i="31"/>
  <c r="AF76" i="31"/>
  <c r="AG76" i="31"/>
  <c r="AF116" i="31" s="1"/>
  <c r="D77" i="31"/>
  <c r="E77" i="31"/>
  <c r="F77" i="31"/>
  <c r="G77" i="31"/>
  <c r="H77" i="31"/>
  <c r="I77" i="31"/>
  <c r="J77" i="31"/>
  <c r="K77" i="31"/>
  <c r="J117" i="31" s="1"/>
  <c r="L77" i="31"/>
  <c r="M77" i="31"/>
  <c r="N77" i="31"/>
  <c r="O77" i="31"/>
  <c r="P77" i="31"/>
  <c r="Q77" i="31"/>
  <c r="R77" i="31"/>
  <c r="S77" i="31"/>
  <c r="R118" i="31" s="1"/>
  <c r="T77" i="31"/>
  <c r="U77" i="31"/>
  <c r="V77" i="31"/>
  <c r="W77" i="31"/>
  <c r="X77" i="31"/>
  <c r="Y77" i="31"/>
  <c r="Z77" i="31"/>
  <c r="AA77" i="31"/>
  <c r="Z117" i="31" s="1"/>
  <c r="AB77" i="31"/>
  <c r="AC77" i="31"/>
  <c r="AD77" i="31"/>
  <c r="AE77" i="31"/>
  <c r="AF77" i="31"/>
  <c r="AE118" i="31" s="1"/>
  <c r="AG77" i="31"/>
  <c r="D78" i="31"/>
  <c r="E78" i="31"/>
  <c r="D118" i="31" s="1"/>
  <c r="F78" i="31"/>
  <c r="G78" i="31"/>
  <c r="H78" i="31"/>
  <c r="I78" i="31"/>
  <c r="J78" i="31"/>
  <c r="K78" i="31"/>
  <c r="L78" i="31"/>
  <c r="M78" i="31"/>
  <c r="L117" i="31" s="1"/>
  <c r="N78" i="31"/>
  <c r="M117" i="31" s="1"/>
  <c r="O78" i="31"/>
  <c r="P78" i="31"/>
  <c r="Q78" i="31"/>
  <c r="R78" i="31"/>
  <c r="S78" i="31"/>
  <c r="T78" i="31"/>
  <c r="U78" i="31"/>
  <c r="T118" i="31" s="1"/>
  <c r="V78" i="31"/>
  <c r="W78" i="31"/>
  <c r="X78" i="31"/>
  <c r="Y78" i="31"/>
  <c r="Z78" i="31"/>
  <c r="AA78" i="31"/>
  <c r="AB78" i="31"/>
  <c r="AC78" i="31"/>
  <c r="AB117" i="31" s="1"/>
  <c r="AD78" i="31"/>
  <c r="AE78" i="31"/>
  <c r="AF78" i="31"/>
  <c r="AG78" i="31"/>
  <c r="D79" i="31"/>
  <c r="E79" i="31"/>
  <c r="D119" i="31" s="1"/>
  <c r="F79" i="31"/>
  <c r="E119" i="31" s="1"/>
  <c r="G79" i="31"/>
  <c r="H79" i="31"/>
  <c r="I79" i="31"/>
  <c r="J79" i="31"/>
  <c r="K79" i="31"/>
  <c r="L79" i="31"/>
  <c r="M79" i="31"/>
  <c r="N79" i="31"/>
  <c r="M119" i="31" s="1"/>
  <c r="O79" i="31"/>
  <c r="P79" i="31"/>
  <c r="Q79" i="31"/>
  <c r="R79" i="31"/>
  <c r="S79" i="31"/>
  <c r="R119" i="31" s="1"/>
  <c r="T79" i="31"/>
  <c r="U79" i="31"/>
  <c r="T119" i="31" s="1"/>
  <c r="V79" i="31"/>
  <c r="U119" i="31" s="1"/>
  <c r="W79" i="31"/>
  <c r="X79" i="31"/>
  <c r="Y79" i="31"/>
  <c r="Z79" i="31"/>
  <c r="AA79" i="31"/>
  <c r="Z119" i="31" s="1"/>
  <c r="AB79" i="31"/>
  <c r="AC79" i="31"/>
  <c r="AD79" i="31"/>
  <c r="AC119" i="31" s="1"/>
  <c r="AE79" i="31"/>
  <c r="AD119" i="31" s="1"/>
  <c r="AF79" i="31"/>
  <c r="AE119" i="31" s="1"/>
  <c r="AG79"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B119" i="31" s="1"/>
  <c r="C42" i="31"/>
  <c r="D2" i="31"/>
  <c r="E2" i="31"/>
  <c r="F2" i="31"/>
  <c r="G2" i="31"/>
  <c r="H2" i="31"/>
  <c r="I2" i="31"/>
  <c r="J2" i="31"/>
  <c r="K2" i="31"/>
  <c r="L2" i="31"/>
  <c r="M2" i="31"/>
  <c r="N2" i="31"/>
  <c r="O2" i="31"/>
  <c r="P2" i="31"/>
  <c r="Q2" i="31"/>
  <c r="R2" i="31"/>
  <c r="S2" i="31"/>
  <c r="T2" i="31"/>
  <c r="U2" i="31"/>
  <c r="V2" i="31"/>
  <c r="W2" i="31"/>
  <c r="X2" i="31"/>
  <c r="Y2" i="31"/>
  <c r="Z2" i="31"/>
  <c r="AA2" i="31"/>
  <c r="AB2" i="31"/>
  <c r="AC2" i="31"/>
  <c r="AD2" i="31"/>
  <c r="AE2" i="31"/>
  <c r="AF2" i="31"/>
  <c r="AG2" i="31"/>
  <c r="D3" i="31"/>
  <c r="E3" i="31"/>
  <c r="D83" i="31" s="1"/>
  <c r="F3" i="31"/>
  <c r="G3" i="31"/>
  <c r="H3" i="31"/>
  <c r="I3" i="31"/>
  <c r="J3" i="31"/>
  <c r="I83" i="31" s="1"/>
  <c r="K3" i="31"/>
  <c r="L3" i="31"/>
  <c r="M3" i="31"/>
  <c r="L83" i="31" s="1"/>
  <c r="N3" i="31"/>
  <c r="O3" i="31"/>
  <c r="P3" i="31"/>
  <c r="Q3" i="31"/>
  <c r="R3" i="31"/>
  <c r="Q83" i="31" s="1"/>
  <c r="S3" i="31"/>
  <c r="T3" i="31"/>
  <c r="U3" i="31"/>
  <c r="T83" i="31" s="1"/>
  <c r="V3" i="31"/>
  <c r="W3" i="31"/>
  <c r="X3" i="31"/>
  <c r="Y3" i="31"/>
  <c r="Z3" i="31"/>
  <c r="Y83" i="31" s="1"/>
  <c r="AA3" i="31"/>
  <c r="AB3" i="31"/>
  <c r="AC3" i="31"/>
  <c r="AB83" i="31" s="1"/>
  <c r="AD3" i="31"/>
  <c r="AE3" i="31"/>
  <c r="AF3" i="31"/>
  <c r="AG3" i="31"/>
  <c r="D4" i="31"/>
  <c r="C84" i="31" s="1"/>
  <c r="E4" i="31"/>
  <c r="F4" i="31"/>
  <c r="G4" i="31"/>
  <c r="F84" i="31" s="1"/>
  <c r="H4" i="31"/>
  <c r="I4" i="31"/>
  <c r="J4" i="31"/>
  <c r="I84" i="31" s="1"/>
  <c r="K4" i="31"/>
  <c r="L4" i="31"/>
  <c r="K84" i="31" s="1"/>
  <c r="M4" i="31"/>
  <c r="N4" i="31"/>
  <c r="O4" i="31"/>
  <c r="N84" i="31" s="1"/>
  <c r="P4" i="31"/>
  <c r="Q4" i="31"/>
  <c r="R4" i="31"/>
  <c r="Q84" i="31" s="1"/>
  <c r="S4" i="31"/>
  <c r="T4" i="31"/>
  <c r="S84" i="31" s="1"/>
  <c r="U4" i="31"/>
  <c r="V4" i="31"/>
  <c r="W4" i="31"/>
  <c r="V84" i="31" s="1"/>
  <c r="X4" i="31"/>
  <c r="Y4" i="31"/>
  <c r="Z4" i="31"/>
  <c r="Y84" i="31" s="1"/>
  <c r="AA4" i="31"/>
  <c r="AB4" i="31"/>
  <c r="AA84" i="31" s="1"/>
  <c r="AC4" i="31"/>
  <c r="AD4" i="31"/>
  <c r="AE4" i="31"/>
  <c r="AD84" i="31" s="1"/>
  <c r="AF4" i="31"/>
  <c r="AG4" i="31"/>
  <c r="D5" i="31"/>
  <c r="E5" i="31"/>
  <c r="F5" i="31"/>
  <c r="E85" i="31" s="1"/>
  <c r="G5" i="31"/>
  <c r="H5" i="31"/>
  <c r="I5" i="31"/>
  <c r="J5" i="31"/>
  <c r="K5" i="31"/>
  <c r="L5" i="31"/>
  <c r="M5" i="31"/>
  <c r="N5" i="31"/>
  <c r="O5" i="31"/>
  <c r="P5" i="31"/>
  <c r="Q5" i="31"/>
  <c r="R5" i="31"/>
  <c r="S5" i="31"/>
  <c r="T5" i="31"/>
  <c r="U5" i="31"/>
  <c r="V5" i="31"/>
  <c r="U85" i="31" s="1"/>
  <c r="W5" i="31"/>
  <c r="X5" i="31"/>
  <c r="Y5" i="31"/>
  <c r="Z5" i="31"/>
  <c r="AA5" i="31"/>
  <c r="AB5" i="31"/>
  <c r="AC5" i="31"/>
  <c r="AD5" i="31"/>
  <c r="AE5" i="31"/>
  <c r="AF5" i="31"/>
  <c r="AG5" i="31"/>
  <c r="D6" i="31"/>
  <c r="E6" i="31"/>
  <c r="F6" i="31"/>
  <c r="G6" i="31"/>
  <c r="H6" i="31"/>
  <c r="I6" i="31"/>
  <c r="J6" i="31"/>
  <c r="K6" i="31"/>
  <c r="L6" i="31"/>
  <c r="M6" i="31"/>
  <c r="N6" i="31"/>
  <c r="O6" i="31"/>
  <c r="P6" i="31"/>
  <c r="Q6" i="31"/>
  <c r="R6" i="31"/>
  <c r="S6" i="31"/>
  <c r="T6" i="31"/>
  <c r="U6" i="31"/>
  <c r="V6" i="31"/>
  <c r="W6" i="31"/>
  <c r="X6" i="31"/>
  <c r="Y6" i="31"/>
  <c r="Z6" i="31"/>
  <c r="AA6" i="31"/>
  <c r="AB6" i="31"/>
  <c r="AC6" i="31"/>
  <c r="AD6" i="31"/>
  <c r="AE6" i="31"/>
  <c r="AF6" i="31"/>
  <c r="AG6" i="31"/>
  <c r="D7" i="31"/>
  <c r="E7" i="31"/>
  <c r="F7" i="31"/>
  <c r="G7" i="31"/>
  <c r="H7" i="31"/>
  <c r="I7" i="31"/>
  <c r="J7" i="31"/>
  <c r="I87" i="31" s="1"/>
  <c r="K7" i="31"/>
  <c r="L7" i="31"/>
  <c r="M7" i="31"/>
  <c r="N7" i="31"/>
  <c r="O7" i="31"/>
  <c r="P7" i="31"/>
  <c r="Q7" i="31"/>
  <c r="R7" i="31"/>
  <c r="S7" i="31"/>
  <c r="T7" i="31"/>
  <c r="U7" i="31"/>
  <c r="V7" i="31"/>
  <c r="W7" i="31"/>
  <c r="X7" i="31"/>
  <c r="Y7" i="31"/>
  <c r="Z7" i="31"/>
  <c r="Y87" i="31" s="1"/>
  <c r="AA7" i="31"/>
  <c r="AB7" i="31"/>
  <c r="AC7" i="31"/>
  <c r="AD7" i="31"/>
  <c r="AE7" i="31"/>
  <c r="AF7" i="31"/>
  <c r="AG7" i="31"/>
  <c r="D8" i="31"/>
  <c r="E8" i="31"/>
  <c r="F8" i="31"/>
  <c r="G8" i="31"/>
  <c r="H8" i="31"/>
  <c r="I8" i="31"/>
  <c r="J8" i="31"/>
  <c r="K8" i="31"/>
  <c r="L8" i="31"/>
  <c r="M8" i="31"/>
  <c r="N8" i="31"/>
  <c r="O8" i="31"/>
  <c r="P8" i="31"/>
  <c r="Q8" i="31"/>
  <c r="R8" i="31"/>
  <c r="S8" i="31"/>
  <c r="T8" i="31"/>
  <c r="U8" i="31"/>
  <c r="V8" i="31"/>
  <c r="W8" i="31"/>
  <c r="X8" i="31"/>
  <c r="Y8" i="31"/>
  <c r="Z8" i="31"/>
  <c r="AA8" i="31"/>
  <c r="AB8" i="31"/>
  <c r="AC8" i="31"/>
  <c r="AD8" i="31"/>
  <c r="AE8" i="31"/>
  <c r="AF8" i="31"/>
  <c r="AG8" i="31"/>
  <c r="D9" i="31"/>
  <c r="E9" i="31"/>
  <c r="F9" i="31"/>
  <c r="E89" i="31" s="1"/>
  <c r="G9" i="31"/>
  <c r="H9" i="31"/>
  <c r="I9" i="31"/>
  <c r="J9" i="31"/>
  <c r="K9" i="31"/>
  <c r="L9" i="31"/>
  <c r="M9" i="31"/>
  <c r="N9" i="31"/>
  <c r="M89" i="31" s="1"/>
  <c r="O9" i="31"/>
  <c r="P9" i="31"/>
  <c r="Q9" i="31"/>
  <c r="R9" i="31"/>
  <c r="S9" i="31"/>
  <c r="T9" i="31"/>
  <c r="U9" i="31"/>
  <c r="V9" i="31"/>
  <c r="U89" i="31" s="1"/>
  <c r="W9" i="31"/>
  <c r="X9" i="31"/>
  <c r="Y9" i="31"/>
  <c r="Z9" i="31"/>
  <c r="AA9" i="31"/>
  <c r="AB9" i="31"/>
  <c r="AC9" i="31"/>
  <c r="AD9" i="31"/>
  <c r="AC89" i="31" s="1"/>
  <c r="AE9" i="31"/>
  <c r="AF9" i="31"/>
  <c r="AG9" i="31"/>
  <c r="D10" i="31"/>
  <c r="E10" i="31"/>
  <c r="F10" i="31"/>
  <c r="E90" i="31" s="1"/>
  <c r="G10" i="31"/>
  <c r="H10" i="31"/>
  <c r="I10" i="31"/>
  <c r="J10" i="31"/>
  <c r="K10" i="31"/>
  <c r="J90" i="31" s="1"/>
  <c r="L10" i="31"/>
  <c r="M10" i="31"/>
  <c r="N10" i="31"/>
  <c r="M90" i="31" s="1"/>
  <c r="O10" i="31"/>
  <c r="P10" i="31"/>
  <c r="O90" i="31" s="1"/>
  <c r="Q10" i="31"/>
  <c r="R10" i="31"/>
  <c r="S10" i="31"/>
  <c r="R90" i="31" s="1"/>
  <c r="T10" i="31"/>
  <c r="U10" i="31"/>
  <c r="V10" i="31"/>
  <c r="U90" i="31" s="1"/>
  <c r="W10" i="31"/>
  <c r="X10" i="31"/>
  <c r="Y10" i="31"/>
  <c r="Z10" i="31"/>
  <c r="AA10" i="31"/>
  <c r="Z90" i="31" s="1"/>
  <c r="AB10" i="31"/>
  <c r="AC10" i="31"/>
  <c r="AD10" i="31"/>
  <c r="AC90" i="31" s="1"/>
  <c r="AE10" i="31"/>
  <c r="AF10" i="31"/>
  <c r="AE90" i="31" s="1"/>
  <c r="AG10" i="31"/>
  <c r="D11" i="31"/>
  <c r="E11" i="31"/>
  <c r="D91" i="31" s="1"/>
  <c r="F11" i="31"/>
  <c r="G11" i="31"/>
  <c r="H11" i="31"/>
  <c r="G91" i="31" s="1"/>
  <c r="I11" i="31"/>
  <c r="J11" i="31"/>
  <c r="I91" i="31" s="1"/>
  <c r="K11" i="31"/>
  <c r="L11" i="31"/>
  <c r="M11" i="31"/>
  <c r="L91" i="31" s="1"/>
  <c r="N11" i="31"/>
  <c r="O11" i="31"/>
  <c r="P11" i="31"/>
  <c r="O91" i="31" s="1"/>
  <c r="Q11" i="31"/>
  <c r="R11" i="31"/>
  <c r="Q91" i="31" s="1"/>
  <c r="S11" i="31"/>
  <c r="T11" i="31"/>
  <c r="U11" i="31"/>
  <c r="T91" i="31" s="1"/>
  <c r="V11" i="31"/>
  <c r="W11" i="31"/>
  <c r="X11" i="31"/>
  <c r="W91" i="31" s="1"/>
  <c r="Y11" i="31"/>
  <c r="Z11" i="31"/>
  <c r="Y91" i="31" s="1"/>
  <c r="AA11" i="31"/>
  <c r="AB11" i="31"/>
  <c r="AC11" i="31"/>
  <c r="AB91" i="31" s="1"/>
  <c r="AD11" i="31"/>
  <c r="AE11" i="31"/>
  <c r="AF11" i="31"/>
  <c r="AE91" i="31" s="1"/>
  <c r="AG11" i="31"/>
  <c r="D12" i="31"/>
  <c r="C92" i="31" s="1"/>
  <c r="E12" i="31"/>
  <c r="F12" i="31"/>
  <c r="G12" i="31"/>
  <c r="H12" i="31"/>
  <c r="I12" i="31"/>
  <c r="J12" i="31"/>
  <c r="K12" i="31"/>
  <c r="L12" i="31"/>
  <c r="K92" i="31" s="1"/>
  <c r="M12" i="31"/>
  <c r="N12" i="31"/>
  <c r="O12" i="31"/>
  <c r="P12" i="31"/>
  <c r="Q12" i="31"/>
  <c r="R12" i="31"/>
  <c r="S12" i="31"/>
  <c r="T12" i="31"/>
  <c r="S92" i="31" s="1"/>
  <c r="U12" i="31"/>
  <c r="V12" i="31"/>
  <c r="W12" i="31"/>
  <c r="X12" i="31"/>
  <c r="Y12" i="31"/>
  <c r="Z12" i="31"/>
  <c r="AA12" i="31"/>
  <c r="AB12" i="31"/>
  <c r="AA92" i="31" s="1"/>
  <c r="AC12" i="31"/>
  <c r="AD12" i="31"/>
  <c r="AE12" i="31"/>
  <c r="AF12" i="31"/>
  <c r="AG12" i="31"/>
  <c r="D13" i="31"/>
  <c r="E13" i="31"/>
  <c r="F13" i="31"/>
  <c r="E93" i="31" s="1"/>
  <c r="G13" i="31"/>
  <c r="H13" i="31"/>
  <c r="I13" i="31"/>
  <c r="J13" i="31"/>
  <c r="K13" i="31"/>
  <c r="L13" i="31"/>
  <c r="M13" i="31"/>
  <c r="N13" i="31"/>
  <c r="M93" i="31" s="1"/>
  <c r="O13" i="31"/>
  <c r="P13" i="31"/>
  <c r="Q13" i="31"/>
  <c r="R13" i="31"/>
  <c r="S13" i="31"/>
  <c r="T13" i="31"/>
  <c r="U13" i="31"/>
  <c r="V13" i="31"/>
  <c r="U93" i="31" s="1"/>
  <c r="W13" i="31"/>
  <c r="X13" i="31"/>
  <c r="Y13" i="31"/>
  <c r="X93" i="31" s="1"/>
  <c r="Z13" i="31"/>
  <c r="AA13" i="31"/>
  <c r="AB13" i="31"/>
  <c r="AC13" i="31"/>
  <c r="AD13" i="31"/>
  <c r="AC93" i="31" s="1"/>
  <c r="AE13" i="31"/>
  <c r="AF13" i="31"/>
  <c r="AG13" i="31"/>
  <c r="D14" i="31"/>
  <c r="E14" i="31"/>
  <c r="F14" i="31"/>
  <c r="E94" i="31" s="1"/>
  <c r="G14" i="31"/>
  <c r="H14" i="31"/>
  <c r="G94" i="31" s="1"/>
  <c r="I14" i="31"/>
  <c r="J14" i="31"/>
  <c r="K14" i="31"/>
  <c r="J94" i="31" s="1"/>
  <c r="L14" i="31"/>
  <c r="M14" i="31"/>
  <c r="N14" i="31"/>
  <c r="M94" i="31" s="1"/>
  <c r="O14" i="31"/>
  <c r="P14" i="31"/>
  <c r="Q14" i="31"/>
  <c r="R14" i="31"/>
  <c r="S14" i="31"/>
  <c r="R94" i="31" s="1"/>
  <c r="T14" i="31"/>
  <c r="U14" i="31"/>
  <c r="V14" i="31"/>
  <c r="U94" i="31" s="1"/>
  <c r="W14" i="31"/>
  <c r="X14" i="31"/>
  <c r="W94" i="31" s="1"/>
  <c r="Y14" i="31"/>
  <c r="Z14" i="31"/>
  <c r="AA14" i="31"/>
  <c r="Z94" i="31" s="1"/>
  <c r="AB14" i="31"/>
  <c r="AC14" i="31"/>
  <c r="AD14" i="31"/>
  <c r="AC94" i="31" s="1"/>
  <c r="AE14" i="31"/>
  <c r="AF14" i="31"/>
  <c r="AG14" i="31"/>
  <c r="D15" i="31"/>
  <c r="E15" i="31"/>
  <c r="F15" i="31"/>
  <c r="G15" i="31"/>
  <c r="H15" i="31"/>
  <c r="I15" i="31"/>
  <c r="J15" i="31"/>
  <c r="I95" i="31" s="1"/>
  <c r="K15" i="31"/>
  <c r="L15" i="31"/>
  <c r="M15" i="31"/>
  <c r="N15" i="31"/>
  <c r="O15" i="31"/>
  <c r="P15" i="31"/>
  <c r="Q15" i="31"/>
  <c r="R15" i="31"/>
  <c r="Q95" i="31" s="1"/>
  <c r="S15" i="31"/>
  <c r="T15" i="31"/>
  <c r="U15" i="31"/>
  <c r="V15" i="31"/>
  <c r="W15" i="31"/>
  <c r="X15" i="31"/>
  <c r="Y15" i="31"/>
  <c r="Z15" i="31"/>
  <c r="Y95" i="31" s="1"/>
  <c r="AA15" i="31"/>
  <c r="AB15" i="31"/>
  <c r="AC15" i="31"/>
  <c r="AD15" i="31"/>
  <c r="AE15" i="31"/>
  <c r="AF15" i="31"/>
  <c r="AG15" i="31"/>
  <c r="D16" i="31"/>
  <c r="E16" i="31"/>
  <c r="F16" i="31"/>
  <c r="G16" i="31"/>
  <c r="F96" i="31" s="1"/>
  <c r="H16" i="31"/>
  <c r="I16" i="31"/>
  <c r="J16" i="31"/>
  <c r="I96" i="31" s="1"/>
  <c r="K16" i="31"/>
  <c r="L16" i="31"/>
  <c r="K96" i="31" s="1"/>
  <c r="M16" i="31"/>
  <c r="N16" i="31"/>
  <c r="O16" i="31"/>
  <c r="N96" i="31" s="1"/>
  <c r="P16" i="31"/>
  <c r="Q16" i="31"/>
  <c r="R16" i="31"/>
  <c r="Q96" i="31" s="1"/>
  <c r="S16" i="31"/>
  <c r="T16" i="31"/>
  <c r="U16" i="31"/>
  <c r="V16" i="31"/>
  <c r="W16" i="31"/>
  <c r="V96" i="31" s="1"/>
  <c r="X16" i="31"/>
  <c r="Y16" i="31"/>
  <c r="Z16" i="31"/>
  <c r="Y96" i="31" s="1"/>
  <c r="AA16" i="31"/>
  <c r="AB16" i="31"/>
  <c r="AA96" i="31" s="1"/>
  <c r="AC16" i="31"/>
  <c r="AD16" i="31"/>
  <c r="AE16" i="31"/>
  <c r="AD96" i="31" s="1"/>
  <c r="AF16" i="31"/>
  <c r="AG16" i="31"/>
  <c r="D17" i="31"/>
  <c r="E17" i="31"/>
  <c r="F17" i="31"/>
  <c r="E97" i="31" s="1"/>
  <c r="G17" i="31"/>
  <c r="H17" i="31"/>
  <c r="I17" i="31"/>
  <c r="J17" i="31"/>
  <c r="K17" i="31"/>
  <c r="L17" i="31"/>
  <c r="M17" i="31"/>
  <c r="N17" i="31"/>
  <c r="M97" i="31" s="1"/>
  <c r="O17" i="31"/>
  <c r="P17" i="31"/>
  <c r="Q17" i="31"/>
  <c r="R17" i="31"/>
  <c r="S17" i="31"/>
  <c r="T17" i="31"/>
  <c r="U17" i="31"/>
  <c r="V17" i="31"/>
  <c r="U97" i="31" s="1"/>
  <c r="W17" i="31"/>
  <c r="X17" i="31"/>
  <c r="Y17" i="31"/>
  <c r="Z17" i="31"/>
  <c r="AA17" i="31"/>
  <c r="AB17" i="31"/>
  <c r="AC17" i="31"/>
  <c r="AD17" i="31"/>
  <c r="AC97" i="31" s="1"/>
  <c r="AE17" i="31"/>
  <c r="AF17" i="31"/>
  <c r="AG17" i="31"/>
  <c r="D18" i="31"/>
  <c r="E18" i="31"/>
  <c r="F18" i="31"/>
  <c r="E98" i="31" s="1"/>
  <c r="G18" i="31"/>
  <c r="H18" i="31"/>
  <c r="I18" i="31"/>
  <c r="J18" i="31"/>
  <c r="K18" i="31"/>
  <c r="J98" i="31" s="1"/>
  <c r="L18" i="31"/>
  <c r="M18" i="31"/>
  <c r="N18" i="31"/>
  <c r="M98" i="31" s="1"/>
  <c r="O18" i="31"/>
  <c r="P18" i="31"/>
  <c r="O98" i="31" s="1"/>
  <c r="Q18" i="31"/>
  <c r="R18" i="31"/>
  <c r="S18" i="31"/>
  <c r="R98" i="31" s="1"/>
  <c r="T18" i="31"/>
  <c r="U18" i="31"/>
  <c r="V18" i="31"/>
  <c r="U98" i="31" s="1"/>
  <c r="W18" i="31"/>
  <c r="X18" i="31"/>
  <c r="Y18" i="31"/>
  <c r="Z18" i="31"/>
  <c r="AA18" i="31"/>
  <c r="Z98" i="31" s="1"/>
  <c r="AB18" i="31"/>
  <c r="AC18" i="31"/>
  <c r="AD18" i="31"/>
  <c r="AC98" i="31" s="1"/>
  <c r="AE18" i="31"/>
  <c r="AF18" i="31"/>
  <c r="AE98" i="31" s="1"/>
  <c r="AG18" i="31"/>
  <c r="D19" i="31"/>
  <c r="E19" i="31"/>
  <c r="D99" i="31" s="1"/>
  <c r="F19" i="31"/>
  <c r="G19" i="31"/>
  <c r="H19" i="31"/>
  <c r="G99" i="31" s="1"/>
  <c r="I19" i="31"/>
  <c r="J19" i="31"/>
  <c r="I99" i="31" s="1"/>
  <c r="K19" i="31"/>
  <c r="L19" i="31"/>
  <c r="M19" i="31"/>
  <c r="L99" i="31" s="1"/>
  <c r="N19" i="31"/>
  <c r="O19" i="31"/>
  <c r="P19" i="31"/>
  <c r="O99" i="31" s="1"/>
  <c r="Q19" i="31"/>
  <c r="R19" i="31"/>
  <c r="Q99" i="31" s="1"/>
  <c r="S19" i="31"/>
  <c r="T19" i="31"/>
  <c r="U19" i="31"/>
  <c r="T99" i="31" s="1"/>
  <c r="V19" i="31"/>
  <c r="W19" i="31"/>
  <c r="X19" i="31"/>
  <c r="W99" i="31" s="1"/>
  <c r="Y19" i="31"/>
  <c r="Z19" i="31"/>
  <c r="Y99" i="31" s="1"/>
  <c r="AA19" i="31"/>
  <c r="AB19" i="31"/>
  <c r="AC19" i="31"/>
  <c r="AB99" i="31" s="1"/>
  <c r="AD19" i="31"/>
  <c r="AE19" i="31"/>
  <c r="AF19" i="31"/>
  <c r="AE99" i="31" s="1"/>
  <c r="AG19" i="31"/>
  <c r="D20" i="31"/>
  <c r="C100" i="31" s="1"/>
  <c r="E20" i="31"/>
  <c r="F20" i="31"/>
  <c r="G20" i="31"/>
  <c r="F100" i="31" s="1"/>
  <c r="H20" i="31"/>
  <c r="I20" i="31"/>
  <c r="J20" i="31"/>
  <c r="I100" i="31" s="1"/>
  <c r="K20" i="31"/>
  <c r="L20" i="31"/>
  <c r="K100" i="31" s="1"/>
  <c r="M20" i="31"/>
  <c r="N20" i="31"/>
  <c r="O20" i="31"/>
  <c r="N100" i="31" s="1"/>
  <c r="P20" i="31"/>
  <c r="Q20" i="31"/>
  <c r="R20" i="31"/>
  <c r="Q100" i="31" s="1"/>
  <c r="S20" i="31"/>
  <c r="T20" i="31"/>
  <c r="S100" i="31" s="1"/>
  <c r="U20" i="31"/>
  <c r="V20" i="31"/>
  <c r="W20" i="31"/>
  <c r="V100" i="31" s="1"/>
  <c r="X20" i="31"/>
  <c r="Y20" i="31"/>
  <c r="Z20" i="31"/>
  <c r="Y100" i="31" s="1"/>
  <c r="AA20" i="31"/>
  <c r="AB20" i="31"/>
  <c r="AA100" i="31" s="1"/>
  <c r="AC20" i="31"/>
  <c r="AD20" i="31"/>
  <c r="AE20" i="31"/>
  <c r="AD100" i="31" s="1"/>
  <c r="AF20" i="31"/>
  <c r="AG20" i="31"/>
  <c r="D21" i="31"/>
  <c r="C101" i="31" s="1"/>
  <c r="E21" i="31"/>
  <c r="F21" i="31"/>
  <c r="E101" i="31" s="1"/>
  <c r="G21" i="31"/>
  <c r="H21" i="31"/>
  <c r="I21" i="31"/>
  <c r="H101" i="31" s="1"/>
  <c r="J21" i="31"/>
  <c r="K21" i="31"/>
  <c r="L21" i="31"/>
  <c r="K101" i="31" s="1"/>
  <c r="M21" i="31"/>
  <c r="N21" i="31"/>
  <c r="M101" i="31" s="1"/>
  <c r="O21" i="31"/>
  <c r="P21" i="31"/>
  <c r="Q21" i="31"/>
  <c r="P101" i="31" s="1"/>
  <c r="R21" i="31"/>
  <c r="S21" i="31"/>
  <c r="T21" i="31"/>
  <c r="S101" i="31" s="1"/>
  <c r="U21" i="31"/>
  <c r="V21" i="31"/>
  <c r="U101" i="31" s="1"/>
  <c r="W21" i="31"/>
  <c r="X21" i="31"/>
  <c r="Y21" i="31"/>
  <c r="X101" i="31" s="1"/>
  <c r="Z21" i="31"/>
  <c r="AA21" i="31"/>
  <c r="AB21" i="31"/>
  <c r="AA101" i="31" s="1"/>
  <c r="AC21" i="31"/>
  <c r="AD21" i="31"/>
  <c r="AC101" i="31" s="1"/>
  <c r="AE21" i="31"/>
  <c r="AF21" i="31"/>
  <c r="AG21" i="31"/>
  <c r="AF101" i="31" s="1"/>
  <c r="D22" i="31"/>
  <c r="E22" i="31"/>
  <c r="F22" i="31"/>
  <c r="G22" i="31"/>
  <c r="H22" i="31"/>
  <c r="G102" i="31" s="1"/>
  <c r="I22" i="31"/>
  <c r="J22" i="31"/>
  <c r="K22" i="31"/>
  <c r="L22" i="31"/>
  <c r="M22" i="31"/>
  <c r="N22" i="31"/>
  <c r="O22" i="31"/>
  <c r="P22" i="31"/>
  <c r="Q22" i="31"/>
  <c r="R22" i="31"/>
  <c r="S22" i="31"/>
  <c r="T22" i="31"/>
  <c r="U22" i="31"/>
  <c r="V22" i="31"/>
  <c r="W22" i="31"/>
  <c r="X22" i="31"/>
  <c r="W102" i="31" s="1"/>
  <c r="Y22" i="31"/>
  <c r="Z22" i="31"/>
  <c r="AA22" i="31"/>
  <c r="Z102" i="31" s="1"/>
  <c r="AB22" i="31"/>
  <c r="AC22" i="31"/>
  <c r="AD22" i="31"/>
  <c r="AE22" i="31"/>
  <c r="AF22" i="31"/>
  <c r="AG22" i="31"/>
  <c r="D23" i="31"/>
  <c r="E23" i="31"/>
  <c r="D103" i="31" s="1"/>
  <c r="F23" i="31"/>
  <c r="G23" i="31"/>
  <c r="H23" i="31"/>
  <c r="G103" i="31" s="1"/>
  <c r="I23" i="31"/>
  <c r="J23" i="31"/>
  <c r="I103" i="31" s="1"/>
  <c r="K23" i="31"/>
  <c r="L23" i="31"/>
  <c r="M23" i="31"/>
  <c r="L103" i="31" s="1"/>
  <c r="N23" i="31"/>
  <c r="O23" i="31"/>
  <c r="P23" i="31"/>
  <c r="O103" i="31" s="1"/>
  <c r="Q23" i="31"/>
  <c r="R23" i="31"/>
  <c r="Q103" i="31" s="1"/>
  <c r="S23" i="31"/>
  <c r="T23" i="31"/>
  <c r="U23" i="31"/>
  <c r="T103" i="31" s="1"/>
  <c r="V23" i="31"/>
  <c r="W23" i="31"/>
  <c r="X23" i="31"/>
  <c r="W103" i="31" s="1"/>
  <c r="Y23" i="31"/>
  <c r="Z23" i="31"/>
  <c r="Y103" i="31" s="1"/>
  <c r="AA23" i="31"/>
  <c r="AB23" i="31"/>
  <c r="AC23" i="31"/>
  <c r="AB103" i="31" s="1"/>
  <c r="AD23" i="31"/>
  <c r="AE23" i="31"/>
  <c r="AF23" i="31"/>
  <c r="AE103" i="31" s="1"/>
  <c r="AG23" i="31"/>
  <c r="D24" i="31"/>
  <c r="C104" i="31" s="1"/>
  <c r="E24" i="31"/>
  <c r="F24" i="31"/>
  <c r="G24" i="31"/>
  <c r="F104" i="31" s="1"/>
  <c r="H24" i="31"/>
  <c r="I24" i="31"/>
  <c r="J24" i="31"/>
  <c r="I104" i="31" s="1"/>
  <c r="K24" i="31"/>
  <c r="L24" i="31"/>
  <c r="K104" i="31" s="1"/>
  <c r="M24" i="31"/>
  <c r="N24" i="31"/>
  <c r="O24" i="31"/>
  <c r="N104" i="31" s="1"/>
  <c r="P24" i="31"/>
  <c r="Q24" i="31"/>
  <c r="R24" i="31"/>
  <c r="Q104" i="31" s="1"/>
  <c r="S24" i="31"/>
  <c r="T24" i="31"/>
  <c r="S104" i="31" s="1"/>
  <c r="U24" i="31"/>
  <c r="V24" i="31"/>
  <c r="W24" i="31"/>
  <c r="V104" i="31" s="1"/>
  <c r="X24" i="31"/>
  <c r="Y24" i="31"/>
  <c r="Z24" i="31"/>
  <c r="Y104" i="31" s="1"/>
  <c r="AA24" i="31"/>
  <c r="AB24" i="31"/>
  <c r="AA104" i="31" s="1"/>
  <c r="AC24" i="31"/>
  <c r="AD24" i="31"/>
  <c r="AE24" i="31"/>
  <c r="AD104" i="31" s="1"/>
  <c r="AF24" i="31"/>
  <c r="AG24" i="31"/>
  <c r="D25" i="31"/>
  <c r="E25" i="31"/>
  <c r="F25" i="31"/>
  <c r="G25" i="31"/>
  <c r="H25" i="31"/>
  <c r="I25" i="31"/>
  <c r="J25" i="31"/>
  <c r="K25" i="31"/>
  <c r="L25" i="31"/>
  <c r="M25" i="31"/>
  <c r="N25" i="31"/>
  <c r="M105" i="31" s="1"/>
  <c r="O25" i="31"/>
  <c r="P25" i="31"/>
  <c r="Q25" i="31"/>
  <c r="R25" i="31"/>
  <c r="S25" i="31"/>
  <c r="T25" i="31"/>
  <c r="U25" i="31"/>
  <c r="V25" i="31"/>
  <c r="W25" i="31"/>
  <c r="X25" i="31"/>
  <c r="Y25" i="31"/>
  <c r="Z25" i="31"/>
  <c r="AA25" i="31"/>
  <c r="AB25" i="31"/>
  <c r="AC25" i="31"/>
  <c r="AD25" i="31"/>
  <c r="AC105" i="31" s="1"/>
  <c r="AE25" i="31"/>
  <c r="AF25" i="31"/>
  <c r="AG25" i="31"/>
  <c r="D26" i="31"/>
  <c r="E26" i="31"/>
  <c r="F26" i="31"/>
  <c r="G26" i="31"/>
  <c r="H26" i="31"/>
  <c r="G106" i="31" s="1"/>
  <c r="I26" i="31"/>
  <c r="J26" i="31"/>
  <c r="K26" i="31"/>
  <c r="L26" i="31"/>
  <c r="M26" i="31"/>
  <c r="N26" i="31"/>
  <c r="O26" i="31"/>
  <c r="P26" i="31"/>
  <c r="O106" i="31" s="1"/>
  <c r="Q26" i="31"/>
  <c r="R26" i="31"/>
  <c r="S26" i="31"/>
  <c r="T26" i="31"/>
  <c r="U26" i="31"/>
  <c r="V26" i="31"/>
  <c r="W26" i="31"/>
  <c r="X26" i="31"/>
  <c r="W106" i="31" s="1"/>
  <c r="Y26" i="31"/>
  <c r="Z26" i="31"/>
  <c r="AA26" i="31"/>
  <c r="AB26" i="31"/>
  <c r="AC26" i="31"/>
  <c r="AD26" i="31"/>
  <c r="AE26" i="31"/>
  <c r="AF26" i="31"/>
  <c r="AE106" i="31" s="1"/>
  <c r="AG26" i="31"/>
  <c r="D27" i="31"/>
  <c r="E27" i="31"/>
  <c r="F27" i="31"/>
  <c r="G27" i="31"/>
  <c r="H27" i="31"/>
  <c r="I27" i="31"/>
  <c r="J27" i="31"/>
  <c r="I107" i="31" s="1"/>
  <c r="K27" i="31"/>
  <c r="L27" i="31"/>
  <c r="M27" i="31"/>
  <c r="N27" i="31"/>
  <c r="O27" i="31"/>
  <c r="P27" i="31"/>
  <c r="Q27" i="31"/>
  <c r="R27" i="31"/>
  <c r="Q107" i="31" s="1"/>
  <c r="S27" i="31"/>
  <c r="T27" i="31"/>
  <c r="U27" i="31"/>
  <c r="V27" i="31"/>
  <c r="W27" i="31"/>
  <c r="X27" i="31"/>
  <c r="Y27" i="31"/>
  <c r="Z27" i="31"/>
  <c r="Y107" i="31" s="1"/>
  <c r="AA27" i="31"/>
  <c r="AB27" i="31"/>
  <c r="AC27" i="31"/>
  <c r="AD27" i="31"/>
  <c r="AE27" i="31"/>
  <c r="AF27" i="31"/>
  <c r="AG27" i="31"/>
  <c r="D28" i="31"/>
  <c r="C108" i="31" s="1"/>
  <c r="E28" i="31"/>
  <c r="F28" i="31"/>
  <c r="G28" i="31"/>
  <c r="H28" i="31"/>
  <c r="I28" i="31"/>
  <c r="J28" i="31"/>
  <c r="K28" i="31"/>
  <c r="L28" i="31"/>
  <c r="K108" i="31" s="1"/>
  <c r="M28" i="31"/>
  <c r="N28" i="31"/>
  <c r="O28" i="31"/>
  <c r="P28" i="31"/>
  <c r="Q28" i="31"/>
  <c r="R28" i="31"/>
  <c r="S28" i="31"/>
  <c r="T28" i="31"/>
  <c r="S108" i="31" s="1"/>
  <c r="U28" i="31"/>
  <c r="V28" i="31"/>
  <c r="W28" i="31"/>
  <c r="X28" i="31"/>
  <c r="Y28" i="31"/>
  <c r="Z28" i="31"/>
  <c r="AA28" i="31"/>
  <c r="AB28" i="31"/>
  <c r="AA108" i="31" s="1"/>
  <c r="AC28" i="31"/>
  <c r="AD28" i="31"/>
  <c r="AE28" i="31"/>
  <c r="AF28" i="31"/>
  <c r="AG28" i="31"/>
  <c r="D29" i="31"/>
  <c r="E29" i="31"/>
  <c r="F29" i="31"/>
  <c r="E109" i="31" s="1"/>
  <c r="G29" i="31"/>
  <c r="H29" i="31"/>
  <c r="I29" i="31"/>
  <c r="J29" i="31"/>
  <c r="K29" i="31"/>
  <c r="L29" i="31"/>
  <c r="M29" i="31"/>
  <c r="N29" i="31"/>
  <c r="M109" i="31" s="1"/>
  <c r="O29" i="31"/>
  <c r="P29" i="31"/>
  <c r="Q29" i="31"/>
  <c r="R29" i="31"/>
  <c r="S29" i="31"/>
  <c r="T29" i="31"/>
  <c r="U29" i="31"/>
  <c r="V29" i="31"/>
  <c r="U109" i="31" s="1"/>
  <c r="W29" i="31"/>
  <c r="X29" i="31"/>
  <c r="Y29" i="31"/>
  <c r="Z29" i="31"/>
  <c r="AA29" i="31"/>
  <c r="AB29" i="31"/>
  <c r="AC29" i="31"/>
  <c r="AD29" i="31"/>
  <c r="AC109" i="31" s="1"/>
  <c r="AE29" i="31"/>
  <c r="AF29" i="31"/>
  <c r="AG29" i="31"/>
  <c r="D30" i="31"/>
  <c r="E30" i="31"/>
  <c r="F30" i="31"/>
  <c r="E110" i="31" s="1"/>
  <c r="G30" i="31"/>
  <c r="H30" i="31"/>
  <c r="G110" i="31" s="1"/>
  <c r="I30" i="31"/>
  <c r="J30" i="31"/>
  <c r="K30" i="31"/>
  <c r="J110" i="31" s="1"/>
  <c r="L30" i="31"/>
  <c r="M30" i="31"/>
  <c r="N30" i="31"/>
  <c r="M110" i="31" s="1"/>
  <c r="O30" i="31"/>
  <c r="P30" i="31"/>
  <c r="O110" i="31" s="1"/>
  <c r="Q30" i="31"/>
  <c r="R30" i="31"/>
  <c r="S30" i="31"/>
  <c r="R110" i="31" s="1"/>
  <c r="T30" i="31"/>
  <c r="U30" i="31"/>
  <c r="V30" i="31"/>
  <c r="U110" i="31" s="1"/>
  <c r="W30" i="31"/>
  <c r="X30" i="31"/>
  <c r="W110" i="31" s="1"/>
  <c r="Y30" i="31"/>
  <c r="Z30" i="31"/>
  <c r="AA30" i="31"/>
  <c r="Z110" i="31" s="1"/>
  <c r="AB30" i="31"/>
  <c r="AC30" i="31"/>
  <c r="AD30" i="31"/>
  <c r="AC110" i="31" s="1"/>
  <c r="AE30" i="31"/>
  <c r="AF30" i="31"/>
  <c r="AE110" i="31" s="1"/>
  <c r="AG30" i="31"/>
  <c r="D31" i="31"/>
  <c r="E31" i="31"/>
  <c r="D111" i="31" s="1"/>
  <c r="F31" i="31"/>
  <c r="G31" i="31"/>
  <c r="H31" i="31"/>
  <c r="G111" i="31" s="1"/>
  <c r="I31" i="31"/>
  <c r="J31" i="31"/>
  <c r="I111" i="31" s="1"/>
  <c r="K31" i="31"/>
  <c r="L31" i="31"/>
  <c r="M31" i="31"/>
  <c r="L111" i="31" s="1"/>
  <c r="N31" i="31"/>
  <c r="O31" i="31"/>
  <c r="P31" i="31"/>
  <c r="O111" i="31" s="1"/>
  <c r="Q31" i="31"/>
  <c r="R31" i="31"/>
  <c r="Q111" i="31" s="1"/>
  <c r="S31" i="31"/>
  <c r="T31" i="31"/>
  <c r="U31" i="31"/>
  <c r="T111" i="31" s="1"/>
  <c r="V31" i="31"/>
  <c r="W31" i="31"/>
  <c r="X31" i="31"/>
  <c r="W111" i="31" s="1"/>
  <c r="Y31" i="31"/>
  <c r="Z31" i="31"/>
  <c r="Y111" i="31" s="1"/>
  <c r="AA31" i="31"/>
  <c r="AB31" i="31"/>
  <c r="AC31" i="31"/>
  <c r="AB111" i="31" s="1"/>
  <c r="AD31" i="31"/>
  <c r="AE31" i="31"/>
  <c r="AF31" i="31"/>
  <c r="AE111" i="31" s="1"/>
  <c r="AG31" i="31"/>
  <c r="D32" i="31"/>
  <c r="C112" i="31" s="1"/>
  <c r="E32" i="31"/>
  <c r="F32" i="31"/>
  <c r="G32" i="31"/>
  <c r="H32" i="31"/>
  <c r="I32" i="31"/>
  <c r="J32" i="31"/>
  <c r="K32" i="31"/>
  <c r="L32" i="31"/>
  <c r="K112" i="31" s="1"/>
  <c r="M32" i="31"/>
  <c r="N32" i="31"/>
  <c r="O32" i="31"/>
  <c r="P32" i="31"/>
  <c r="Q32" i="31"/>
  <c r="R32" i="31"/>
  <c r="S32" i="31"/>
  <c r="T32" i="31"/>
  <c r="S112" i="31" s="1"/>
  <c r="U32" i="31"/>
  <c r="V32" i="31"/>
  <c r="W32" i="31"/>
  <c r="X32" i="31"/>
  <c r="Y32" i="31"/>
  <c r="Z32" i="31"/>
  <c r="AA32" i="31"/>
  <c r="AB32" i="31"/>
  <c r="AA112" i="31" s="1"/>
  <c r="AC32" i="31"/>
  <c r="AD32" i="31"/>
  <c r="AE32" i="31"/>
  <c r="AF32" i="31"/>
  <c r="AG32" i="31"/>
  <c r="E113" i="31"/>
  <c r="J113" i="31"/>
  <c r="L113" i="31"/>
  <c r="M113" i="31"/>
  <c r="U113" i="31"/>
  <c r="Z113" i="31"/>
  <c r="AB113" i="31"/>
  <c r="AC113" i="31"/>
  <c r="C114" i="31"/>
  <c r="F114" i="31"/>
  <c r="G114" i="31"/>
  <c r="L114" i="31"/>
  <c r="M114" i="31"/>
  <c r="N114" i="31"/>
  <c r="S114" i="31"/>
  <c r="V114" i="31"/>
  <c r="W114" i="31"/>
  <c r="AA114" i="31"/>
  <c r="AC114" i="31"/>
  <c r="AD114" i="31"/>
  <c r="D115" i="31"/>
  <c r="I115" i="31"/>
  <c r="L115" i="31"/>
  <c r="Q115" i="31"/>
  <c r="T115" i="31"/>
  <c r="Y115" i="31"/>
  <c r="AB115" i="31"/>
  <c r="I116" i="31"/>
  <c r="J116" i="31"/>
  <c r="L116" i="31"/>
  <c r="Q116" i="31"/>
  <c r="R116" i="31"/>
  <c r="Y116" i="31"/>
  <c r="Z116" i="31"/>
  <c r="F117" i="31"/>
  <c r="K117" i="31"/>
  <c r="S117" i="31"/>
  <c r="AC117" i="31"/>
  <c r="AF117" i="31"/>
  <c r="C118" i="31"/>
  <c r="E118" i="31"/>
  <c r="N118" i="31"/>
  <c r="O118" i="31"/>
  <c r="V118" i="31"/>
  <c r="W118" i="31"/>
  <c r="X118" i="31"/>
  <c r="AA118" i="31"/>
  <c r="AD118" i="31"/>
  <c r="H119" i="31"/>
  <c r="I119" i="31"/>
  <c r="J119" i="31"/>
  <c r="L119" i="31"/>
  <c r="O119" i="31"/>
  <c r="P119" i="31"/>
  <c r="Q119" i="31"/>
  <c r="W119" i="31"/>
  <c r="X119" i="31"/>
  <c r="Y119" i="31"/>
  <c r="AB119" i="31"/>
  <c r="AF119" i="31"/>
  <c r="C3" i="31"/>
  <c r="C4" i="31"/>
  <c r="C5" i="31"/>
  <c r="C6" i="31"/>
  <c r="C7" i="31"/>
  <c r="C8" i="31"/>
  <c r="C9" i="31"/>
  <c r="C10" i="31"/>
  <c r="C11" i="31"/>
  <c r="C12" i="31"/>
  <c r="C13" i="31"/>
  <c r="C14" i="31"/>
  <c r="C15" i="31"/>
  <c r="C16" i="31"/>
  <c r="C17" i="31"/>
  <c r="C18" i="31"/>
  <c r="C19" i="31"/>
  <c r="B99" i="31" s="1"/>
  <c r="C20" i="31"/>
  <c r="B100" i="31" s="1"/>
  <c r="C21" i="31"/>
  <c r="C22" i="31"/>
  <c r="C23" i="31"/>
  <c r="B103" i="31" s="1"/>
  <c r="C24" i="31"/>
  <c r="C25" i="31"/>
  <c r="C26" i="31"/>
  <c r="C27" i="31"/>
  <c r="C28" i="31"/>
  <c r="C29" i="31"/>
  <c r="C30" i="31"/>
  <c r="B110" i="31" s="1"/>
  <c r="C31" i="31"/>
  <c r="B111" i="31" s="1"/>
  <c r="C32" i="31"/>
  <c r="C2" i="31"/>
  <c r="AB5" i="11" l="1"/>
  <c r="AA8" i="11"/>
  <c r="N8" i="11"/>
  <c r="O5" i="11"/>
  <c r="AA8" i="10"/>
  <c r="AB5" i="10"/>
  <c r="S116" i="31"/>
  <c r="C116" i="31"/>
  <c r="B115" i="31"/>
  <c r="AA117" i="31"/>
  <c r="K118" i="31"/>
  <c r="Y117" i="31"/>
  <c r="I117" i="31"/>
  <c r="W115" i="31"/>
  <c r="G116" i="31"/>
  <c r="S113" i="31"/>
  <c r="C113" i="31"/>
  <c r="U105" i="31"/>
  <c r="E105" i="31"/>
  <c r="AE102" i="31"/>
  <c r="O102" i="31"/>
  <c r="W98" i="31"/>
  <c r="G98" i="31"/>
  <c r="S96" i="31"/>
  <c r="C96" i="31"/>
  <c r="AE94" i="31"/>
  <c r="O94" i="31"/>
  <c r="W90" i="31"/>
  <c r="G90" i="31"/>
  <c r="Q87" i="31"/>
  <c r="AC85" i="31"/>
  <c r="M85" i="31"/>
  <c r="O114" i="31"/>
  <c r="AC118" i="31"/>
  <c r="M118" i="31"/>
  <c r="AA116" i="31"/>
  <c r="K116" i="31"/>
  <c r="V119" i="31"/>
  <c r="C117" i="31"/>
  <c r="AE116" i="31"/>
  <c r="O116" i="31"/>
  <c r="AA113" i="31"/>
  <c r="K114" i="31"/>
  <c r="B83" i="31"/>
  <c r="P115" i="31"/>
  <c r="AC111" i="31"/>
  <c r="U111" i="31"/>
  <c r="M111" i="31"/>
  <c r="E111" i="31"/>
  <c r="AA110" i="31"/>
  <c r="S110" i="31"/>
  <c r="K110" i="31"/>
  <c r="C110" i="31"/>
  <c r="AE108" i="31"/>
  <c r="W108" i="31"/>
  <c r="N119" i="31"/>
  <c r="O115" i="31"/>
  <c r="B102" i="31"/>
  <c r="B86" i="31"/>
  <c r="G115" i="31"/>
  <c r="K113" i="31"/>
  <c r="AA88" i="31"/>
  <c r="S88" i="31"/>
  <c r="K88" i="31"/>
  <c r="C88" i="31"/>
  <c r="AE86" i="31"/>
  <c r="W86" i="31"/>
  <c r="O86" i="31"/>
  <c r="G86" i="31"/>
  <c r="AA109" i="31"/>
  <c r="K109" i="31"/>
  <c r="W107" i="31"/>
  <c r="G107" i="31"/>
  <c r="AA105" i="31"/>
  <c r="S105" i="31"/>
  <c r="K105" i="31"/>
  <c r="C105" i="31"/>
  <c r="B91" i="31"/>
  <c r="S109" i="31"/>
  <c r="C109" i="31"/>
  <c r="AE107" i="31"/>
  <c r="O107" i="31"/>
  <c r="AF115" i="31"/>
  <c r="X115" i="31"/>
  <c r="Z118" i="31"/>
  <c r="J118" i="31"/>
  <c r="X117" i="31"/>
  <c r="P118" i="31"/>
  <c r="H117" i="31"/>
  <c r="N116" i="31"/>
  <c r="F116" i="31"/>
  <c r="T116" i="31"/>
  <c r="Z114" i="31"/>
  <c r="R114" i="31"/>
  <c r="J114" i="31"/>
  <c r="AE82" i="31"/>
  <c r="W82" i="31"/>
  <c r="O82" i="31"/>
  <c r="G82" i="31"/>
  <c r="U115" i="31"/>
  <c r="AA97" i="31"/>
  <c r="S97" i="31"/>
  <c r="K97" i="31"/>
  <c r="C97" i="31"/>
  <c r="AE95" i="31"/>
  <c r="W95" i="31"/>
  <c r="O95" i="31"/>
  <c r="G95" i="31"/>
  <c r="AA93" i="31"/>
  <c r="S93" i="31"/>
  <c r="K93" i="31"/>
  <c r="C93" i="31"/>
  <c r="AA89" i="31"/>
  <c r="S89" i="31"/>
  <c r="K89" i="31"/>
  <c r="C89" i="31"/>
  <c r="AE87" i="31"/>
  <c r="W87" i="31"/>
  <c r="O87" i="31"/>
  <c r="G87" i="31"/>
  <c r="AA85" i="31"/>
  <c r="S85" i="31"/>
  <c r="K85" i="31"/>
  <c r="C85" i="31"/>
  <c r="F118" i="31"/>
  <c r="D117" i="31"/>
  <c r="H115" i="31"/>
  <c r="T113" i="31"/>
  <c r="D113" i="31"/>
  <c r="V117" i="31"/>
  <c r="R115" i="31"/>
  <c r="O108" i="31"/>
  <c r="G108" i="31"/>
  <c r="AE104" i="31"/>
  <c r="W104" i="31"/>
  <c r="O104" i="31"/>
  <c r="G104" i="31"/>
  <c r="AC103" i="31"/>
  <c r="U103" i="31"/>
  <c r="M103" i="31"/>
  <c r="E103" i="31"/>
  <c r="AA102" i="31"/>
  <c r="S102" i="31"/>
  <c r="K102" i="31"/>
  <c r="C102" i="31"/>
  <c r="Y101" i="31"/>
  <c r="Q101" i="31"/>
  <c r="I101" i="31"/>
  <c r="AE100" i="31"/>
  <c r="W100" i="31"/>
  <c r="O100" i="31"/>
  <c r="G100" i="31"/>
  <c r="AC99" i="31"/>
  <c r="U99" i="31"/>
  <c r="M99" i="31"/>
  <c r="E99" i="31"/>
  <c r="AA98" i="31"/>
  <c r="S98" i="31"/>
  <c r="K98" i="31"/>
  <c r="C98" i="31"/>
  <c r="AE96" i="31"/>
  <c r="W96" i="31"/>
  <c r="O96" i="31"/>
  <c r="G96" i="31"/>
  <c r="AA94" i="31"/>
  <c r="S94" i="31"/>
  <c r="K94" i="31"/>
  <c r="C94" i="31"/>
  <c r="AC91" i="31"/>
  <c r="U91" i="31"/>
  <c r="M91" i="31"/>
  <c r="E91" i="31"/>
  <c r="AA90" i="31"/>
  <c r="S90" i="31"/>
  <c r="K90" i="31"/>
  <c r="C90" i="31"/>
  <c r="AE88" i="31"/>
  <c r="W88" i="31"/>
  <c r="O88" i="31"/>
  <c r="G88" i="31"/>
  <c r="AE84" i="31"/>
  <c r="W84" i="31"/>
  <c r="O84" i="31"/>
  <c r="G84" i="31"/>
  <c r="AC83" i="31"/>
  <c r="U83" i="31"/>
  <c r="M83" i="31"/>
  <c r="E83" i="31"/>
  <c r="AA82" i="31"/>
  <c r="S82" i="31"/>
  <c r="K82" i="31"/>
  <c r="C82" i="31"/>
  <c r="S118" i="31"/>
  <c r="AE115" i="31"/>
  <c r="W116" i="31"/>
  <c r="B108" i="31"/>
  <c r="B92" i="31"/>
  <c r="L118" i="31"/>
  <c r="R117" i="31"/>
  <c r="AD116" i="31"/>
  <c r="B106" i="31"/>
  <c r="B118" i="31"/>
  <c r="K103" i="31"/>
  <c r="Y102" i="31"/>
  <c r="M100" i="31"/>
  <c r="C99" i="31"/>
  <c r="Q98" i="31"/>
  <c r="M115" i="31"/>
  <c r="E96" i="31"/>
  <c r="P117" i="31"/>
  <c r="V115" i="31"/>
  <c r="AB118" i="31"/>
  <c r="Z112" i="31"/>
  <c r="R112" i="31"/>
  <c r="J112" i="31"/>
  <c r="AF111" i="31"/>
  <c r="X111" i="31"/>
  <c r="P111" i="31"/>
  <c r="H111" i="31"/>
  <c r="AD110" i="31"/>
  <c r="V110" i="31"/>
  <c r="N110" i="31"/>
  <c r="F110" i="31"/>
  <c r="AB109" i="31"/>
  <c r="T109" i="31"/>
  <c r="L109" i="31"/>
  <c r="D109" i="31"/>
  <c r="Z108" i="31"/>
  <c r="R108" i="31"/>
  <c r="J108" i="31"/>
  <c r="AF107" i="31"/>
  <c r="X107" i="31"/>
  <c r="P107" i="31"/>
  <c r="H107" i="31"/>
  <c r="AD106" i="31"/>
  <c r="V106" i="31"/>
  <c r="N106" i="31"/>
  <c r="F106" i="31"/>
  <c r="AB105" i="31"/>
  <c r="T105" i="31"/>
  <c r="L105" i="31"/>
  <c r="D105" i="31"/>
  <c r="Z104" i="31"/>
  <c r="R104" i="31"/>
  <c r="J104" i="31"/>
  <c r="AF103" i="31"/>
  <c r="X103" i="31"/>
  <c r="P103" i="31"/>
  <c r="H103" i="31"/>
  <c r="AD102" i="31"/>
  <c r="V102" i="31"/>
  <c r="N102" i="31"/>
  <c r="F102" i="31"/>
  <c r="AB101" i="31"/>
  <c r="T101" i="31"/>
  <c r="L101" i="31"/>
  <c r="D101" i="31"/>
  <c r="Z100" i="31"/>
  <c r="R100" i="31"/>
  <c r="J100" i="31"/>
  <c r="AF99" i="31"/>
  <c r="X99" i="31"/>
  <c r="P99" i="31"/>
  <c r="H99" i="31"/>
  <c r="AD98" i="31"/>
  <c r="V98" i="31"/>
  <c r="N98" i="31"/>
  <c r="F98" i="31"/>
  <c r="AB97" i="31"/>
  <c r="AE83" i="31"/>
  <c r="W83" i="31"/>
  <c r="O83" i="31"/>
  <c r="G83" i="31"/>
  <c r="B107" i="31"/>
  <c r="B104" i="31"/>
  <c r="B95" i="31"/>
  <c r="B7" i="2" s="1"/>
  <c r="B87" i="31"/>
  <c r="AF112" i="31"/>
  <c r="P112" i="31"/>
  <c r="AD111" i="31"/>
  <c r="V111" i="31"/>
  <c r="N111" i="31"/>
  <c r="F111" i="31"/>
  <c r="AB110" i="31"/>
  <c r="T110" i="31"/>
  <c r="L110" i="31"/>
  <c r="D110" i="31"/>
  <c r="Z109" i="31"/>
  <c r="R109" i="31"/>
  <c r="J109" i="31"/>
  <c r="X108" i="31"/>
  <c r="H108" i="31"/>
  <c r="AD107" i="31"/>
  <c r="V107" i="31"/>
  <c r="N107" i="31"/>
  <c r="F107" i="31"/>
  <c r="D106" i="31"/>
  <c r="Z105" i="31"/>
  <c r="R105" i="31"/>
  <c r="J105" i="31"/>
  <c r="AF104" i="31"/>
  <c r="X104" i="31"/>
  <c r="P104" i="31"/>
  <c r="H104" i="31"/>
  <c r="AD103" i="31"/>
  <c r="V103" i="31"/>
  <c r="N103" i="31"/>
  <c r="F103" i="31"/>
  <c r="Z101" i="31"/>
  <c r="R101" i="31"/>
  <c r="J101" i="31"/>
  <c r="AF100" i="31"/>
  <c r="X100" i="31"/>
  <c r="P100" i="31"/>
  <c r="H100" i="31"/>
  <c r="AD99" i="31"/>
  <c r="V99" i="31"/>
  <c r="N99" i="31"/>
  <c r="F99" i="31"/>
  <c r="AB98" i="31"/>
  <c r="T98" i="31"/>
  <c r="L98" i="31"/>
  <c r="D98" i="31"/>
  <c r="Z97" i="31"/>
  <c r="R97" i="31"/>
  <c r="J97" i="31"/>
  <c r="AF96" i="31"/>
  <c r="X96" i="31"/>
  <c r="P96" i="31"/>
  <c r="H96" i="31"/>
  <c r="AD95" i="31"/>
  <c r="V95" i="31"/>
  <c r="N95" i="31"/>
  <c r="F95" i="31"/>
  <c r="AB94" i="31"/>
  <c r="T94" i="31"/>
  <c r="L94" i="31"/>
  <c r="D94" i="31"/>
  <c r="Z93" i="31"/>
  <c r="R93" i="31"/>
  <c r="J93" i="31"/>
  <c r="AD91" i="31"/>
  <c r="V91" i="31"/>
  <c r="N91" i="31"/>
  <c r="F91" i="31"/>
  <c r="AB90" i="31"/>
  <c r="T90" i="31"/>
  <c r="L90" i="31"/>
  <c r="D90" i="31"/>
  <c r="Z89" i="31"/>
  <c r="R89" i="31"/>
  <c r="J89" i="31"/>
  <c r="AD87" i="31"/>
  <c r="V87" i="31"/>
  <c r="N87" i="31"/>
  <c r="F87" i="31"/>
  <c r="Z85" i="31"/>
  <c r="R85" i="31"/>
  <c r="J85" i="31"/>
  <c r="AF84" i="31"/>
  <c r="X84" i="31"/>
  <c r="P84" i="31"/>
  <c r="H84" i="31"/>
  <c r="AD83" i="31"/>
  <c r="V83" i="31"/>
  <c r="N83" i="31"/>
  <c r="F83" i="31"/>
  <c r="T97" i="31"/>
  <c r="L97" i="31"/>
  <c r="D97" i="31"/>
  <c r="Z96" i="31"/>
  <c r="R96" i="31"/>
  <c r="J96" i="31"/>
  <c r="AF95" i="31"/>
  <c r="X95" i="31"/>
  <c r="P95" i="31"/>
  <c r="H95" i="31"/>
  <c r="AD94" i="31"/>
  <c r="V94" i="31"/>
  <c r="N94" i="31"/>
  <c r="F94" i="31"/>
  <c r="AB93" i="31"/>
  <c r="T93" i="31"/>
  <c r="L93" i="31"/>
  <c r="D93" i="31"/>
  <c r="Z92" i="31"/>
  <c r="R92" i="31"/>
  <c r="J92" i="31"/>
  <c r="AF91" i="31"/>
  <c r="X91" i="31"/>
  <c r="P91" i="31"/>
  <c r="H91" i="31"/>
  <c r="AD90" i="31"/>
  <c r="V90" i="31"/>
  <c r="N90" i="31"/>
  <c r="F90" i="31"/>
  <c r="AB89" i="31"/>
  <c r="T89" i="31"/>
  <c r="L89" i="31"/>
  <c r="D89" i="31"/>
  <c r="Z88" i="31"/>
  <c r="R88" i="31"/>
  <c r="J88" i="31"/>
  <c r="AF87" i="31"/>
  <c r="X87" i="31"/>
  <c r="P87" i="31"/>
  <c r="H87" i="31"/>
  <c r="AD86" i="31"/>
  <c r="V86" i="31"/>
  <c r="N86" i="31"/>
  <c r="F86" i="31"/>
  <c r="AB85" i="31"/>
  <c r="T85" i="31"/>
  <c r="L85" i="31"/>
  <c r="D85" i="31"/>
  <c r="Z84" i="31"/>
  <c r="R84" i="31"/>
  <c r="J84" i="31"/>
  <c r="AF83" i="31"/>
  <c r="X83" i="31"/>
  <c r="P83" i="31"/>
  <c r="H83" i="31"/>
  <c r="AD82" i="31"/>
  <c r="V82" i="31"/>
  <c r="N82" i="31"/>
  <c r="F82" i="31"/>
  <c r="B116" i="31"/>
  <c r="B84" i="31"/>
  <c r="AF118" i="31"/>
  <c r="H118" i="31"/>
  <c r="AD117" i="31"/>
  <c r="N117" i="31"/>
  <c r="AB116" i="31"/>
  <c r="D116" i="31"/>
  <c r="Z115" i="31"/>
  <c r="J115" i="31"/>
  <c r="H102" i="31"/>
  <c r="AB100" i="31"/>
  <c r="L100" i="31"/>
  <c r="H97" i="31"/>
  <c r="AD97" i="31"/>
  <c r="T96" i="31"/>
  <c r="D96" i="31"/>
  <c r="AF93" i="31"/>
  <c r="X94" i="31"/>
  <c r="AF89" i="31"/>
  <c r="AB87" i="31"/>
  <c r="T106" i="31"/>
  <c r="F92" i="31"/>
  <c r="X85" i="31"/>
  <c r="B94" i="31"/>
  <c r="E102" i="31"/>
  <c r="Q117" i="31"/>
  <c r="Y112" i="31"/>
  <c r="Q112" i="31"/>
  <c r="I112" i="31"/>
  <c r="Y108" i="31"/>
  <c r="Q108" i="31"/>
  <c r="I108" i="31"/>
  <c r="AC106" i="31"/>
  <c r="U106" i="31"/>
  <c r="M106" i="31"/>
  <c r="E106" i="31"/>
  <c r="AC102" i="31"/>
  <c r="U102" i="31"/>
  <c r="M102" i="31"/>
  <c r="H112" i="31"/>
  <c r="P108" i="31"/>
  <c r="AB106" i="31"/>
  <c r="X92" i="31"/>
  <c r="L86" i="31"/>
  <c r="T82" i="31"/>
  <c r="B105" i="31"/>
  <c r="B97" i="31"/>
  <c r="B89" i="31"/>
  <c r="B96" i="31"/>
  <c r="X112" i="31"/>
  <c r="AF108" i="31"/>
  <c r="T102" i="31"/>
  <c r="D102" i="31"/>
  <c r="P92" i="31"/>
  <c r="AF88" i="31"/>
  <c r="H88" i="31"/>
  <c r="T86" i="31"/>
  <c r="D82" i="31"/>
  <c r="I113" i="31"/>
  <c r="M107" i="31"/>
  <c r="S106" i="31"/>
  <c r="C106" i="31"/>
  <c r="Q105" i="31"/>
  <c r="Y97" i="31"/>
  <c r="Q97" i="31"/>
  <c r="I97" i="31"/>
  <c r="AC95" i="31"/>
  <c r="U95" i="31"/>
  <c r="M95" i="31"/>
  <c r="E95" i="31"/>
  <c r="Y93" i="31"/>
  <c r="Q93" i="31"/>
  <c r="I93" i="31"/>
  <c r="AE92" i="31"/>
  <c r="W92" i="31"/>
  <c r="O92" i="31"/>
  <c r="G92" i="31"/>
  <c r="B98" i="31"/>
  <c r="B113" i="31"/>
  <c r="B112" i="31"/>
  <c r="L106" i="31"/>
  <c r="H92" i="31"/>
  <c r="AB86" i="31"/>
  <c r="Q113" i="31"/>
  <c r="W112" i="31"/>
  <c r="G112" i="31"/>
  <c r="Q109" i="31"/>
  <c r="AC107" i="31"/>
  <c r="E107" i="31"/>
  <c r="K106" i="31"/>
  <c r="Y105" i="31"/>
  <c r="I105" i="31"/>
  <c r="AF113" i="31"/>
  <c r="V112" i="31"/>
  <c r="AF109" i="31"/>
  <c r="AD108" i="31"/>
  <c r="F108" i="31"/>
  <c r="L107" i="31"/>
  <c r="R106" i="31"/>
  <c r="AF105" i="31"/>
  <c r="H105" i="31"/>
  <c r="AD92" i="31"/>
  <c r="X89" i="31"/>
  <c r="V88" i="31"/>
  <c r="J82" i="31"/>
  <c r="B114" i="31"/>
  <c r="B90" i="31"/>
  <c r="AB102" i="31"/>
  <c r="L102" i="31"/>
  <c r="AF92" i="31"/>
  <c r="X88" i="31"/>
  <c r="AB82" i="31"/>
  <c r="H113" i="31"/>
  <c r="F112" i="31"/>
  <c r="X109" i="31"/>
  <c r="H109" i="31"/>
  <c r="N108" i="31"/>
  <c r="T107" i="31"/>
  <c r="Z106" i="31"/>
  <c r="P105" i="31"/>
  <c r="W117" i="31"/>
  <c r="O117" i="31"/>
  <c r="G117" i="31"/>
  <c r="AC116" i="31"/>
  <c r="U116" i="31"/>
  <c r="M116" i="31"/>
  <c r="E116" i="31"/>
  <c r="AA115" i="31"/>
  <c r="S115" i="31"/>
  <c r="K115" i="31"/>
  <c r="C115" i="31"/>
  <c r="Y114" i="31"/>
  <c r="Q114" i="31"/>
  <c r="I114" i="31"/>
  <c r="AE113" i="31"/>
  <c r="W113" i="31"/>
  <c r="O113" i="31"/>
  <c r="G113" i="31"/>
  <c r="AC112" i="31"/>
  <c r="U112" i="31"/>
  <c r="M112" i="31"/>
  <c r="E112" i="31"/>
  <c r="AA111" i="31"/>
  <c r="S111" i="31"/>
  <c r="K111" i="31"/>
  <c r="C111" i="31"/>
  <c r="Y110" i="31"/>
  <c r="Q110" i="31"/>
  <c r="I110" i="31"/>
  <c r="AE109" i="31"/>
  <c r="W109" i="31"/>
  <c r="O109" i="31"/>
  <c r="G109" i="31"/>
  <c r="AC108" i="31"/>
  <c r="C103" i="31"/>
  <c r="Q102" i="31"/>
  <c r="G101" i="31"/>
  <c r="AC100" i="31"/>
  <c r="U100" i="31"/>
  <c r="Y98" i="31"/>
  <c r="I98" i="31"/>
  <c r="AC96" i="31"/>
  <c r="U96" i="31"/>
  <c r="M96" i="31"/>
  <c r="Y94" i="31"/>
  <c r="B82" i="31"/>
  <c r="B88" i="31"/>
  <c r="P88" i="31"/>
  <c r="D86" i="31"/>
  <c r="L82" i="31"/>
  <c r="Y113" i="31"/>
  <c r="AE112" i="31"/>
  <c r="O112" i="31"/>
  <c r="Y109" i="31"/>
  <c r="I109" i="31"/>
  <c r="U107" i="31"/>
  <c r="AA106" i="31"/>
  <c r="X113" i="31"/>
  <c r="P113" i="31"/>
  <c r="AD112" i="31"/>
  <c r="N112" i="31"/>
  <c r="P109" i="31"/>
  <c r="V108" i="31"/>
  <c r="AB107" i="31"/>
  <c r="D107" i="31"/>
  <c r="J106" i="31"/>
  <c r="X105" i="31"/>
  <c r="R102" i="31"/>
  <c r="J102" i="31"/>
  <c r="AF97" i="31"/>
  <c r="D95" i="31"/>
  <c r="H93" i="31"/>
  <c r="AD88" i="31"/>
  <c r="T87" i="31"/>
  <c r="Z86" i="31"/>
  <c r="R86" i="31"/>
  <c r="P85" i="31"/>
  <c r="R82" i="31"/>
  <c r="B117" i="31"/>
  <c r="B109" i="31"/>
  <c r="B101" i="31"/>
  <c r="B93" i="31"/>
  <c r="B3" i="2" s="1"/>
  <c r="B85" i="31"/>
  <c r="AA119" i="31"/>
  <c r="S119" i="31"/>
  <c r="K119" i="31"/>
  <c r="C119" i="31"/>
  <c r="Y118" i="31"/>
  <c r="Q118" i="31"/>
  <c r="I118" i="31"/>
  <c r="AE117" i="31"/>
  <c r="AF114" i="31"/>
  <c r="X114" i="31"/>
  <c r="P114" i="31"/>
  <c r="H114" i="31"/>
  <c r="AD113" i="31"/>
  <c r="V113" i="31"/>
  <c r="N113" i="31"/>
  <c r="F113" i="31"/>
  <c r="AB112" i="31"/>
  <c r="T112" i="31"/>
  <c r="L112" i="31"/>
  <c r="D112" i="31"/>
  <c r="Z111" i="31"/>
  <c r="R111" i="31"/>
  <c r="J111" i="31"/>
  <c r="AF110" i="31"/>
  <c r="X110" i="31"/>
  <c r="P110" i="31"/>
  <c r="H110" i="31"/>
  <c r="AD109" i="31"/>
  <c r="V109" i="31"/>
  <c r="N109" i="31"/>
  <c r="F109" i="31"/>
  <c r="AF102" i="31"/>
  <c r="X102" i="31"/>
  <c r="P102" i="31"/>
  <c r="T100" i="31"/>
  <c r="D100" i="31"/>
  <c r="X98" i="31"/>
  <c r="P98" i="31"/>
  <c r="H98" i="31"/>
  <c r="L96" i="31"/>
  <c r="Z95" i="31"/>
  <c r="P94" i="31"/>
  <c r="Y92" i="31"/>
  <c r="Q92" i="31"/>
  <c r="I92" i="31"/>
  <c r="Y88" i="31"/>
  <c r="Q88" i="31"/>
  <c r="I88" i="31"/>
  <c r="AC86" i="31"/>
  <c r="U86" i="31"/>
  <c r="M86" i="31"/>
  <c r="E86" i="31"/>
  <c r="AC82" i="31"/>
  <c r="U82" i="31"/>
  <c r="M82" i="31"/>
  <c r="E82" i="31"/>
  <c r="Y89" i="31"/>
  <c r="Q89" i="31"/>
  <c r="I89" i="31"/>
  <c r="AC87" i="31"/>
  <c r="U87" i="31"/>
  <c r="M87" i="31"/>
  <c r="E87" i="31"/>
  <c r="AA86" i="31"/>
  <c r="S86" i="31"/>
  <c r="K86" i="31"/>
  <c r="C86" i="31"/>
  <c r="Y85" i="31"/>
  <c r="Q85" i="31"/>
  <c r="I85" i="31"/>
  <c r="X97" i="31"/>
  <c r="P97" i="31"/>
  <c r="AB95" i="31"/>
  <c r="T95" i="31"/>
  <c r="L95" i="31"/>
  <c r="P93" i="31"/>
  <c r="V92" i="31"/>
  <c r="N92" i="31"/>
  <c r="P89" i="31"/>
  <c r="H89" i="31"/>
  <c r="N88" i="31"/>
  <c r="F88" i="31"/>
  <c r="L87" i="31"/>
  <c r="D87" i="31"/>
  <c r="J86" i="31"/>
  <c r="AF85" i="31"/>
  <c r="H85" i="31"/>
  <c r="Z82" i="31"/>
  <c r="U108" i="31"/>
  <c r="M108" i="31"/>
  <c r="E108" i="31"/>
  <c r="AA107" i="31"/>
  <c r="S107" i="31"/>
  <c r="K107" i="31"/>
  <c r="C107" i="31"/>
  <c r="Y106" i="31"/>
  <c r="Q106" i="31"/>
  <c r="I106" i="31"/>
  <c r="AE105" i="31"/>
  <c r="W105" i="31"/>
  <c r="O105" i="31"/>
  <c r="G105" i="31"/>
  <c r="AC104" i="31"/>
  <c r="U104" i="31"/>
  <c r="M104" i="31"/>
  <c r="E104" i="31"/>
  <c r="AA103" i="31"/>
  <c r="S103" i="31"/>
  <c r="I102" i="31"/>
  <c r="AE101" i="31"/>
  <c r="W101" i="31"/>
  <c r="O101" i="31"/>
  <c r="E100" i="31"/>
  <c r="AA99" i="31"/>
  <c r="S99" i="31"/>
  <c r="K99" i="31"/>
  <c r="AE97" i="31"/>
  <c r="W97" i="31"/>
  <c r="O97" i="31"/>
  <c r="G97" i="31"/>
  <c r="AA95" i="31"/>
  <c r="S95" i="31"/>
  <c r="K95" i="31"/>
  <c r="C95" i="31"/>
  <c r="Q94" i="31"/>
  <c r="I94" i="31"/>
  <c r="AE93" i="31"/>
  <c r="W93" i="31"/>
  <c r="O93" i="31"/>
  <c r="G93" i="31"/>
  <c r="AC92" i="31"/>
  <c r="U92" i="31"/>
  <c r="M92" i="31"/>
  <c r="E92" i="31"/>
  <c r="AA91" i="31"/>
  <c r="S91" i="31"/>
  <c r="K91" i="31"/>
  <c r="C91" i="31"/>
  <c r="Y90" i="31"/>
  <c r="Q90" i="31"/>
  <c r="I90" i="31"/>
  <c r="AE89" i="31"/>
  <c r="W89" i="31"/>
  <c r="O89" i="31"/>
  <c r="G89" i="31"/>
  <c r="AC88" i="31"/>
  <c r="U88" i="31"/>
  <c r="M88" i="31"/>
  <c r="E88" i="31"/>
  <c r="AA87" i="31"/>
  <c r="S87" i="31"/>
  <c r="K87" i="31"/>
  <c r="C87" i="31"/>
  <c r="Y86" i="31"/>
  <c r="Q86" i="31"/>
  <c r="I86" i="31"/>
  <c r="AE85" i="31"/>
  <c r="W85" i="31"/>
  <c r="O85" i="31"/>
  <c r="G85" i="31"/>
  <c r="AC84" i="31"/>
  <c r="U84" i="31"/>
  <c r="M84" i="31"/>
  <c r="E84" i="31"/>
  <c r="AA83" i="31"/>
  <c r="S83" i="31"/>
  <c r="K83" i="31"/>
  <c r="C83" i="31"/>
  <c r="Y82" i="31"/>
  <c r="Q82" i="31"/>
  <c r="I82" i="31"/>
  <c r="AB108" i="31"/>
  <c r="T108" i="31"/>
  <c r="L108" i="31"/>
  <c r="D108" i="31"/>
  <c r="Z107" i="31"/>
  <c r="R107" i="31"/>
  <c r="J107" i="31"/>
  <c r="AF106" i="31"/>
  <c r="X106" i="31"/>
  <c r="P106" i="31"/>
  <c r="H106" i="31"/>
  <c r="AD105" i="31"/>
  <c r="V105" i="31"/>
  <c r="N105" i="31"/>
  <c r="F105" i="31"/>
  <c r="AB104" i="31"/>
  <c r="T104" i="31"/>
  <c r="L104" i="31"/>
  <c r="D104" i="31"/>
  <c r="Z103" i="31"/>
  <c r="R103" i="31"/>
  <c r="J103" i="31"/>
  <c r="AD101" i="31"/>
  <c r="V101" i="31"/>
  <c r="N101" i="31"/>
  <c r="F101" i="31"/>
  <c r="Z99" i="31"/>
  <c r="R99" i="31"/>
  <c r="J99" i="31"/>
  <c r="AF98" i="31"/>
  <c r="V97" i="31"/>
  <c r="N97" i="31"/>
  <c r="F97" i="31"/>
  <c r="AB96" i="31"/>
  <c r="R95" i="31"/>
  <c r="J95" i="31"/>
  <c r="AF94" i="31"/>
  <c r="H94" i="31"/>
  <c r="AD93" i="31"/>
  <c r="V93" i="31"/>
  <c r="N93" i="31"/>
  <c r="F93" i="31"/>
  <c r="AB92" i="31"/>
  <c r="T92" i="31"/>
  <c r="L92" i="31"/>
  <c r="D92" i="31"/>
  <c r="Z91" i="31"/>
  <c r="R91" i="31"/>
  <c r="J91" i="31"/>
  <c r="AF90" i="31"/>
  <c r="X90" i="31"/>
  <c r="P90" i="31"/>
  <c r="H90" i="31"/>
  <c r="AD89" i="31"/>
  <c r="V89" i="31"/>
  <c r="N89" i="31"/>
  <c r="F89" i="31"/>
  <c r="AB88" i="31"/>
  <c r="T88" i="31"/>
  <c r="L88" i="31"/>
  <c r="D88" i="31"/>
  <c r="Z87" i="31"/>
  <c r="R87" i="31"/>
  <c r="J87" i="31"/>
  <c r="AF86" i="31"/>
  <c r="X86" i="31"/>
  <c r="P86" i="31"/>
  <c r="H86" i="31"/>
  <c r="AD85" i="31"/>
  <c r="V85" i="31"/>
  <c r="N85" i="31"/>
  <c r="F85" i="31"/>
  <c r="AB84" i="31"/>
  <c r="T84" i="31"/>
  <c r="L84" i="31"/>
  <c r="D84" i="31"/>
  <c r="Z83" i="31"/>
  <c r="R83" i="31"/>
  <c r="J83" i="31"/>
  <c r="AF82" i="31"/>
  <c r="X82" i="31"/>
  <c r="P82" i="31"/>
  <c r="H82" i="31"/>
  <c r="AC5" i="11" l="1"/>
  <c r="AB8" i="11"/>
  <c r="O8" i="11"/>
  <c r="P5" i="11"/>
  <c r="P8" i="11" s="1"/>
  <c r="AC5" i="10"/>
  <c r="AB8" i="10"/>
  <c r="B4" i="2"/>
  <c r="B5" i="2"/>
  <c r="B6" i="2"/>
  <c r="B2" i="2"/>
  <c r="B8" i="2"/>
  <c r="B6" i="5"/>
  <c r="AC8" i="11" l="1"/>
  <c r="AD5" i="11"/>
  <c r="AD5" i="10"/>
  <c r="AC8" i="10"/>
  <c r="E64" i="18"/>
  <c r="E63" i="18"/>
  <c r="B44" i="18"/>
  <c r="AD8" i="11" l="1"/>
  <c r="AE5" i="11"/>
  <c r="AD8" i="10"/>
  <c r="AE5" i="10"/>
  <c r="C2" i="18"/>
  <c r="D2" i="18"/>
  <c r="D7" i="18" s="1"/>
  <c r="E2" i="18"/>
  <c r="E7" i="18" s="1"/>
  <c r="F2" i="18"/>
  <c r="F7" i="18" s="1"/>
  <c r="G2" i="18"/>
  <c r="G7" i="18" s="1"/>
  <c r="H2" i="18"/>
  <c r="H7" i="18" s="1"/>
  <c r="I2" i="18"/>
  <c r="I7" i="18" s="1"/>
  <c r="J2" i="18"/>
  <c r="J7" i="18" s="1"/>
  <c r="K2" i="18"/>
  <c r="L2" i="18"/>
  <c r="L7" i="18" s="1"/>
  <c r="M2" i="18"/>
  <c r="M7" i="18" s="1"/>
  <c r="N2" i="18"/>
  <c r="N7" i="18" s="1"/>
  <c r="O2" i="18"/>
  <c r="O7" i="18" s="1"/>
  <c r="P2" i="18"/>
  <c r="P7" i="18" s="1"/>
  <c r="Q2" i="18"/>
  <c r="Q7" i="18" s="1"/>
  <c r="R2" i="18"/>
  <c r="R7" i="18" s="1"/>
  <c r="S2" i="18"/>
  <c r="T2" i="18"/>
  <c r="T7" i="18" s="1"/>
  <c r="U2" i="18"/>
  <c r="U7" i="18" s="1"/>
  <c r="V2" i="18"/>
  <c r="V7" i="18" s="1"/>
  <c r="W2" i="18"/>
  <c r="W7" i="18" s="1"/>
  <c r="X2" i="18"/>
  <c r="X7" i="18" s="1"/>
  <c r="Y2" i="18"/>
  <c r="Y7" i="18" s="1"/>
  <c r="Z2" i="18"/>
  <c r="Z7" i="18" s="1"/>
  <c r="AA2" i="18"/>
  <c r="AB2" i="18"/>
  <c r="AB7" i="18" s="1"/>
  <c r="AC2" i="18"/>
  <c r="AC7" i="18" s="1"/>
  <c r="AD2" i="18"/>
  <c r="AD7" i="18" s="1"/>
  <c r="AE2" i="18"/>
  <c r="AE7" i="18" s="1"/>
  <c r="AF2" i="18"/>
  <c r="AF7" i="18" s="1"/>
  <c r="B2" i="18"/>
  <c r="B7" i="18" s="1"/>
  <c r="B54" i="18"/>
  <c r="AE8" i="11" l="1"/>
  <c r="AF5" i="11"/>
  <c r="AF5" i="10"/>
  <c r="AE8" i="10"/>
  <c r="K4" i="18"/>
  <c r="K13" i="18" a="1"/>
  <c r="K13" i="18" s="1"/>
  <c r="K9" i="18"/>
  <c r="Z4" i="18"/>
  <c r="Z9" i="18"/>
  <c r="Z13" i="18" a="1"/>
  <c r="Z13" i="18" s="1"/>
  <c r="Z12" i="18"/>
  <c r="Y4" i="18"/>
  <c r="Y9" i="18"/>
  <c r="Y13" i="18" a="1"/>
  <c r="Y13" i="18" s="1"/>
  <c r="I4" i="18"/>
  <c r="I13" i="18" a="1"/>
  <c r="I13" i="18" s="1"/>
  <c r="I9" i="18"/>
  <c r="AF4" i="18"/>
  <c r="AF13" i="18" a="1"/>
  <c r="AF13" i="18" s="1"/>
  <c r="AF9" i="18"/>
  <c r="AF12" i="18"/>
  <c r="P4" i="18"/>
  <c r="P13" i="18" a="1"/>
  <c r="P13" i="18" s="1"/>
  <c r="P12" i="18"/>
  <c r="P9" i="18"/>
  <c r="H4" i="18"/>
  <c r="H13" i="18" a="1"/>
  <c r="H13" i="18" s="1"/>
  <c r="H9" i="18"/>
  <c r="H12" i="18"/>
  <c r="X4" i="18"/>
  <c r="X9" i="18"/>
  <c r="X13" i="18" a="1"/>
  <c r="X13" i="18" s="1"/>
  <c r="X12" i="18"/>
  <c r="AE4" i="18"/>
  <c r="AE9" i="18"/>
  <c r="AE13" i="18" a="1"/>
  <c r="AE13" i="18" s="1"/>
  <c r="W4" i="18"/>
  <c r="W9" i="18"/>
  <c r="W13" i="18" a="1"/>
  <c r="W13" i="18" s="1"/>
  <c r="O4" i="18"/>
  <c r="O9" i="18"/>
  <c r="O13" i="18" a="1"/>
  <c r="O13" i="18" s="1"/>
  <c r="G4" i="18"/>
  <c r="G9" i="18"/>
  <c r="G13" i="18" a="1"/>
  <c r="G13" i="18" s="1"/>
  <c r="N4" i="18"/>
  <c r="N12" i="18"/>
  <c r="N13" i="18" a="1"/>
  <c r="N13" i="18" s="1"/>
  <c r="N9" i="18"/>
  <c r="F4" i="18"/>
  <c r="F13" i="18" a="1"/>
  <c r="F13" i="18" s="1"/>
  <c r="F12" i="18"/>
  <c r="F9" i="18"/>
  <c r="AA4" i="18"/>
  <c r="AA9" i="18"/>
  <c r="AA13" i="18" a="1"/>
  <c r="AA13" i="18" s="1"/>
  <c r="C4" i="18"/>
  <c r="C13" i="18" a="1"/>
  <c r="C13" i="18" s="1"/>
  <c r="C9" i="18"/>
  <c r="J4" i="18"/>
  <c r="J13" i="18" a="1"/>
  <c r="J13" i="18" s="1"/>
  <c r="J9" i="18"/>
  <c r="J12" i="18"/>
  <c r="B4" i="18"/>
  <c r="B13" i="18" a="1"/>
  <c r="B13" i="18" s="1"/>
  <c r="B9" i="18"/>
  <c r="B12" i="18"/>
  <c r="AD4" i="18"/>
  <c r="AD13" i="18" a="1"/>
  <c r="AD13" i="18" s="1"/>
  <c r="AD12" i="18"/>
  <c r="AD9" i="18"/>
  <c r="U4" i="18"/>
  <c r="U9" i="18"/>
  <c r="U13" i="18" a="1"/>
  <c r="U13" i="18" s="1"/>
  <c r="S4" i="18"/>
  <c r="S13" i="18" a="1"/>
  <c r="S13" i="18" s="1"/>
  <c r="S9" i="18"/>
  <c r="R4" i="18"/>
  <c r="R13" i="18" a="1"/>
  <c r="R13" i="18" s="1"/>
  <c r="R9" i="18"/>
  <c r="R12" i="18"/>
  <c r="Q4" i="18"/>
  <c r="Q13" i="18" a="1"/>
  <c r="Q13" i="18" s="1"/>
  <c r="Q9" i="18"/>
  <c r="V4" i="18"/>
  <c r="V13" i="18" a="1"/>
  <c r="V13" i="18" s="1"/>
  <c r="V9" i="18"/>
  <c r="V12" i="18"/>
  <c r="AC4" i="18"/>
  <c r="AC9" i="18"/>
  <c r="AC13" i="18" a="1"/>
  <c r="AC13" i="18" s="1"/>
  <c r="M4" i="18"/>
  <c r="M13" i="18" a="1"/>
  <c r="M13" i="18" s="1"/>
  <c r="M9" i="18"/>
  <c r="E4" i="18"/>
  <c r="E13" i="18" a="1"/>
  <c r="E13" i="18" s="1"/>
  <c r="E9" i="18"/>
  <c r="AB4" i="18"/>
  <c r="AB12" i="18"/>
  <c r="AB9" i="18"/>
  <c r="AB13" i="18" a="1"/>
  <c r="AB13" i="18" s="1"/>
  <c r="T4" i="18"/>
  <c r="T9" i="18"/>
  <c r="T12" i="18"/>
  <c r="T13" i="18" a="1"/>
  <c r="T13" i="18" s="1"/>
  <c r="L4" i="18"/>
  <c r="L12" i="18"/>
  <c r="L9" i="18"/>
  <c r="L13" i="18" a="1"/>
  <c r="L13" i="18" s="1"/>
  <c r="D4" i="18"/>
  <c r="D13" i="18" a="1"/>
  <c r="D13" i="18" s="1"/>
  <c r="D9" i="18"/>
  <c r="D12" i="18"/>
  <c r="AA7" i="18"/>
  <c r="S7" i="18"/>
  <c r="K7" i="18"/>
  <c r="C7" i="18"/>
  <c r="AF8" i="11" l="1"/>
  <c r="AG5" i="11"/>
  <c r="AG5" i="10"/>
  <c r="AF8" i="10"/>
  <c r="B2" i="6"/>
  <c r="B3" i="6"/>
  <c r="B5" i="6"/>
  <c r="B4" i="6"/>
  <c r="B7" i="6"/>
  <c r="B8" i="6"/>
  <c r="B6" i="6"/>
  <c r="B72" i="18"/>
  <c r="E77" i="18"/>
  <c r="E78" i="18" s="1"/>
  <c r="F77" i="18"/>
  <c r="F78" i="18" s="1"/>
  <c r="G77" i="18"/>
  <c r="G78" i="18" s="1"/>
  <c r="H77" i="18"/>
  <c r="H79" i="18" s="1"/>
  <c r="I77" i="18"/>
  <c r="I79" i="18" s="1"/>
  <c r="J77" i="18"/>
  <c r="J79" i="18" s="1"/>
  <c r="K77" i="18"/>
  <c r="K79" i="18" s="1"/>
  <c r="L77" i="18"/>
  <c r="L79" i="18" s="1"/>
  <c r="M77" i="18"/>
  <c r="M79" i="18" s="1"/>
  <c r="N77" i="18"/>
  <c r="N79" i="18" s="1"/>
  <c r="O77" i="18"/>
  <c r="O79" i="18" s="1"/>
  <c r="P77" i="18"/>
  <c r="P78" i="18" s="1"/>
  <c r="Q77" i="18"/>
  <c r="Q78" i="18" s="1"/>
  <c r="R77" i="18"/>
  <c r="R78" i="18" s="1"/>
  <c r="S77" i="18"/>
  <c r="S79" i="18" s="1"/>
  <c r="T77" i="18"/>
  <c r="T79" i="18" s="1"/>
  <c r="U77" i="18"/>
  <c r="U78" i="18" s="1"/>
  <c r="V77" i="18"/>
  <c r="V78" i="18" s="1"/>
  <c r="W77" i="18"/>
  <c r="W78" i="18" s="1"/>
  <c r="X77" i="18"/>
  <c r="X78" i="18" s="1"/>
  <c r="Y77" i="18"/>
  <c r="Y78" i="18" s="1"/>
  <c r="Z77" i="18"/>
  <c r="Z78" i="18" s="1"/>
  <c r="AA77" i="18"/>
  <c r="AA78" i="18" s="1"/>
  <c r="AB77" i="18"/>
  <c r="AB79" i="18" s="1"/>
  <c r="AC77" i="18"/>
  <c r="AC78" i="18" s="1"/>
  <c r="AD77" i="18"/>
  <c r="AD79" i="18" s="1"/>
  <c r="AE77" i="18"/>
  <c r="AE79" i="18" s="1"/>
  <c r="AF77" i="18"/>
  <c r="AF78" i="18" s="1"/>
  <c r="AG77" i="18"/>
  <c r="AG79" i="18" s="1"/>
  <c r="AH77" i="18"/>
  <c r="AH79" i="18" s="1"/>
  <c r="AI77" i="18"/>
  <c r="AI78" i="18" s="1"/>
  <c r="E76" i="18"/>
  <c r="F76" i="18"/>
  <c r="G76" i="18"/>
  <c r="H76" i="18"/>
  <c r="I76" i="18"/>
  <c r="J76" i="18"/>
  <c r="K76" i="18"/>
  <c r="L76" i="18"/>
  <c r="M76" i="18"/>
  <c r="N76" i="18"/>
  <c r="O76" i="18"/>
  <c r="P76" i="18"/>
  <c r="Q76" i="18"/>
  <c r="R76" i="18"/>
  <c r="S76" i="18"/>
  <c r="T76" i="18"/>
  <c r="U76" i="18"/>
  <c r="V76" i="18"/>
  <c r="W76" i="18"/>
  <c r="X76" i="18"/>
  <c r="Y76" i="18"/>
  <c r="Z76" i="18"/>
  <c r="AA76" i="18"/>
  <c r="AB76" i="18"/>
  <c r="AC76" i="18"/>
  <c r="AD76" i="18"/>
  <c r="AE76" i="18"/>
  <c r="AF76" i="18"/>
  <c r="AG76" i="18"/>
  <c r="AH76" i="18"/>
  <c r="AI76" i="18"/>
  <c r="AG8" i="11" l="1"/>
  <c r="AH5" i="11"/>
  <c r="AH5" i="10"/>
  <c r="AG8" i="10"/>
  <c r="F79" i="18"/>
  <c r="AF80" i="18"/>
  <c r="P80" i="18"/>
  <c r="U80" i="18"/>
  <c r="E80" i="18"/>
  <c r="Z79" i="18"/>
  <c r="N78" i="18"/>
  <c r="N80" i="18" s="1"/>
  <c r="N82" i="18" s="1"/>
  <c r="M78" i="18"/>
  <c r="M80" i="18" s="1"/>
  <c r="M81" i="18" s="1"/>
  <c r="Z80" i="18"/>
  <c r="P79" i="18"/>
  <c r="W80" i="18"/>
  <c r="E79" i="18"/>
  <c r="V79" i="18"/>
  <c r="AD78" i="18"/>
  <c r="AD80" i="18" s="1"/>
  <c r="AD82" i="18" s="1"/>
  <c r="W79" i="18"/>
  <c r="G79" i="18"/>
  <c r="U79" i="18"/>
  <c r="U81" i="18" s="1"/>
  <c r="AE78" i="18"/>
  <c r="AE80" i="18" s="1"/>
  <c r="AE81" i="18" s="1"/>
  <c r="AC79" i="18"/>
  <c r="O78" i="18"/>
  <c r="O80" i="18" s="1"/>
  <c r="O81" i="18" s="1"/>
  <c r="H78" i="18"/>
  <c r="H80" i="18" s="1"/>
  <c r="H81" i="18" s="1"/>
  <c r="X79" i="18"/>
  <c r="Y79" i="18"/>
  <c r="AG78" i="18"/>
  <c r="AG80" i="18" s="1"/>
  <c r="I78" i="18"/>
  <c r="I80" i="18" s="1"/>
  <c r="I82" i="18" s="1"/>
  <c r="Q79" i="18"/>
  <c r="J78" i="18"/>
  <c r="J80" i="18" s="1"/>
  <c r="J82" i="18" s="1"/>
  <c r="AH78" i="18"/>
  <c r="AH80" i="18" s="1"/>
  <c r="AH81" i="18" s="1"/>
  <c r="R79" i="18"/>
  <c r="K78" i="18"/>
  <c r="K80" i="18" s="1"/>
  <c r="K82" i="18" s="1"/>
  <c r="S78" i="18"/>
  <c r="S80" i="18" s="1"/>
  <c r="S82" i="18" s="1"/>
  <c r="AI79" i="18"/>
  <c r="AA79" i="18"/>
  <c r="AF79" i="18"/>
  <c r="AF82" i="18" s="1"/>
  <c r="X80" i="18"/>
  <c r="AA80" i="18"/>
  <c r="G80" i="18"/>
  <c r="R80" i="18"/>
  <c r="AI80" i="18"/>
  <c r="F80" i="18"/>
  <c r="F81" i="18" s="1"/>
  <c r="Q80" i="18"/>
  <c r="V80" i="18"/>
  <c r="Y80" i="18"/>
  <c r="AC80" i="18"/>
  <c r="AB78" i="18"/>
  <c r="AB80" i="18" s="1"/>
  <c r="AB81" i="18" s="1"/>
  <c r="T78" i="18"/>
  <c r="T80" i="18" s="1"/>
  <c r="T82" i="18" s="1"/>
  <c r="L78" i="18"/>
  <c r="L80" i="18" s="1"/>
  <c r="L82" i="18" s="1"/>
  <c r="AI5" i="11" l="1"/>
  <c r="AH8" i="11"/>
  <c r="AI5" i="10"/>
  <c r="AH8" i="10"/>
  <c r="P82" i="18"/>
  <c r="Z82" i="18"/>
  <c r="E82" i="18"/>
  <c r="AI82" i="18"/>
  <c r="P81" i="18"/>
  <c r="V81" i="18"/>
  <c r="Z81" i="18"/>
  <c r="U82" i="18"/>
  <c r="M82" i="18"/>
  <c r="G82" i="18"/>
  <c r="X82" i="18"/>
  <c r="W82" i="18"/>
  <c r="W81" i="18"/>
  <c r="AD81" i="18"/>
  <c r="N81" i="18"/>
  <c r="X81" i="18"/>
  <c r="AC82" i="18"/>
  <c r="R82" i="18"/>
  <c r="AF81" i="18"/>
  <c r="Y82" i="18"/>
  <c r="O82" i="18"/>
  <c r="AA82" i="18"/>
  <c r="Q82" i="18"/>
  <c r="AE82" i="18"/>
  <c r="E81" i="18"/>
  <c r="F82" i="18"/>
  <c r="H82" i="18"/>
  <c r="V82" i="18"/>
  <c r="J81" i="18"/>
  <c r="AG81" i="18"/>
  <c r="AG82" i="18"/>
  <c r="AA81" i="18"/>
  <c r="AI81" i="18"/>
  <c r="AC81" i="18"/>
  <c r="R81" i="18"/>
  <c r="Q81" i="18"/>
  <c r="Y81" i="18"/>
  <c r="G81" i="18"/>
  <c r="AH82" i="18"/>
  <c r="K81" i="18"/>
  <c r="I81" i="18"/>
  <c r="S81" i="18"/>
  <c r="L81" i="18"/>
  <c r="AB82" i="18"/>
  <c r="T81" i="18"/>
  <c r="AI8" i="11" l="1"/>
  <c r="AJ5" i="11"/>
  <c r="AJ5" i="10"/>
  <c r="AI8" i="10"/>
  <c r="E65" i="18"/>
  <c r="E67" i="18" s="1"/>
  <c r="E66" i="18"/>
  <c r="F65" i="18"/>
  <c r="F67" i="18" s="1"/>
  <c r="G65" i="18"/>
  <c r="G67" i="18" s="1"/>
  <c r="H65" i="18"/>
  <c r="H67" i="18" s="1"/>
  <c r="I65" i="18"/>
  <c r="I67" i="18" s="1"/>
  <c r="J65" i="18"/>
  <c r="J67" i="18" s="1"/>
  <c r="K65" i="18"/>
  <c r="K67" i="18" s="1"/>
  <c r="L65" i="18"/>
  <c r="L67" i="18" s="1"/>
  <c r="M65" i="18"/>
  <c r="M67" i="18" s="1"/>
  <c r="N65" i="18"/>
  <c r="N67" i="18" s="1"/>
  <c r="O65" i="18"/>
  <c r="O67" i="18" s="1"/>
  <c r="P65" i="18"/>
  <c r="P67" i="18" s="1"/>
  <c r="Q65" i="18"/>
  <c r="Q67" i="18" s="1"/>
  <c r="R65" i="18"/>
  <c r="R67" i="18" s="1"/>
  <c r="S65" i="18"/>
  <c r="S67" i="18" s="1"/>
  <c r="T65" i="18"/>
  <c r="T67" i="18" s="1"/>
  <c r="U65" i="18"/>
  <c r="U67" i="18" s="1"/>
  <c r="V65" i="18"/>
  <c r="V67" i="18" s="1"/>
  <c r="W65" i="18"/>
  <c r="W67" i="18" s="1"/>
  <c r="X65" i="18"/>
  <c r="X67" i="18" s="1"/>
  <c r="Y65" i="18"/>
  <c r="Y67" i="18" s="1"/>
  <c r="Z65" i="18"/>
  <c r="Z67" i="18" s="1"/>
  <c r="AA65" i="18"/>
  <c r="AA67" i="18" s="1"/>
  <c r="AB65" i="18"/>
  <c r="AB67" i="18" s="1"/>
  <c r="AC65" i="18"/>
  <c r="AC67" i="18" s="1"/>
  <c r="AD65" i="18"/>
  <c r="AD67" i="18" s="1"/>
  <c r="AE65" i="18"/>
  <c r="AE67" i="18" s="1"/>
  <c r="AF65" i="18"/>
  <c r="AF67" i="18" s="1"/>
  <c r="AG65" i="18"/>
  <c r="AG67" i="18" s="1"/>
  <c r="AH65" i="18"/>
  <c r="AH67" i="18" s="1"/>
  <c r="AI65" i="18"/>
  <c r="AI67" i="18" s="1"/>
  <c r="F64" i="18"/>
  <c r="F66" i="18" s="1"/>
  <c r="G64" i="18"/>
  <c r="G66" i="18" s="1"/>
  <c r="H64" i="18"/>
  <c r="H66" i="18" s="1"/>
  <c r="I64" i="18"/>
  <c r="I66" i="18" s="1"/>
  <c r="J64" i="18"/>
  <c r="J66" i="18" s="1"/>
  <c r="K64" i="18"/>
  <c r="K66" i="18" s="1"/>
  <c r="L64" i="18"/>
  <c r="L66" i="18" s="1"/>
  <c r="M64" i="18"/>
  <c r="M66" i="18" s="1"/>
  <c r="N64" i="18"/>
  <c r="N66" i="18" s="1"/>
  <c r="O64" i="18"/>
  <c r="O66" i="18" s="1"/>
  <c r="P64" i="18"/>
  <c r="P66" i="18" s="1"/>
  <c r="Q64" i="18"/>
  <c r="Q66" i="18" s="1"/>
  <c r="R64" i="18"/>
  <c r="R66" i="18" s="1"/>
  <c r="S64" i="18"/>
  <c r="S66" i="18" s="1"/>
  <c r="T64" i="18"/>
  <c r="T66" i="18" s="1"/>
  <c r="U64" i="18"/>
  <c r="U66" i="18" s="1"/>
  <c r="V64" i="18"/>
  <c r="V66" i="18" s="1"/>
  <c r="W64" i="18"/>
  <c r="W66" i="18" s="1"/>
  <c r="X64" i="18"/>
  <c r="X66" i="18" s="1"/>
  <c r="Y64" i="18"/>
  <c r="Y66" i="18" s="1"/>
  <c r="Z64" i="18"/>
  <c r="Z66" i="18" s="1"/>
  <c r="AA64" i="18"/>
  <c r="AA66" i="18" s="1"/>
  <c r="AB64" i="18"/>
  <c r="AB66" i="18" s="1"/>
  <c r="AC64" i="18"/>
  <c r="AC66" i="18" s="1"/>
  <c r="AD64" i="18"/>
  <c r="AD66" i="18" s="1"/>
  <c r="AE64" i="18"/>
  <c r="AE66" i="18" s="1"/>
  <c r="AF64" i="18"/>
  <c r="AF66" i="18" s="1"/>
  <c r="AG64" i="18"/>
  <c r="AG66" i="18" s="1"/>
  <c r="AH64" i="18"/>
  <c r="AH66" i="18" s="1"/>
  <c r="AI64" i="18"/>
  <c r="AI66" i="18" s="1"/>
  <c r="F63" i="18"/>
  <c r="G63" i="18"/>
  <c r="H63" i="18"/>
  <c r="I63" i="18"/>
  <c r="J63" i="18"/>
  <c r="K63" i="18"/>
  <c r="L63" i="18"/>
  <c r="M63" i="18"/>
  <c r="N63" i="18"/>
  <c r="O63" i="18"/>
  <c r="P63" i="18"/>
  <c r="Q63" i="18"/>
  <c r="R63" i="18"/>
  <c r="S63" i="18"/>
  <c r="T63" i="18"/>
  <c r="U63" i="18"/>
  <c r="V63" i="18"/>
  <c r="W63" i="18"/>
  <c r="X63" i="18"/>
  <c r="Y63" i="18"/>
  <c r="Z63" i="18"/>
  <c r="AA63" i="18"/>
  <c r="AB63" i="18"/>
  <c r="AC63" i="18"/>
  <c r="AD63" i="18"/>
  <c r="AE63" i="18"/>
  <c r="AF63" i="18"/>
  <c r="AG63" i="18"/>
  <c r="AH63" i="18"/>
  <c r="AI63" i="18"/>
  <c r="AJ8" i="11" l="1"/>
  <c r="AK5" i="11"/>
  <c r="AJ8" i="10"/>
  <c r="AK5" i="10"/>
  <c r="G69" i="18"/>
  <c r="U68" i="18"/>
  <c r="E68" i="18"/>
  <c r="B2" i="10" s="1"/>
  <c r="AG69" i="18"/>
  <c r="Y68" i="18"/>
  <c r="Q69" i="18"/>
  <c r="I68" i="18"/>
  <c r="W69" i="18"/>
  <c r="O69" i="18"/>
  <c r="AE69" i="18"/>
  <c r="AI69" i="18"/>
  <c r="AI68" i="18"/>
  <c r="S69" i="18"/>
  <c r="S68" i="18"/>
  <c r="K68" i="18"/>
  <c r="K69" i="18"/>
  <c r="AH69" i="18"/>
  <c r="AH68" i="18"/>
  <c r="Z68" i="18"/>
  <c r="Z69" i="18"/>
  <c r="J69" i="18"/>
  <c r="J68" i="18"/>
  <c r="Y69" i="18"/>
  <c r="I69" i="18"/>
  <c r="AF68" i="18"/>
  <c r="AF69" i="18"/>
  <c r="P68" i="18"/>
  <c r="P69" i="18"/>
  <c r="H69" i="18"/>
  <c r="H68" i="18"/>
  <c r="AE68" i="18"/>
  <c r="W68" i="18"/>
  <c r="O68" i="18"/>
  <c r="G68" i="18"/>
  <c r="AD69" i="18"/>
  <c r="V69" i="18"/>
  <c r="N69" i="18"/>
  <c r="F69" i="18"/>
  <c r="AA69" i="18"/>
  <c r="AA68" i="18"/>
  <c r="X68" i="18"/>
  <c r="X69" i="18"/>
  <c r="AD68" i="18"/>
  <c r="V68" i="18"/>
  <c r="N68" i="18"/>
  <c r="F68" i="18"/>
  <c r="U69" i="18"/>
  <c r="R69" i="18"/>
  <c r="R68" i="18"/>
  <c r="AG68" i="18"/>
  <c r="Q68" i="18"/>
  <c r="AB68" i="18"/>
  <c r="AB69" i="18"/>
  <c r="T69" i="18"/>
  <c r="T68" i="18"/>
  <c r="L68" i="18"/>
  <c r="L69" i="18"/>
  <c r="AC69" i="18"/>
  <c r="AC68" i="18"/>
  <c r="M69" i="18"/>
  <c r="M68" i="18"/>
  <c r="E69" i="18"/>
  <c r="B5" i="10" s="1"/>
  <c r="AK8" i="11" l="1"/>
  <c r="AL5" i="11"/>
  <c r="AK8" i="10"/>
  <c r="AL5" i="10"/>
  <c r="B5" i="11"/>
  <c r="AM5" i="11" l="1"/>
  <c r="AL8" i="11"/>
  <c r="AL8" i="10"/>
  <c r="AM5" i="10"/>
  <c r="C55" i="18"/>
  <c r="D55" i="18"/>
  <c r="E55" i="18"/>
  <c r="F55" i="18"/>
  <c r="G55" i="18"/>
  <c r="H55" i="18"/>
  <c r="I55" i="18"/>
  <c r="J55" i="18"/>
  <c r="K55" i="18"/>
  <c r="L55" i="18"/>
  <c r="M55" i="18"/>
  <c r="N55" i="18"/>
  <c r="O55" i="18"/>
  <c r="P55" i="18"/>
  <c r="Q55" i="18"/>
  <c r="R55" i="18"/>
  <c r="S55" i="18"/>
  <c r="T55" i="18"/>
  <c r="U55" i="18"/>
  <c r="V55" i="18"/>
  <c r="W55" i="18"/>
  <c r="X55" i="18"/>
  <c r="Y55" i="18"/>
  <c r="Z55" i="18"/>
  <c r="AA55" i="18"/>
  <c r="AB55" i="18"/>
  <c r="AC55" i="18"/>
  <c r="AD55" i="18"/>
  <c r="AE55" i="18"/>
  <c r="AF55" i="18"/>
  <c r="B55" i="18"/>
  <c r="B56" i="18" s="1"/>
  <c r="C54" i="18"/>
  <c r="D54" i="18"/>
  <c r="E54" i="18"/>
  <c r="F54" i="18"/>
  <c r="G54" i="18"/>
  <c r="H54" i="18"/>
  <c r="I54" i="18"/>
  <c r="J54" i="18"/>
  <c r="K54" i="18"/>
  <c r="L54" i="18"/>
  <c r="M54" i="18"/>
  <c r="N54" i="18"/>
  <c r="O54" i="18"/>
  <c r="P54" i="18"/>
  <c r="Q54" i="18"/>
  <c r="R54" i="18"/>
  <c r="S54" i="18"/>
  <c r="T54" i="18"/>
  <c r="U54" i="18"/>
  <c r="V54" i="18"/>
  <c r="W54" i="18"/>
  <c r="X54" i="18"/>
  <c r="Y54" i="18"/>
  <c r="Z54" i="18"/>
  <c r="AA54" i="18"/>
  <c r="AB54" i="18"/>
  <c r="AC54" i="18"/>
  <c r="AD54" i="18"/>
  <c r="AE54" i="18"/>
  <c r="AF54" i="18"/>
  <c r="AN5" i="11" l="1"/>
  <c r="AM8" i="11"/>
  <c r="AM8" i="10"/>
  <c r="AN5" i="10"/>
  <c r="Z56" i="18"/>
  <c r="Y56" i="18"/>
  <c r="Q56" i="18"/>
  <c r="I56" i="18"/>
  <c r="AF56" i="18"/>
  <c r="X56" i="18"/>
  <c r="P56" i="18"/>
  <c r="H56" i="18"/>
  <c r="AE56" i="18"/>
  <c r="W56" i="18"/>
  <c r="O56" i="18"/>
  <c r="G56" i="18"/>
  <c r="AD56" i="18"/>
  <c r="V56" i="18"/>
  <c r="N56" i="18"/>
  <c r="F56" i="18"/>
  <c r="AC56" i="18"/>
  <c r="U56" i="18"/>
  <c r="M56" i="18"/>
  <c r="E56" i="18"/>
  <c r="J56" i="18"/>
  <c r="AB56" i="18"/>
  <c r="T56" i="18"/>
  <c r="L56" i="18"/>
  <c r="D56" i="18"/>
  <c r="R56" i="18"/>
  <c r="AA56" i="18"/>
  <c r="S56" i="18"/>
  <c r="K56" i="18"/>
  <c r="C56" i="18"/>
  <c r="C47" i="18"/>
  <c r="C52" i="18" s="1"/>
  <c r="D47" i="18"/>
  <c r="D52" i="18" s="1"/>
  <c r="E47" i="18"/>
  <c r="E52" i="18" s="1"/>
  <c r="F47" i="18"/>
  <c r="F52" i="18" s="1"/>
  <c r="G47" i="18"/>
  <c r="G52" i="18" s="1"/>
  <c r="H47" i="18"/>
  <c r="H52" i="18" s="1"/>
  <c r="I47" i="18"/>
  <c r="I52" i="18" s="1"/>
  <c r="J47" i="18"/>
  <c r="J52" i="18" s="1"/>
  <c r="K47" i="18"/>
  <c r="K52" i="18" s="1"/>
  <c r="L47" i="18"/>
  <c r="L52" i="18" s="1"/>
  <c r="M47" i="18"/>
  <c r="M52" i="18" s="1"/>
  <c r="N47" i="18"/>
  <c r="N52" i="18" s="1"/>
  <c r="O47" i="18"/>
  <c r="O52" i="18" s="1"/>
  <c r="P47" i="18"/>
  <c r="P52" i="18" s="1"/>
  <c r="Q47" i="18"/>
  <c r="Q52" i="18" s="1"/>
  <c r="R47" i="18"/>
  <c r="R52" i="18" s="1"/>
  <c r="S47" i="18"/>
  <c r="S52" i="18" s="1"/>
  <c r="T47" i="18"/>
  <c r="T52" i="18" s="1"/>
  <c r="U47" i="18"/>
  <c r="U52" i="18" s="1"/>
  <c r="V47" i="18"/>
  <c r="V52" i="18" s="1"/>
  <c r="W47" i="18"/>
  <c r="W52" i="18" s="1"/>
  <c r="X47" i="18"/>
  <c r="X52" i="18" s="1"/>
  <c r="Y47" i="18"/>
  <c r="Y52" i="18" s="1"/>
  <c r="Z47" i="18"/>
  <c r="Z52" i="18" s="1"/>
  <c r="AA47" i="18"/>
  <c r="AA52" i="18" s="1"/>
  <c r="AB47" i="18"/>
  <c r="AB52" i="18" s="1"/>
  <c r="AC47" i="18"/>
  <c r="AC52" i="18" s="1"/>
  <c r="AD47" i="18"/>
  <c r="AD52" i="18" s="1"/>
  <c r="AE47" i="18"/>
  <c r="AE52" i="18" s="1"/>
  <c r="AF47" i="18"/>
  <c r="AF52" i="18" s="1"/>
  <c r="B47" i="18"/>
  <c r="B52" i="18" s="1"/>
  <c r="D49" i="18"/>
  <c r="E49" i="18"/>
  <c r="F49" i="18"/>
  <c r="G49" i="18"/>
  <c r="H49" i="18"/>
  <c r="I49" i="18"/>
  <c r="J49" i="18"/>
  <c r="K49" i="18"/>
  <c r="L49" i="18"/>
  <c r="M49" i="18"/>
  <c r="N49" i="18"/>
  <c r="O49" i="18"/>
  <c r="P49" i="18"/>
  <c r="Q49" i="18"/>
  <c r="R49" i="18"/>
  <c r="S49" i="18"/>
  <c r="T49" i="18"/>
  <c r="U49" i="18"/>
  <c r="V49" i="18"/>
  <c r="W49" i="18"/>
  <c r="X49" i="18"/>
  <c r="Y49" i="18"/>
  <c r="Z49" i="18"/>
  <c r="AA49" i="18"/>
  <c r="AB49" i="18"/>
  <c r="AC49" i="18"/>
  <c r="AD49" i="18"/>
  <c r="AE49" i="18"/>
  <c r="AF49" i="18"/>
  <c r="D50" i="18"/>
  <c r="E50" i="18"/>
  <c r="F50" i="18"/>
  <c r="G50" i="18"/>
  <c r="H50" i="18"/>
  <c r="I50" i="18"/>
  <c r="J50" i="18"/>
  <c r="K50" i="18"/>
  <c r="L50" i="18"/>
  <c r="M50" i="18"/>
  <c r="N50" i="18"/>
  <c r="O50" i="18"/>
  <c r="P50" i="18"/>
  <c r="Q50" i="18"/>
  <c r="R50" i="18"/>
  <c r="S50" i="18"/>
  <c r="T50" i="18"/>
  <c r="U50" i="18"/>
  <c r="V50" i="18"/>
  <c r="W50" i="18"/>
  <c r="X50" i="18"/>
  <c r="Y50" i="18"/>
  <c r="Z50" i="18"/>
  <c r="AA50" i="18"/>
  <c r="AB50" i="18"/>
  <c r="AC50" i="18"/>
  <c r="AD50" i="18"/>
  <c r="AE50" i="18"/>
  <c r="AF50" i="18"/>
  <c r="C49" i="18"/>
  <c r="C50" i="18"/>
  <c r="B50" i="18"/>
  <c r="C44" i="18"/>
  <c r="D44"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C45" i="18"/>
  <c r="D45" i="18"/>
  <c r="E45" i="18"/>
  <c r="F45" i="18"/>
  <c r="G45" i="18"/>
  <c r="H45" i="18"/>
  <c r="I45" i="18"/>
  <c r="J45" i="18"/>
  <c r="K45" i="18"/>
  <c r="L45" i="18"/>
  <c r="M45" i="18"/>
  <c r="N45" i="18"/>
  <c r="O45" i="18"/>
  <c r="P45" i="18"/>
  <c r="Q45" i="18"/>
  <c r="R45" i="18"/>
  <c r="S45" i="18"/>
  <c r="T45" i="18"/>
  <c r="U45" i="18"/>
  <c r="V45" i="18"/>
  <c r="W45" i="18"/>
  <c r="X45" i="18"/>
  <c r="Y45" i="18"/>
  <c r="Z45" i="18"/>
  <c r="AA45" i="18"/>
  <c r="AB45" i="18"/>
  <c r="AC45" i="18"/>
  <c r="AD45" i="18"/>
  <c r="AE45" i="18"/>
  <c r="AF45" i="18"/>
  <c r="B45" i="18"/>
  <c r="B49" i="18"/>
  <c r="AO5" i="11" l="1"/>
  <c r="AN8" i="11"/>
  <c r="AN8" i="10"/>
  <c r="AO5" i="10"/>
  <c r="AC46" i="18"/>
  <c r="AC51" i="18" s="1"/>
  <c r="AC58" i="18" s="1"/>
  <c r="M46" i="18"/>
  <c r="M51" i="18" s="1"/>
  <c r="M58" i="18" s="1"/>
  <c r="E46" i="18"/>
  <c r="E51" i="18" s="1"/>
  <c r="E58" i="18" s="1"/>
  <c r="U46" i="18"/>
  <c r="U51" i="18" s="1"/>
  <c r="U58" i="18" s="1"/>
  <c r="AD46" i="18"/>
  <c r="AD51" i="18" s="1"/>
  <c r="AD58" i="18" s="1"/>
  <c r="V46" i="18"/>
  <c r="V51" i="18" s="1"/>
  <c r="V58" i="18" s="1"/>
  <c r="N46" i="18"/>
  <c r="N51" i="18" s="1"/>
  <c r="N58" i="18" s="1"/>
  <c r="F46" i="18"/>
  <c r="F51" i="18" s="1"/>
  <c r="F58" i="18" s="1"/>
  <c r="AB46" i="18"/>
  <c r="AB51" i="18" s="1"/>
  <c r="AB58" i="18" s="1"/>
  <c r="T46" i="18"/>
  <c r="T51" i="18" s="1"/>
  <c r="T58" i="18" s="1"/>
  <c r="L46" i="18"/>
  <c r="L51" i="18" s="1"/>
  <c r="L58" i="18" s="1"/>
  <c r="D46" i="18"/>
  <c r="D51" i="18" s="1"/>
  <c r="D58" i="18" s="1"/>
  <c r="AF46" i="18"/>
  <c r="AF51" i="18" s="1"/>
  <c r="AF58" i="18" s="1"/>
  <c r="H46" i="18"/>
  <c r="H51" i="18" s="1"/>
  <c r="H58" i="18" s="1"/>
  <c r="G46" i="18"/>
  <c r="G51" i="18" s="1"/>
  <c r="G58" i="18" s="1"/>
  <c r="AE46" i="18"/>
  <c r="AE51" i="18" s="1"/>
  <c r="AE58" i="18" s="1"/>
  <c r="W46" i="18"/>
  <c r="W51" i="18" s="1"/>
  <c r="W58" i="18" s="1"/>
  <c r="O46" i="18"/>
  <c r="O51" i="18" s="1"/>
  <c r="O58" i="18" s="1"/>
  <c r="Z46" i="18"/>
  <c r="Z51" i="18" s="1"/>
  <c r="Z58" i="18" s="1"/>
  <c r="R46" i="18"/>
  <c r="R51" i="18" s="1"/>
  <c r="R58" i="18" s="1"/>
  <c r="J46" i="18"/>
  <c r="J51" i="18" s="1"/>
  <c r="J58" i="18" s="1"/>
  <c r="I46" i="18"/>
  <c r="I51" i="18" s="1"/>
  <c r="I58" i="18" s="1"/>
  <c r="Y46" i="18"/>
  <c r="Y51" i="18" s="1"/>
  <c r="Y58" i="18" s="1"/>
  <c r="Q46" i="18"/>
  <c r="Q51" i="18" s="1"/>
  <c r="Q58" i="18" s="1"/>
  <c r="X46" i="18"/>
  <c r="X51" i="18" s="1"/>
  <c r="X58" i="18" s="1"/>
  <c r="P46" i="18"/>
  <c r="P51" i="18" s="1"/>
  <c r="P58" i="18" s="1"/>
  <c r="C46" i="18"/>
  <c r="C51" i="18" s="1"/>
  <c r="C58" i="18" s="1"/>
  <c r="K46" i="18"/>
  <c r="K51" i="18" s="1"/>
  <c r="K58" i="18" s="1"/>
  <c r="S46" i="18"/>
  <c r="S51" i="18" s="1"/>
  <c r="S58" i="18" s="1"/>
  <c r="AA46" i="18"/>
  <c r="AA51" i="18" s="1"/>
  <c r="AA58" i="18" s="1"/>
  <c r="B46" i="18"/>
  <c r="B51" i="18" s="1"/>
  <c r="B58" i="18" s="1"/>
  <c r="AP5" i="11" l="1"/>
  <c r="AP8" i="11" s="1"/>
  <c r="AO8" i="11"/>
  <c r="AO8" i="10"/>
  <c r="AP5" i="10"/>
  <c r="AP8" i="10" s="1"/>
  <c r="B8" i="18" l="1"/>
  <c r="B3" i="18"/>
  <c r="B5" i="18" s="1"/>
  <c r="C3" i="18"/>
  <c r="C5" i="18" s="1"/>
  <c r="C8" i="18"/>
  <c r="B5" i="9" l="1"/>
  <c r="C5" i="13"/>
  <c r="D5" i="13" l="1"/>
  <c r="E5" i="13" s="1"/>
  <c r="F5" i="13" s="1"/>
  <c r="G5" i="13" s="1"/>
  <c r="H5" i="13" s="1"/>
  <c r="I5" i="13" s="1"/>
  <c r="J5" i="13" s="1"/>
  <c r="K5" i="13" s="1"/>
  <c r="L5" i="13" s="1"/>
  <c r="M5" i="13" s="1"/>
  <c r="N5" i="13" s="1"/>
  <c r="O5" i="13" s="1"/>
  <c r="P5" i="13" s="1"/>
  <c r="Q5" i="13" s="1"/>
  <c r="R5" i="13" s="1"/>
  <c r="S5" i="13" s="1"/>
  <c r="T5" i="13" s="1"/>
  <c r="U5" i="13" s="1"/>
  <c r="V5" i="13" s="1"/>
  <c r="W5" i="13" s="1"/>
  <c r="X5" i="13" s="1"/>
  <c r="Y5" i="13" s="1"/>
  <c r="Z5" i="13" s="1"/>
  <c r="AA5" i="13" s="1"/>
  <c r="AB5" i="13" s="1"/>
  <c r="AC5" i="13" s="1"/>
  <c r="AD5" i="13" s="1"/>
  <c r="AE5" i="13" s="1"/>
  <c r="AF5" i="13" s="1"/>
  <c r="B39" i="18" l="1"/>
  <c r="B35" i="18"/>
  <c r="B8" i="5" l="1"/>
  <c r="B8" i="10" l="1"/>
  <c r="B8" i="14" l="1"/>
  <c r="B7" i="14"/>
  <c r="D8"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D3" i="18"/>
  <c r="D5" i="18" s="1"/>
  <c r="E3" i="18"/>
  <c r="E5" i="18" s="1"/>
  <c r="F3" i="18"/>
  <c r="F5" i="18" s="1"/>
  <c r="G3" i="18"/>
  <c r="G5" i="18" s="1"/>
  <c r="H3" i="18"/>
  <c r="H5" i="18" s="1"/>
  <c r="I3" i="18"/>
  <c r="I5" i="18" s="1"/>
  <c r="J3" i="18"/>
  <c r="J5" i="18" s="1"/>
  <c r="K3" i="18"/>
  <c r="K5" i="18" s="1"/>
  <c r="L3" i="18"/>
  <c r="L5" i="18" s="1"/>
  <c r="M3" i="18"/>
  <c r="M5" i="18" s="1"/>
  <c r="N3" i="18"/>
  <c r="N5" i="18" s="1"/>
  <c r="O3" i="18"/>
  <c r="O5" i="18" s="1"/>
  <c r="P3" i="18"/>
  <c r="P5" i="18" s="1"/>
  <c r="Q3" i="18"/>
  <c r="Q5" i="18" s="1"/>
  <c r="R3" i="18"/>
  <c r="R5" i="18" s="1"/>
  <c r="S3" i="18"/>
  <c r="S5" i="18" s="1"/>
  <c r="T3" i="18"/>
  <c r="T5" i="18" s="1"/>
  <c r="U3" i="18"/>
  <c r="U5" i="18" s="1"/>
  <c r="V3" i="18"/>
  <c r="V5" i="18" s="1"/>
  <c r="W3" i="18"/>
  <c r="W5" i="18" s="1"/>
  <c r="X3" i="18"/>
  <c r="X5" i="18" s="1"/>
  <c r="Y3" i="18"/>
  <c r="Y5" i="18" s="1"/>
  <c r="Z3" i="18"/>
  <c r="Z5" i="18" s="1"/>
  <c r="AA3" i="18"/>
  <c r="AA5" i="18" s="1"/>
  <c r="AB3" i="18"/>
  <c r="AB5" i="18" s="1"/>
  <c r="AC3" i="18"/>
  <c r="AC5" i="18" s="1"/>
  <c r="AD3" i="18"/>
  <c r="AD5" i="18" s="1"/>
  <c r="AE3" i="18"/>
  <c r="AE5" i="18" s="1"/>
  <c r="AF3" i="18"/>
  <c r="AF5" i="18" s="1"/>
  <c r="P8" i="9" l="1"/>
  <c r="B2" i="11"/>
  <c r="B8" i="11"/>
  <c r="C8" i="11"/>
  <c r="D4" i="14"/>
  <c r="E4" i="14"/>
  <c r="F4" i="14"/>
  <c r="G4" i="14"/>
  <c r="H4" i="14"/>
  <c r="I4" i="14"/>
  <c r="J4" i="14"/>
  <c r="K4" i="14"/>
  <c r="L4" i="14"/>
  <c r="M4" i="14"/>
  <c r="N4" i="14"/>
  <c r="O4" i="14"/>
  <c r="P4" i="14"/>
  <c r="Q4" i="14"/>
  <c r="R4" i="14"/>
  <c r="S4" i="14"/>
  <c r="T4" i="14"/>
  <c r="U4" i="14"/>
  <c r="V4" i="14"/>
  <c r="W4" i="14"/>
  <c r="X4" i="14"/>
  <c r="Y4" i="14"/>
  <c r="Z4" i="14"/>
  <c r="AA4" i="14"/>
  <c r="AB4" i="14"/>
  <c r="AC4" i="14"/>
  <c r="AD4" i="14"/>
  <c r="AE4" i="14"/>
  <c r="AF4" i="14"/>
  <c r="C4" i="14"/>
  <c r="X8" i="9" l="1"/>
  <c r="H8" i="9"/>
  <c r="AC8" i="9"/>
  <c r="M8" i="9"/>
  <c r="AA8" i="9"/>
  <c r="N8" i="9"/>
  <c r="T8" i="9"/>
  <c r="AB8" i="9"/>
  <c r="U8" i="9"/>
  <c r="K8" i="9"/>
  <c r="I8" i="9"/>
  <c r="AF8" i="9"/>
  <c r="D8" i="9"/>
  <c r="Q8" i="9"/>
  <c r="Y8" i="9"/>
  <c r="E8" i="9"/>
  <c r="S8" i="9"/>
  <c r="AD8" i="9"/>
  <c r="L8" i="9"/>
  <c r="F8" i="9"/>
  <c r="V8" i="9"/>
  <c r="C8" i="9"/>
  <c r="Z8" i="9"/>
  <c r="W8" i="9"/>
  <c r="I2" i="13"/>
  <c r="I8" i="13"/>
  <c r="W8" i="13"/>
  <c r="W2" i="13"/>
  <c r="N8" i="13"/>
  <c r="N2" i="13"/>
  <c r="AE8" i="13"/>
  <c r="AE2" i="13"/>
  <c r="G8" i="13"/>
  <c r="G2" i="13"/>
  <c r="L8" i="13"/>
  <c r="L2" i="13"/>
  <c r="AD8" i="13"/>
  <c r="AD2" i="13"/>
  <c r="F8" i="13"/>
  <c r="F2" i="13"/>
  <c r="Q8" i="13"/>
  <c r="Q2" i="13"/>
  <c r="AE8" i="9"/>
  <c r="E8" i="13"/>
  <c r="E2" i="13"/>
  <c r="V2" i="13"/>
  <c r="V8" i="13"/>
  <c r="AF8" i="13"/>
  <c r="AF2" i="13"/>
  <c r="H8" i="13"/>
  <c r="H2" i="13"/>
  <c r="T8" i="13"/>
  <c r="T2" i="13"/>
  <c r="O8" i="13"/>
  <c r="O2" i="13"/>
  <c r="X8" i="13"/>
  <c r="X2" i="13"/>
  <c r="Y2" i="13"/>
  <c r="Y8" i="13"/>
  <c r="B8" i="13"/>
  <c r="B2" i="13"/>
  <c r="C8" i="13"/>
  <c r="C2" i="13"/>
  <c r="AB8" i="13"/>
  <c r="AB2" i="13"/>
  <c r="P8" i="13"/>
  <c r="P2" i="13"/>
  <c r="AA8" i="13"/>
  <c r="AA2" i="13"/>
  <c r="AC8" i="13"/>
  <c r="AC2" i="13"/>
  <c r="D8" i="13"/>
  <c r="D2" i="13"/>
  <c r="J2" i="13"/>
  <c r="J8" i="13"/>
  <c r="K8" i="13"/>
  <c r="K2" i="13"/>
  <c r="B8" i="9"/>
  <c r="B2" i="9"/>
  <c r="J8" i="9"/>
  <c r="G8" i="9"/>
  <c r="Z2" i="13"/>
  <c r="Z8" i="13"/>
  <c r="R2" i="13"/>
  <c r="R8" i="13"/>
  <c r="S8" i="13"/>
  <c r="S2" i="13"/>
  <c r="M8" i="13"/>
  <c r="M2" i="13"/>
  <c r="U8" i="13"/>
  <c r="U2" i="13"/>
  <c r="R8" i="9"/>
  <c r="O8" i="9"/>
  <c r="AF7" i="14"/>
  <c r="AF8" i="14"/>
  <c r="AE7" i="14"/>
  <c r="AE8" i="14"/>
  <c r="W7" i="14"/>
  <c r="W8" i="14"/>
  <c r="S7" i="14"/>
  <c r="S8" i="14"/>
  <c r="O7" i="14"/>
  <c r="O8" i="14"/>
  <c r="K7" i="14"/>
  <c r="K8" i="14"/>
  <c r="AD8" i="14"/>
  <c r="AD7" i="14"/>
  <c r="Z8" i="14"/>
  <c r="Z7" i="14"/>
  <c r="V8" i="14"/>
  <c r="V7" i="14"/>
  <c r="R8" i="14"/>
  <c r="R7" i="14"/>
  <c r="N8" i="14"/>
  <c r="N7" i="14"/>
  <c r="J8" i="14"/>
  <c r="J7" i="14"/>
  <c r="F8" i="14"/>
  <c r="F7" i="14"/>
  <c r="AC8" i="14"/>
  <c r="AC7" i="14"/>
  <c r="Y8" i="14"/>
  <c r="Y7" i="14"/>
  <c r="U8" i="14"/>
  <c r="U7" i="14"/>
  <c r="Q8" i="14"/>
  <c r="Q7" i="14"/>
  <c r="M7" i="14"/>
  <c r="M8" i="14"/>
  <c r="I8" i="14"/>
  <c r="I7" i="14"/>
  <c r="E8" i="14"/>
  <c r="E7" i="14"/>
  <c r="AB7" i="14"/>
  <c r="AB8" i="14"/>
  <c r="T7" i="14"/>
  <c r="T8" i="14"/>
  <c r="P7" i="14"/>
  <c r="P8" i="14"/>
  <c r="L7" i="14"/>
  <c r="L8" i="14"/>
  <c r="H7" i="14"/>
  <c r="H8" i="14"/>
  <c r="D7" i="14"/>
  <c r="D8" i="14"/>
  <c r="C7" i="14"/>
  <c r="C8" i="14"/>
  <c r="X7" i="14"/>
  <c r="X8" i="14"/>
  <c r="AA7" i="14"/>
  <c r="AA8" i="14"/>
  <c r="G7" i="14"/>
  <c r="G8" i="14"/>
  <c r="D2" i="14"/>
  <c r="F2" i="14"/>
  <c r="G2" i="14"/>
  <c r="L2" i="14"/>
  <c r="N2" i="14"/>
  <c r="O2" i="14"/>
  <c r="T2" i="14"/>
  <c r="V2" i="14"/>
  <c r="W2" i="14"/>
  <c r="AB2" i="14"/>
  <c r="AD2" i="14"/>
  <c r="AE2" i="14"/>
  <c r="D3" i="14"/>
  <c r="E3" i="14"/>
  <c r="I3" i="14"/>
  <c r="J3" i="14"/>
  <c r="L3" i="14"/>
  <c r="M3" i="14"/>
  <c r="Q3" i="14"/>
  <c r="R3" i="14"/>
  <c r="T3" i="14"/>
  <c r="U3" i="14"/>
  <c r="Y3" i="14"/>
  <c r="Z3" i="14"/>
  <c r="AB3" i="14"/>
  <c r="AC3" i="14"/>
  <c r="C3" i="14"/>
  <c r="E2" i="14"/>
  <c r="F3" i="14"/>
  <c r="G5" i="14"/>
  <c r="H5" i="14"/>
  <c r="I2" i="14"/>
  <c r="J5" i="14"/>
  <c r="K3" i="14"/>
  <c r="M2" i="14"/>
  <c r="N3" i="14"/>
  <c r="O5" i="14"/>
  <c r="P5" i="14"/>
  <c r="Q2" i="14"/>
  <c r="R5" i="14"/>
  <c r="S3" i="14"/>
  <c r="U2" i="14"/>
  <c r="V3" i="14"/>
  <c r="W5" i="14"/>
  <c r="X5" i="14"/>
  <c r="Y2" i="14"/>
  <c r="Z5" i="14"/>
  <c r="AA3" i="14"/>
  <c r="AC2" i="14"/>
  <c r="AD3" i="14"/>
  <c r="AE5" i="14"/>
  <c r="AF5" i="14"/>
  <c r="D5" i="14"/>
  <c r="E5" i="14"/>
  <c r="F5" i="14"/>
  <c r="I5" i="14"/>
  <c r="L5" i="14"/>
  <c r="M5" i="14"/>
  <c r="N5" i="14"/>
  <c r="Q5" i="14"/>
  <c r="T5" i="14"/>
  <c r="U5" i="14"/>
  <c r="V5" i="14"/>
  <c r="Y5" i="14"/>
  <c r="AB5" i="14"/>
  <c r="AC5" i="14"/>
  <c r="AD5" i="14"/>
  <c r="D6" i="14"/>
  <c r="E6" i="14"/>
  <c r="F6" i="14"/>
  <c r="G6" i="14"/>
  <c r="I6" i="14"/>
  <c r="L6" i="14"/>
  <c r="M6" i="14"/>
  <c r="N6" i="14"/>
  <c r="O6" i="14"/>
  <c r="Q6" i="14"/>
  <c r="T6" i="14"/>
  <c r="U6" i="14"/>
  <c r="V6" i="14"/>
  <c r="W6" i="14"/>
  <c r="Y6" i="14"/>
  <c r="AB6" i="14"/>
  <c r="AC6" i="14"/>
  <c r="AD6" i="14"/>
  <c r="AE6" i="14"/>
  <c r="AA6" i="14" l="1"/>
  <c r="K6" i="14"/>
  <c r="AA2" i="14"/>
  <c r="K2" i="14"/>
  <c r="Z6" i="14"/>
  <c r="J6" i="14"/>
  <c r="AF3" i="14"/>
  <c r="P3" i="14"/>
  <c r="J2" i="14"/>
  <c r="AA5" i="14"/>
  <c r="S5" i="14"/>
  <c r="K5" i="14"/>
  <c r="C5" i="14"/>
  <c r="AE3" i="14"/>
  <c r="W3" i="14"/>
  <c r="O3" i="14"/>
  <c r="G3" i="14"/>
  <c r="S6" i="14"/>
  <c r="C6" i="14"/>
  <c r="S2" i="14"/>
  <c r="C2" i="14"/>
  <c r="R6" i="14"/>
  <c r="X3" i="14"/>
  <c r="H3" i="14"/>
  <c r="Z2" i="14"/>
  <c r="R2" i="14"/>
  <c r="AF6" i="14"/>
  <c r="X6" i="14"/>
  <c r="P6" i="14"/>
  <c r="H6" i="14"/>
  <c r="AF2" i="14"/>
  <c r="X2" i="14"/>
  <c r="P2" i="14"/>
  <c r="H2" i="14"/>
  <c r="C8" i="10" l="1"/>
  <c r="B6" i="14"/>
  <c r="B2" i="14"/>
  <c r="B5" i="14"/>
  <c r="B3" i="14"/>
  <c r="D4" i="39" l="1"/>
  <c r="E4" i="39"/>
  <c r="B5" i="8" s="1"/>
  <c r="C4" i="39" l="1"/>
  <c r="B2" i="8"/>
  <c r="B8" i="8"/>
  <c r="B4" i="39" l="1"/>
  <c r="H4" i="3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<sst xmlns="http://schemas.openxmlformats.org/spreadsheetml/2006/main" count="6694" uniqueCount="3385">
  <si>
    <t>BNVFE BAU New Vehicle Fuel Economy</t>
  </si>
  <si>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</si>
  <si>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</si>
  <si>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</si>
  <si>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</si>
  <si>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</si>
  <si>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</si>
  <si>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</si>
  <si>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</si>
  <si>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</si>
  <si>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</si>
  <si>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</si>
  <si>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</si>
  <si>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</si>
  <si>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</si>
  <si>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</si>
  <si>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</si>
  <si>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</si>
  <si>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</si>
  <si>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</si>
  <si>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</si>
  <si>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</si>
  <si>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</si>
  <si>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</si>
  <si>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</si>
  <si>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</si>
  <si>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</si>
  <si>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</si>
  <si>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</si>
  <si>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</si>
  <si>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</si>
  <si>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</si>
  <si>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</si>
  <si>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</si>
  <si>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</si>
  <si>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</si>
  <si>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</si>
  <si>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</si>
  <si>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</si>
  <si>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</si>
  <si>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</si>
  <si>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</si>
  <si>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</si>
  <si>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</si>
  <si>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</si>
  <si>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</si>
  <si>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</si>
  <si>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</si>
  <si>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</si>
  <si>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</si>
  <si>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</si>
  <si>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</si>
  <si>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</si>
  <si>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</si>
  <si>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</si>
  <si>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</si>
  <si>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</si>
  <si>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</si>
  <si>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</si>
  <si>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</si>
  <si>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</si>
  <si>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</si>
  <si>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</si>
  <si>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</si>
  <si>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</si>
  <si>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</si>
  <si>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</si>
  <si>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</si>
  <si>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</si>
  <si>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</si>
  <si>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</si>
  <si>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</si>
  <si>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</si>
  <si>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</si>
  <si>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</si>
  <si>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</si>
  <si>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</si>
  <si>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</si>
  <si>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</si>
  <si>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</si>
  <si>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</si>
  <si>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</si>
  <si>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</si>
  <si>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</si>
  <si>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</si>
  <si>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</si>
  <si>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</si>
  <si>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</si>
  <si>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</si>
  <si>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</si>
  <si>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</si>
  <si>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</si>
  <si>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</si>
  <si>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</si>
  <si>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</si>
  <si>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</si>
  <si>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</si>
  <si>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</si>
  <si>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</si>
  <si>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</si>
  <si>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</si>
  <si>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</si>
  <si>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</si>
  <si>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</si>
  <si>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</si>
  <si>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TKI000</t>
  </si>
  <si>
    <t>Release Date</t>
  </si>
  <si>
    <t>Datekey</t>
  </si>
  <si>
    <t>Reference case</t>
  </si>
  <si>
    <t>Scenario</t>
  </si>
  <si>
    <t>Report</t>
  </si>
  <si>
    <t>Notes</t>
  </si>
  <si>
    <t>battery electric vehicle</t>
  </si>
  <si>
    <t>natural gas vehicle</t>
  </si>
  <si>
    <t>gasoline vehicle</t>
  </si>
  <si>
    <t>diesel vehicle</t>
  </si>
  <si>
    <t>plugin hybrid vehicle</t>
  </si>
  <si>
    <t>ATE000:pa_JetFuelUS</t>
  </si>
  <si>
    <t>ATE000:oa_AviationGasol</t>
  </si>
  <si>
    <t>ATE000:oa_JF_World</t>
  </si>
  <si>
    <t>ATE000:oa_JF_Oceania</t>
  </si>
  <si>
    <t>ATE000:oa_JF_SW_Asia</t>
  </si>
  <si>
    <t>ATE000:oa_JF_SE_Asia</t>
  </si>
  <si>
    <t>ATE000:oa_JF_NE_Asia</t>
  </si>
  <si>
    <t>ATE000:oa_JF_China</t>
  </si>
  <si>
    <t>ATE000:oa_JF_Russia</t>
  </si>
  <si>
    <t>ATE000:oa_JF_Mideast</t>
  </si>
  <si>
    <t>ATE000:oa_JF_Africa</t>
  </si>
  <si>
    <t>ATE000:oa_JF_Europe</t>
  </si>
  <si>
    <t>ATE000:oa_JF_South_Am</t>
  </si>
  <si>
    <t>ATE000:oa_JF_Central_Am</t>
  </si>
  <si>
    <t>ATE000:oa_JF_Canada</t>
  </si>
  <si>
    <t>ATE000:oa_JF_US</t>
  </si>
  <si>
    <t>Fuel Consumption (trillion Btu)</t>
  </si>
  <si>
    <t>ATE000:na_AverageAircra</t>
  </si>
  <si>
    <t>ATE000:na_RegionalJets</t>
  </si>
  <si>
    <t>ATE000:na_WideBodyAircr</t>
  </si>
  <si>
    <t>ATE000:na_NarrowBodyAir</t>
  </si>
  <si>
    <t>ATE000:ma_AverageAircra</t>
  </si>
  <si>
    <t>ATE000:ma_RegionalJets</t>
  </si>
  <si>
    <t>ATE000:ma_WideBodyAircr</t>
  </si>
  <si>
    <t>ATE000:ma_NarrowBodyAir</t>
  </si>
  <si>
    <t>ATE000:la_ElectricallyA</t>
  </si>
  <si>
    <t>ATE000:la_WeightReducin</t>
  </si>
  <si>
    <t>ATE000:la_Advanced Aero</t>
  </si>
  <si>
    <t>ATE000:la_LaminarFlowCo</t>
  </si>
  <si>
    <t>- -</t>
  </si>
  <si>
    <t>ATE000:la_gen_tech_5</t>
  </si>
  <si>
    <t>ATE000:la_gen_tech_4</t>
  </si>
  <si>
    <t>ATE000:la_gen_tech_3</t>
  </si>
  <si>
    <t>ATE000:la_gen_tech_2</t>
  </si>
  <si>
    <t>ATE000:la_gen_tech_1</t>
  </si>
  <si>
    <t>Advanced Technology Penetration</t>
  </si>
  <si>
    <t>Total World</t>
  </si>
  <si>
    <t>ATE000:sal_WorldTotal</t>
  </si>
  <si>
    <t>ATE000:sal_Oceania-rj</t>
  </si>
  <si>
    <t>ATE000:sal_Oceania-wb</t>
  </si>
  <si>
    <t>ATE000:sal_Oceania-nb</t>
  </si>
  <si>
    <t>ATE000:sal_Oceania</t>
  </si>
  <si>
    <t>ATE000:sal_SW_Asia-rj</t>
  </si>
  <si>
    <t>ATE000:sal_SW_Asia-wb</t>
  </si>
  <si>
    <t>ATE000:sal_SW_Asia-nb</t>
  </si>
  <si>
    <t>ATE000:sal_SW_Asia</t>
  </si>
  <si>
    <t>ATE000:sal_SE_Asia-rj</t>
  </si>
  <si>
    <t>ATE000:sal_SE_Asia-wb</t>
  </si>
  <si>
    <t>ATE000:sal_SE_Asia-nb</t>
  </si>
  <si>
    <t>ATE000:sal_SE_Asia</t>
  </si>
  <si>
    <t>ATE000:sal_NE_Asia-rj</t>
  </si>
  <si>
    <t>ATE000:sal_NE_Asia-wb</t>
  </si>
  <si>
    <t>ATE000:sal_NE_Asia-nb</t>
  </si>
  <si>
    <t>ATE000:sal_NE_Asia</t>
  </si>
  <si>
    <t>ATE000:sal_China-rj</t>
  </si>
  <si>
    <t>ATE000:sal_China-wb</t>
  </si>
  <si>
    <t>ATE000:sal_China-nb</t>
  </si>
  <si>
    <t>ATE000:sal_China</t>
  </si>
  <si>
    <t>ATE000:sal_Russia-rj</t>
  </si>
  <si>
    <t>ATE000:sal_Russia-wb</t>
  </si>
  <si>
    <t>ATE000:sal_Russia-nb</t>
  </si>
  <si>
    <t>ATE000:sal_Russia</t>
  </si>
  <si>
    <t>ATE000:sal_Mideast-rj</t>
  </si>
  <si>
    <t>ATE000:sal_Mideast-wb</t>
  </si>
  <si>
    <t>ATE000:sal_Mideast-nb</t>
  </si>
  <si>
    <t>ATE000:sal_Mideast</t>
  </si>
  <si>
    <t>ATE000:sal_Africa-rj</t>
  </si>
  <si>
    <t>ATE000:sal_Africa-wb</t>
  </si>
  <si>
    <t>ATE000:sal_Africa-nb</t>
  </si>
  <si>
    <t>ATE000:sal_Africa</t>
  </si>
  <si>
    <t>ATE000:sal_Europe-rj</t>
  </si>
  <si>
    <t>ATE000:sal_Europe-wb</t>
  </si>
  <si>
    <t>ATE000:sal_Europe-nb</t>
  </si>
  <si>
    <t>ATE000:sal_Europe</t>
  </si>
  <si>
    <t>ATE000:sal_South_Am-rj</t>
  </si>
  <si>
    <t>ATE000:sal_South_Am-wb</t>
  </si>
  <si>
    <t>ATE000:sal_South_Am-nb</t>
  </si>
  <si>
    <t>ATE000:sal_South_Am</t>
  </si>
  <si>
    <t>ATE000:sal_Central_Am-r</t>
  </si>
  <si>
    <t>ATE000:sal_Central_Am-w</t>
  </si>
  <si>
    <t>ATE000:sal_Central_Am-n</t>
  </si>
  <si>
    <t>ATE000:sal_Central_Am</t>
  </si>
  <si>
    <t>ATE000:sal_Canada-rj</t>
  </si>
  <si>
    <t>ATE000:sal_Canada-wb</t>
  </si>
  <si>
    <t>ATE000:sal_Canada-nb</t>
  </si>
  <si>
    <t>ATE000:sal_Canada</t>
  </si>
  <si>
    <t>ATE000:sal_USRegional</t>
  </si>
  <si>
    <t>ATE000:sal_USWideBody</t>
  </si>
  <si>
    <t>ATE000:sal_USNarrowBody</t>
  </si>
  <si>
    <t>ATE000:sal_U.S.Total</t>
  </si>
  <si>
    <t>Aircraft Sales</t>
  </si>
  <si>
    <t>ATE000:fa_WorldTotal</t>
  </si>
  <si>
    <t>ATE000:fa_Oceania</t>
  </si>
  <si>
    <t>ATE000:fa_SW_Asia</t>
  </si>
  <si>
    <t>ATE000:fa_SE_Asia</t>
  </si>
  <si>
    <t>ATE000:fa_NE_Asia</t>
  </si>
  <si>
    <t>ATE000:fa_China</t>
  </si>
  <si>
    <t>ATE000:fa_Russia</t>
  </si>
  <si>
    <t>ATE000:fa_Mideast</t>
  </si>
  <si>
    <t>ATE000:fa_Africa</t>
  </si>
  <si>
    <t>ATE000:fa_Europe</t>
  </si>
  <si>
    <t>ATE000:fa_South_Am</t>
  </si>
  <si>
    <t>ATE000:fa_Central_Am</t>
  </si>
  <si>
    <t>ATE000:fa_Canada</t>
  </si>
  <si>
    <t>ATE000:fa_USRegional</t>
  </si>
  <si>
    <t>ATE000:fa_USWideBody</t>
  </si>
  <si>
    <t>ATE000:fa_USNarrowBody</t>
  </si>
  <si>
    <t>ATE000:fa_U.S.Total</t>
  </si>
  <si>
    <t>Seat Miles Demanded (billion miles)</t>
  </si>
  <si>
    <t>ATE000:ea_FreRevWorld</t>
  </si>
  <si>
    <t>ATE000:ea_FreRevOceania</t>
  </si>
  <si>
    <t>ATE000:ea_FreRevSWAsia</t>
  </si>
  <si>
    <t>ATE000:ea_FreRevSEAsia</t>
  </si>
  <si>
    <t>ATE000:ea_FreRevNEAsia</t>
  </si>
  <si>
    <t>ATE000:ea_FreRevChina</t>
  </si>
  <si>
    <t>ATE000:ea_FreRevRussia</t>
  </si>
  <si>
    <t>ATE000:ea_FreRevMideast</t>
  </si>
  <si>
    <t>ATE000:ea_FreRevAfrica</t>
  </si>
  <si>
    <t>ATE000:ea_FreRevEurope</t>
  </si>
  <si>
    <t>ATE000:ea_FreRevSouthAm</t>
  </si>
  <si>
    <t>ATE000:ea_FreRevCentAm</t>
  </si>
  <si>
    <t>ATE000:ea_FreRevCanada</t>
  </si>
  <si>
    <t>ATE000:ea_FreRevUnited</t>
  </si>
  <si>
    <t>ATE000:rpm_OC_Internat</t>
  </si>
  <si>
    <t>ATE000:rpm_SW_Internat</t>
  </si>
  <si>
    <t>ATE000:rpm_SE_Internat</t>
  </si>
  <si>
    <t>ATE000:rpm_NE_Internat</t>
  </si>
  <si>
    <t>ATE000:rpm_CH_Internat</t>
  </si>
  <si>
    <t>ATE000:rpm_RU_Internat</t>
  </si>
  <si>
    <t>ATE000:rpm_ME_Internat</t>
  </si>
  <si>
    <t>ATE000:rpm_AF_Internat</t>
  </si>
  <si>
    <t>ATE000:rpm_EU_Internat</t>
  </si>
  <si>
    <t>ATE000:rpm_SA_Internat</t>
  </si>
  <si>
    <t>ATE000:rpm_CA_Internat</t>
  </si>
  <si>
    <t>ATE000:rpm_CN_Internat</t>
  </si>
  <si>
    <t>ATE000:rpm_US_Internat</t>
  </si>
  <si>
    <t>ATE000:rpm_OC_Domestic</t>
  </si>
  <si>
    <t>ATE000:rpm_SW_Domestic</t>
  </si>
  <si>
    <t>ATE000:rpm_SE_Domestic</t>
  </si>
  <si>
    <t>ATE000:rpm_NE_Domestic</t>
  </si>
  <si>
    <t>ATE000:rpm_CH_Domestic</t>
  </si>
  <si>
    <t>ATE000:rpm_RU_Domestic</t>
  </si>
  <si>
    <t>ATE000:rpm_ME_Domestic</t>
  </si>
  <si>
    <t>ATE000:rpm_AF_Domestic</t>
  </si>
  <si>
    <t>ATE000:rpm_EU_Domestic</t>
  </si>
  <si>
    <t>ATE000:rpm_SA_Domestic</t>
  </si>
  <si>
    <t>ATE000:rpm_CA_Domestic</t>
  </si>
  <si>
    <t>ATE000:rpm_CN_Domestic</t>
  </si>
  <si>
    <t>ATE000:rpm_US_Domestic</t>
  </si>
  <si>
    <t>Travel Demand</t>
  </si>
  <si>
    <t>ATE000:pop_JF_Oceania</t>
  </si>
  <si>
    <t>ATE000:pop_JF_SW_Asia</t>
  </si>
  <si>
    <t>ATE000:pop_JF_SE_Asia</t>
  </si>
  <si>
    <t>ATE000:pop_JF_NE_Asia</t>
  </si>
  <si>
    <t>ATE000:pop_JF_China</t>
  </si>
  <si>
    <t>ATE000:pop_JF_Russia</t>
  </si>
  <si>
    <t>ATE000:pop_JF_Mideast</t>
  </si>
  <si>
    <t>ATE000:pop_JF_Africa</t>
  </si>
  <si>
    <t>ATE000:pop_JF_Europe</t>
  </si>
  <si>
    <t>ATE000:pop_JF_South_Am</t>
  </si>
  <si>
    <t>ATE000:pop_JF_Central_A</t>
  </si>
  <si>
    <t>ATE000:pop_JF_Canada</t>
  </si>
  <si>
    <t>ATE000:pop_JF_US</t>
  </si>
  <si>
    <t>Driver Variables</t>
  </si>
  <si>
    <t>ATE000:ea_LoadFactor,In</t>
  </si>
  <si>
    <t>ATE000:da_LoadFactor,Do</t>
  </si>
  <si>
    <t>Load Factor (fraction of seats filled)</t>
  </si>
  <si>
    <t>ATE000:ca_Yield-non_u.s</t>
  </si>
  <si>
    <t>ATE000:ca_Yield-interna</t>
  </si>
  <si>
    <t>ATE000:ca_Yield-domesti</t>
  </si>
  <si>
    <t>Ticket Price (1996 cents per passenger mile)</t>
  </si>
  <si>
    <t>Fuel Cost (1987 dollars per million Btu)</t>
  </si>
  <si>
    <t>ATE000:ba_FuelCost(1987</t>
  </si>
  <si>
    <t>ATE000</t>
  </si>
  <si>
    <t>ATS000:crg_WorldTotal</t>
  </si>
  <si>
    <t>ATS000:crg_Oceania</t>
  </si>
  <si>
    <t>ATS000:crg_SW_Asia</t>
  </si>
  <si>
    <t>ATS000:crg_SE_Asia</t>
  </si>
  <si>
    <t>ATS000:crg_NE_Asia</t>
  </si>
  <si>
    <t>ATS000:crg_China</t>
  </si>
  <si>
    <t>ATS000:crg_Russia</t>
  </si>
  <si>
    <t>ATS000:crg_Mideast</t>
  </si>
  <si>
    <t>ATS000:crg_Africa</t>
  </si>
  <si>
    <t>ATS000:crg_Europe</t>
  </si>
  <si>
    <t>ATS000:crg_South_Am</t>
  </si>
  <si>
    <t>ATS000:crg_Central_Am</t>
  </si>
  <si>
    <t>ATS000:crg_Canada</t>
  </si>
  <si>
    <t>ATS000:crg_U.S.Total</t>
  </si>
  <si>
    <t>Aircraft Cargo Stock</t>
  </si>
  <si>
    <t>ATS000:prk_WorldTotal</t>
  </si>
  <si>
    <t>ATS000:prk_Oceania-rj</t>
  </si>
  <si>
    <t>ATS000:prk_Oceania-wb</t>
  </si>
  <si>
    <t>ATS000:prk_Oceania-nb</t>
  </si>
  <si>
    <t>ATS000:prk_Oceania</t>
  </si>
  <si>
    <t>ATS000:prk_SW_Asia-rj</t>
  </si>
  <si>
    <t>ATS000:prk_SW_Asia-wb</t>
  </si>
  <si>
    <t>ATS000:prk_SW_Asia-nb</t>
  </si>
  <si>
    <t>ATS000:prk_SW_Asia</t>
  </si>
  <si>
    <t>ATS000:prk_SE_Asia-rj</t>
  </si>
  <si>
    <t>ATS000:prk_SE_Asia-wb</t>
  </si>
  <si>
    <t>ATS000:prk_SE_Asia-nb</t>
  </si>
  <si>
    <t>ATS000:prk_SE_Asia</t>
  </si>
  <si>
    <t>ATS000:prk_NE_Asia-rj</t>
  </si>
  <si>
    <t>ATS000:prk_NE_Asia-wb</t>
  </si>
  <si>
    <t>ATS000:prk_NE_Asia-nb</t>
  </si>
  <si>
    <t>ATS000:prk_NE_Asia</t>
  </si>
  <si>
    <t>ATS000:prk_China-rj</t>
  </si>
  <si>
    <t>ATS000:prk_China-wb</t>
  </si>
  <si>
    <t>ATS000:prk_China-nb</t>
  </si>
  <si>
    <t>ATS000:prk_China</t>
  </si>
  <si>
    <t>ATS000:prk_Russia-rj</t>
  </si>
  <si>
    <t>ATS000:prk_Russia-wb</t>
  </si>
  <si>
    <t>ATS000:prk_Russia-nb</t>
  </si>
  <si>
    <t>ATS000:prk_Russia</t>
  </si>
  <si>
    <t>ATS000:prk_Mideast-rj</t>
  </si>
  <si>
    <t>ATS000:prk_Mideast-wb</t>
  </si>
  <si>
    <t>ATS000:prk_Mideast-nb</t>
  </si>
  <si>
    <t>ATS000:prk_Mideast</t>
  </si>
  <si>
    <t>ATS000:prk_Africa-rj</t>
  </si>
  <si>
    <t>ATS000:prk_Africa-wb</t>
  </si>
  <si>
    <t>ATS000:prk_Africa-nb</t>
  </si>
  <si>
    <t>ATS000:prk_Africa</t>
  </si>
  <si>
    <t>ATS000:prk_Europe-rj</t>
  </si>
  <si>
    <t>ATS000:prk_Europe-wb</t>
  </si>
  <si>
    <t>ATS000:prk_Europe-nb</t>
  </si>
  <si>
    <t>ATS000:prk_Europe</t>
  </si>
  <si>
    <t>ATS000:prk_South_Am-rj</t>
  </si>
  <si>
    <t>ATS000:prk_South_Am-wb</t>
  </si>
  <si>
    <t>ATS000:prk_South_Am-nb</t>
  </si>
  <si>
    <t>ATS000:prk_South_Am</t>
  </si>
  <si>
    <t>ATS000:prk_Central_Am-r</t>
  </si>
  <si>
    <t>ATS000:prk_Central_Am-w</t>
  </si>
  <si>
    <t>ATS000:prk_Central_Am-n</t>
  </si>
  <si>
    <t>ATS000:prk_Central_Am</t>
  </si>
  <si>
    <t>ATS000:prk_Canada-rj</t>
  </si>
  <si>
    <t>ATS000:prk_Canada-wb</t>
  </si>
  <si>
    <t>ATS000:prk_Canada-nb</t>
  </si>
  <si>
    <t>ATS000:prk_Canada</t>
  </si>
  <si>
    <t>ATS000:prk_USRegional</t>
  </si>
  <si>
    <t>ATS000:prk_USWideBody</t>
  </si>
  <si>
    <t>ATS000:prk_USNarrowBody</t>
  </si>
  <si>
    <t>ATS000:prk_U.S.Total</t>
  </si>
  <si>
    <t>Aircraft Parked Stock</t>
  </si>
  <si>
    <t>ATS000:act_WorldTotal</t>
  </si>
  <si>
    <t>ATS000:act_Oceania-rj</t>
  </si>
  <si>
    <t>ATS000:act_Oceania-wb</t>
  </si>
  <si>
    <t>ATS000:act_Oceania-nb</t>
  </si>
  <si>
    <t>ATS000:act_Oceania</t>
  </si>
  <si>
    <t>ATS000:act_SW_Asia-rj</t>
  </si>
  <si>
    <t>ATS000:act_SW_Asia-wb</t>
  </si>
  <si>
    <t>ATS000:act_SW_Asia-nb</t>
  </si>
  <si>
    <t>ATS000:act_SW_Asia</t>
  </si>
  <si>
    <t>ATS000:act_SE_Asia-rj</t>
  </si>
  <si>
    <t>ATS000:act_SE_Asia-wb</t>
  </si>
  <si>
    <t>ATS000:act_SE_Asia-nb</t>
  </si>
  <si>
    <t>ATS000:act_SE_Asia</t>
  </si>
  <si>
    <t>ATS000:act_NE_Asia-rj</t>
  </si>
  <si>
    <t>ATS000:act_NE_Asia-wb</t>
  </si>
  <si>
    <t>ATS000:act_NE_Asia-nb</t>
  </si>
  <si>
    <t>ATS000:act_NE_Asia</t>
  </si>
  <si>
    <t>ATS000:act_China-rj</t>
  </si>
  <si>
    <t>ATS000:act_China-wb</t>
  </si>
  <si>
    <t>ATS000:act_China-nb</t>
  </si>
  <si>
    <t>ATS000:act_China</t>
  </si>
  <si>
    <t>ATS000:act_Russia-rj</t>
  </si>
  <si>
    <t>ATS000:act_Russia-wb</t>
  </si>
  <si>
    <t>ATS000:act_Russia-nb</t>
  </si>
  <si>
    <t>ATS000:act_Russia</t>
  </si>
  <si>
    <t>ATS000:act_Mideast-rj</t>
  </si>
  <si>
    <t>ATS000:act_Mideast-wb</t>
  </si>
  <si>
    <t>ATS000:act_Mideast-nb</t>
  </si>
  <si>
    <t>ATS000:act_Mideast</t>
  </si>
  <si>
    <t>ATS000:act_Africa-rj</t>
  </si>
  <si>
    <t>ATS000:act_Africa-wb</t>
  </si>
  <si>
    <t>ATS000:act_Africa-nb</t>
  </si>
  <si>
    <t>ATS000:act_Africa</t>
  </si>
  <si>
    <t>ATS000:act_Europe-rj</t>
  </si>
  <si>
    <t>ATS000:act_Europe-wb</t>
  </si>
  <si>
    <t>ATS000:act_Europe-nb</t>
  </si>
  <si>
    <t>ATS000:act_Europe</t>
  </si>
  <si>
    <t>ATS000:act_South_Am-rj</t>
  </si>
  <si>
    <t>ATS000:act_South_Am-wb</t>
  </si>
  <si>
    <t>ATS000:act_South_Am-nb</t>
  </si>
  <si>
    <t>ATS000:act_South_Am</t>
  </si>
  <si>
    <t>ATS000:act_Central_Am-r</t>
  </si>
  <si>
    <t>ATS000:act_Central_Am-w</t>
  </si>
  <si>
    <t>ATS000:act_Central_Am-n</t>
  </si>
  <si>
    <t>ATS000:act_Central_Am</t>
  </si>
  <si>
    <t>ATS000:act_Canada-rj</t>
  </si>
  <si>
    <t>ATS000:act_Canada-wb</t>
  </si>
  <si>
    <t>ATS000:act_Canada-nb</t>
  </si>
  <si>
    <t>ATS000:act_Canada</t>
  </si>
  <si>
    <t>ATS000:act_USRegional</t>
  </si>
  <si>
    <t>ATS000:act_USWideBody</t>
  </si>
  <si>
    <t>ATS000:act_USNarrowBody</t>
  </si>
  <si>
    <t>ATS000:act_U.S.Total</t>
  </si>
  <si>
    <t>Aircraft Active Stock</t>
  </si>
  <si>
    <t>ATS000:stk_WorldTotal</t>
  </si>
  <si>
    <t>ATS000:stk_Oceania-rj</t>
  </si>
  <si>
    <t>ATS000:stk_Oceania-wb</t>
  </si>
  <si>
    <t>ATS000:stk_Oceania-nb</t>
  </si>
  <si>
    <t>ATS000:stk_Oceania</t>
  </si>
  <si>
    <t>ATS000:stk_SW_Asia-rj</t>
  </si>
  <si>
    <t>ATS000:stk_SW_Asia-wb</t>
  </si>
  <si>
    <t>ATS000:stk_SW_Asia-nb</t>
  </si>
  <si>
    <t>ATS000:stk_SW_Asia</t>
  </si>
  <si>
    <t>ATS000:stk_SE_Asia-rj</t>
  </si>
  <si>
    <t>ATS000:stk_SE_Asia-wb</t>
  </si>
  <si>
    <t>ATS000:stk_SE_Asia-nb</t>
  </si>
  <si>
    <t>ATS000:stk_SE_Asia</t>
  </si>
  <si>
    <t>ATS000:stk_NE_Asia-rj</t>
  </si>
  <si>
    <t>ATS000:stk_NE_Asia-wb</t>
  </si>
  <si>
    <t>ATS000:stk_NE_Asia-nb</t>
  </si>
  <si>
    <t>ATS000:stk_NE_Asia</t>
  </si>
  <si>
    <t>ATS000:stk_China-rj</t>
  </si>
  <si>
    <t>ATS000:stk_China-wb</t>
  </si>
  <si>
    <t>ATS000:stk_China-nb</t>
  </si>
  <si>
    <t>ATS000:stk_China</t>
  </si>
  <si>
    <t>ATS000:stk_Russia-rj</t>
  </si>
  <si>
    <t>ATS000:stk_Russia-wb</t>
  </si>
  <si>
    <t>ATS000:stk_Russia-nb</t>
  </si>
  <si>
    <t>ATS000:stk_Russia</t>
  </si>
  <si>
    <t>ATS000:stk_Mideast-rj</t>
  </si>
  <si>
    <t>ATS000:stk_Mideast-wb</t>
  </si>
  <si>
    <t>ATS000:stk_Mideast-nb</t>
  </si>
  <si>
    <t>ATS000:stk_Mideast</t>
  </si>
  <si>
    <t>ATS000:stk_Africa-rj</t>
  </si>
  <si>
    <t>ATS000:stk_Africa-wb</t>
  </si>
  <si>
    <t>ATS000:stk_Africa-nb</t>
  </si>
  <si>
    <t>ATS000:stk_Africa</t>
  </si>
  <si>
    <t>ATS000:stk_Europe-rj</t>
  </si>
  <si>
    <t>ATS000:stk_Europe-wb</t>
  </si>
  <si>
    <t>ATS000:stk_Europe-nb</t>
  </si>
  <si>
    <t>ATS000:stk_Europe</t>
  </si>
  <si>
    <t>ATS000:stk_South_Am-rj</t>
  </si>
  <si>
    <t>ATS000:stk_South_Am-wb</t>
  </si>
  <si>
    <t>ATS000:stk_South_Am-nb</t>
  </si>
  <si>
    <t>ATS000:stk_South_Am</t>
  </si>
  <si>
    <t>ATS000:stk_Central_Am-r</t>
  </si>
  <si>
    <t>ATS000:stk_Central_Am-w</t>
  </si>
  <si>
    <t>ATS000:stk_Central_Am-n</t>
  </si>
  <si>
    <t>ATS000:stk_Central_Am</t>
  </si>
  <si>
    <t>ATS000:stk_Canada-rj</t>
  </si>
  <si>
    <t>ATS000:stk_Canada-wb</t>
  </si>
  <si>
    <t>ATS000:stk_Canada-nb</t>
  </si>
  <si>
    <t>ATS000:stk_Canada</t>
  </si>
  <si>
    <t>ATS000:stk_USRegional</t>
  </si>
  <si>
    <t>ATS000:stk_USWideBody</t>
  </si>
  <si>
    <t>ATS000:stk_USNarrowBody</t>
  </si>
  <si>
    <t>ATS000:stk_U.S.Total</t>
  </si>
  <si>
    <t>Aircraft Stock</t>
  </si>
  <si>
    <t>ATS000</t>
  </si>
  <si>
    <t>share of active aircraft that are passenger aircraft</t>
  </si>
  <si>
    <t>share of active aircraft that are cargo aircraft</t>
  </si>
  <si>
    <t>Aircraft shares by cargo type</t>
  </si>
  <si>
    <t>aircraft</t>
  </si>
  <si>
    <t>EIA</t>
  </si>
  <si>
    <t>https://www.eia.gov/outlooks/aeo/tables_ref.cfm</t>
  </si>
  <si>
    <t>HDVs</t>
  </si>
  <si>
    <t>Ratios of New Vehicle Fuel Economy to Fleet Average Fuel Economy</t>
  </si>
  <si>
    <t>freight ships</t>
  </si>
  <si>
    <t>Freight ship efficiency (for domestic shipping) is available directly from AEO 7.  We</t>
  </si>
  <si>
    <t>calculated as noted above.</t>
  </si>
  <si>
    <t>to fleet average ship fuel economy is not available, we multiply by that ratio for aircraft,</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</si>
  <si>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</si>
  <si>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</si>
  <si>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</si>
  <si>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</si>
  <si>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</si>
  <si>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</si>
  <si>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</si>
  <si>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</si>
  <si>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</si>
  <si>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</si>
  <si>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</si>
  <si>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</si>
  <si>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</si>
  <si>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</si>
  <si>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</si>
  <si>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</si>
  <si>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U.S. Coast Guard</t>
  </si>
  <si>
    <t>National Recreational Boating Survey 2012</t>
  </si>
  <si>
    <t>http://www.uscgboating.org/library/recreational-boating-servey/2012survey%20report.pdf</t>
  </si>
  <si>
    <t>Page 63, Table 40</t>
  </si>
  <si>
    <t>Sources: AEO 48, AEO 49</t>
  </si>
  <si>
    <t>Sources: AEO 7, AEO 48, AEO 49</t>
  </si>
  <si>
    <t>See Notes section for which vehicle types use which sources</t>
  </si>
  <si>
    <t>freight rail</t>
  </si>
  <si>
    <t>Freight rail efficiency is available directly from AEO 7.  Since a ratio of new rail fuel</t>
  </si>
  <si>
    <t>economy to fleet average rail fuel economy is not available, we multiply by the</t>
  </si>
  <si>
    <t>ratio for aircraft, as noted above.</t>
  </si>
  <si>
    <t>passenger rail</t>
  </si>
  <si>
    <t>freight and passenger aircraft</t>
  </si>
  <si>
    <r>
      <t>1985: Amtrak,</t>
    </r>
    <r>
      <rPr>
        <i/>
        <sz val="9"/>
        <rFont val="Arial"/>
        <family val="2"/>
      </rPr>
      <t xml:space="preserve"> Amtrak FY95 Annual Report </t>
    </r>
    <r>
      <rPr>
        <sz val="9"/>
        <rFont val="Arial"/>
        <family val="2"/>
      </rPr>
      <t xml:space="preserve">(Washington, DC: 1996), Statistical Appendix, page 4. </t>
    </r>
  </si>
  <si>
    <r>
      <t xml:space="preserve">1960-80: Association of American Railroads, </t>
    </r>
    <r>
      <rPr>
        <i/>
        <sz val="9"/>
        <rFont val="Arial"/>
        <family val="2"/>
      </rPr>
      <t>Railroad Facts</t>
    </r>
    <r>
      <rPr>
        <sz val="9"/>
        <rFont val="Arial"/>
        <family val="2"/>
      </rPr>
      <t xml:space="preserve"> (Washington, DC: Annual Issues).</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</si>
  <si>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</si>
  <si>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t>All other data:</t>
  </si>
  <si>
    <t>1993-95: American Public Transit Association, personal communication, Aug. 13, 2001.</t>
  </si>
  <si>
    <t>1992: American Public Transit Association, personal communication, July 19, 2000.</t>
  </si>
  <si>
    <t>Ferryboat:</t>
  </si>
  <si>
    <t>Transit:</t>
  </si>
  <si>
    <t>Highway:</t>
  </si>
  <si>
    <r>
      <t xml:space="preserve">1960: Civil Aeronautics Board, </t>
    </r>
    <r>
      <rPr>
        <i/>
        <sz val="9"/>
        <rFont val="Arial"/>
        <family val="2"/>
      </rPr>
      <t xml:space="preserve">Handbook of Airline Statistics, 1969 </t>
    </r>
    <r>
      <rPr>
        <sz val="9"/>
        <rFont val="Arial"/>
        <family val="2"/>
      </rPr>
      <t>(Washington, DC: 1970), part III, table 2.</t>
    </r>
  </si>
  <si>
    <t>Air:</t>
  </si>
  <si>
    <t>SOURCES</t>
  </si>
  <si>
    <t>Numbers may not add to totals due to rounding.</t>
  </si>
  <si>
    <r>
      <t xml:space="preserve">Transit </t>
    </r>
    <r>
      <rPr>
        <sz val="9"/>
        <rFont val="Arial"/>
        <family val="2"/>
      </rPr>
      <t>data from 1996 and after are not comparable to the data for earlier years or to the data published in previous editions of the report due to different data sources used.</t>
    </r>
  </si>
  <si>
    <t>The FHWA estimates national trends by using State reported Highway Performance and Monitoring System (HPMS) data, fuel consumption data, vehicle registration data, other data such as the R. L. Polk vehicle data, and a host of modeling techniques.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</si>
  <si>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</si>
  <si>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NOTES</t>
  </si>
  <si>
    <t>U</t>
  </si>
  <si>
    <t>Commuter rail</t>
  </si>
  <si>
    <t>Rail</t>
  </si>
  <si>
    <t>Heavy rail</t>
  </si>
  <si>
    <t>Truck, combination</t>
  </si>
  <si>
    <t>N</t>
  </si>
  <si>
    <t>Highway, total</t>
  </si>
  <si>
    <t>Air</t>
  </si>
  <si>
    <t xml:space="preserve">Table 1-40:  U.S. Passenger-Miles (Millions) </t>
  </si>
  <si>
    <t>Bureau of Transportation Statistics</t>
  </si>
  <si>
    <t>National Transportation Statistics</t>
  </si>
  <si>
    <t>Table 1-40</t>
  </si>
  <si>
    <t>https://www.rita.dot.gov/bts/sites/rita.dot.gov.bts/files/publications/national_transportation_statistics/index.html</t>
  </si>
  <si>
    <t>freight motorbikes</t>
  </si>
  <si>
    <t>This vehicle type is not used in the U.S. model.</t>
  </si>
  <si>
    <t>TEU000</t>
  </si>
  <si>
    <t>TEU000:ba_Light-DutyVeh</t>
  </si>
  <si>
    <t>TEU000:ba_Automobiles</t>
  </si>
  <si>
    <t>TEU000:ba_LightTrucks</t>
  </si>
  <si>
    <t>TEU000:ba_Motorcycles</t>
  </si>
  <si>
    <t>TEU000:ba_CommercialLig</t>
  </si>
  <si>
    <t>TEU000:ba_Buses</t>
  </si>
  <si>
    <t>TEU000:ba_Transit</t>
  </si>
  <si>
    <t>TEU000:ba_Intercity</t>
  </si>
  <si>
    <t>TEU000:ba_School</t>
  </si>
  <si>
    <t>TEU000:ba_FreightTrucks</t>
  </si>
  <si>
    <t>TEU000:ba_Large(&gt;26000p</t>
  </si>
  <si>
    <t>TEU000:ca_Air</t>
  </si>
  <si>
    <t>TEU000:ca_GeneralAviati</t>
  </si>
  <si>
    <t>TEU000:ca_DomesticAirCa</t>
  </si>
  <si>
    <t>TEU000:ca_International</t>
  </si>
  <si>
    <t>TEU000:ca_FreightCarrie</t>
  </si>
  <si>
    <t>TEU000:ca_Water</t>
  </si>
  <si>
    <t>TEU000:ca_Freight</t>
  </si>
  <si>
    <t>TEU000:ca_DomesticShipp</t>
  </si>
  <si>
    <t>TEU000:da_International</t>
  </si>
  <si>
    <t>TEU000:da_RecreationalB</t>
  </si>
  <si>
    <t>TEU000:da_Rail</t>
  </si>
  <si>
    <t>TEU000:da_Freight</t>
  </si>
  <si>
    <t>TEU000:da_Passenger</t>
  </si>
  <si>
    <t>TEU000:da_Intercity</t>
  </si>
  <si>
    <t>TEU000:da_Transit</t>
  </si>
  <si>
    <t>TEU000:da_Commuter</t>
  </si>
  <si>
    <t>TEU000:da_Lubricants</t>
  </si>
  <si>
    <t>TEU000:da_PipelineFuelN</t>
  </si>
  <si>
    <t>TEU000:ea_MilitaryUse</t>
  </si>
  <si>
    <t>TEU000:ea_Aviation</t>
  </si>
  <si>
    <t>TEU000:ea_ResidualFuelU</t>
  </si>
  <si>
    <t>TEU000:ea_DistillateFue</t>
  </si>
  <si>
    <t>TEU000:fa_Total</t>
  </si>
  <si>
    <t>Total</t>
  </si>
  <si>
    <t>Energy Use by Type</t>
  </si>
  <si>
    <t>TEU000:ga_MotorGasoline</t>
  </si>
  <si>
    <t>TEU000:ga_Ethanol</t>
  </si>
  <si>
    <t>TEU000:ga_Distillate(di</t>
  </si>
  <si>
    <t>TEU000:ga_JetFuel(keros</t>
  </si>
  <si>
    <t>TEU000:ga_ResidualOil</t>
  </si>
  <si>
    <t>TEU000:ga_AviationGasol</t>
  </si>
  <si>
    <t>TEU000:ga_LiquefiedPetr</t>
  </si>
  <si>
    <t>TEU000:ga_Lubricants</t>
  </si>
  <si>
    <t>TEU000:ga_PetroleumSubt</t>
  </si>
  <si>
    <t>TEU000:ga_Methanol</t>
  </si>
  <si>
    <t>TEU000:ga_Electricity</t>
  </si>
  <si>
    <t>TEU000:ga_CompressedNat</t>
  </si>
  <si>
    <t>TEU000:ga_LiquidHydroge</t>
  </si>
  <si>
    <t>TEU000:ga_PipelineFuelN</t>
  </si>
  <si>
    <t>TEU000:ha_TotalConsumpt</t>
  </si>
  <si>
    <t>Total Consumption</t>
  </si>
  <si>
    <t>passenger LDVs</t>
  </si>
  <si>
    <t>freight LDVs</t>
  </si>
  <si>
    <t>passenger HDVs</t>
  </si>
  <si>
    <t>freight HDVs</t>
  </si>
  <si>
    <t>Perc Reduction in Fuel Use for Electricity</t>
  </si>
  <si>
    <t>For sources and calculations, see the variable BTFURfE.</t>
  </si>
  <si>
    <t>Perc of Electricity Use for Plug-In Hybrid Vehicles</t>
  </si>
  <si>
    <t>electricity share</t>
  </si>
  <si>
    <t>For source, see the variable BPoEFUbVT.</t>
  </si>
  <si>
    <t>LDVs and motorbikes</t>
  </si>
  <si>
    <t>For sources and calculations, see the variable AVLo.</t>
  </si>
  <si>
    <t>BTU per Gallon Liquid Fuels</t>
  </si>
  <si>
    <t>gasoline</t>
  </si>
  <si>
    <t>diesel</t>
  </si>
  <si>
    <t>https://www.eia.gov/energyexplained/index.cfm/index.cfm?page=about_energy_units</t>
  </si>
  <si>
    <t>Source:</t>
  </si>
  <si>
    <t>Energy Explained: Units and Calculators</t>
  </si>
  <si>
    <t>Vehicle Loadings (in people or freight tons / vehicle)</t>
  </si>
  <si>
    <t>FTE000:sa_ElEnGee</t>
  </si>
  <si>
    <t>FTE000:sa_SeeEnGee</t>
  </si>
  <si>
    <t>FTE000:sa_ResidualOil</t>
  </si>
  <si>
    <t>FTE000:sa_Distillate(di</t>
  </si>
  <si>
    <t>FTE000:sa_Imports(billi</t>
  </si>
  <si>
    <t>FTE000:sa_Exports(billi</t>
  </si>
  <si>
    <t>FTE000:sa_GrossTrade(bi</t>
  </si>
  <si>
    <t>International Shipping</t>
  </si>
  <si>
    <t>FTE000:ra_ElEnGee</t>
  </si>
  <si>
    <t>FTE000:ra_MotorGasoline</t>
  </si>
  <si>
    <t>FTE000:ra_ResidualOil</t>
  </si>
  <si>
    <t>FTE000:ra_Distillate(di</t>
  </si>
  <si>
    <t>FTE000:ra_FuelEfficienc</t>
  </si>
  <si>
    <t>FTE000:ra_TonMilesShipp</t>
  </si>
  <si>
    <t>Domestic Shipping</t>
  </si>
  <si>
    <t>FTE000:qa_ElEnGee</t>
  </si>
  <si>
    <t>FTE000:qa_Electricity</t>
  </si>
  <si>
    <t>FTE000:qa_ResidualOil</t>
  </si>
  <si>
    <t>FTE000:qa_Distillate(di</t>
  </si>
  <si>
    <t>FTE000:qa_FuelEfficienc</t>
  </si>
  <si>
    <t>FTE000:qa_TonMilesbyRai</t>
  </si>
  <si>
    <t>Railroads</t>
  </si>
  <si>
    <t>FTE000:pa_TotalSales</t>
  </si>
  <si>
    <t>FTE000:pa_HeavySubtotal</t>
  </si>
  <si>
    <t>FTE000:pa_fuelcell</t>
  </si>
  <si>
    <t>FTE000:pa_plugingasolin</t>
  </si>
  <si>
    <t>FTE000:pa_plugindiesel</t>
  </si>
  <si>
    <t>FTE000:pa_electric</t>
  </si>
  <si>
    <t>FTE000:pa_ethanolflex</t>
  </si>
  <si>
    <t>FTE000:pa_CompressedNat</t>
  </si>
  <si>
    <t>FTE000:pa_LiquefiedPetr</t>
  </si>
  <si>
    <t>FTE000:pa_Gasoline</t>
  </si>
  <si>
    <t>FTE000:pa_Diesel</t>
  </si>
  <si>
    <t>FTE000:oa_MediumSubtota</t>
  </si>
  <si>
    <t>FTE000:oa_fuelcell</t>
  </si>
  <si>
    <t>FTE000:oa_plugingasolin</t>
  </si>
  <si>
    <t>FTE000:oa_plugindiesel</t>
  </si>
  <si>
    <t>FTE000:oa_electric</t>
  </si>
  <si>
    <t>FTE000:oa_ethanolflex</t>
  </si>
  <si>
    <t>FTE000:oa_CompressedNat</t>
  </si>
  <si>
    <t>FTE000:oa_LiquefiedPetr</t>
  </si>
  <si>
    <t>FTE000:oa_Gasoline</t>
  </si>
  <si>
    <t>FTE000:oa_Diesel</t>
  </si>
  <si>
    <t>FTE000:lm_sal_new_total</t>
  </si>
  <si>
    <t>FTE000:lm_sal_new_FlCll</t>
  </si>
  <si>
    <t>FTE000:lm_sal_new_PiGH</t>
  </si>
  <si>
    <t>FTE000:lm_sal_new_PiDH</t>
  </si>
  <si>
    <t>FTE000:lm_sal_new_lctrc</t>
  </si>
  <si>
    <t>FTE000:lm_sal_new_flxfl</t>
  </si>
  <si>
    <t>FTE000:lm_sal_new_NGas</t>
  </si>
  <si>
    <t>FTE000:lm_sal_new_Liq</t>
  </si>
  <si>
    <t>FTE000:lm_sal_new_Gas</t>
  </si>
  <si>
    <t>FTE000:lm_sal_new_Dies</t>
  </si>
  <si>
    <t>FTE000:na_Average</t>
  </si>
  <si>
    <t>FTE000:na_HeavyAverage</t>
  </si>
  <si>
    <t>FTE000:na_fuelcell</t>
  </si>
  <si>
    <t>FTE000:na_plugingasolin</t>
  </si>
  <si>
    <t>FTE000:na_plugindiesel</t>
  </si>
  <si>
    <t>FTE000:na_electric</t>
  </si>
  <si>
    <t>FTE000:na_ethanolflex</t>
  </si>
  <si>
    <t>FTE000:na_CompressedNat</t>
  </si>
  <si>
    <t>FTE000:na_LiquefiedPetr</t>
  </si>
  <si>
    <t>FTE000:na_Gasoline</t>
  </si>
  <si>
    <t>FTE000:na_Diesel</t>
  </si>
  <si>
    <t>FTE000:ma_MediumAverage</t>
  </si>
  <si>
    <t>FTE000:ma_fuelcell</t>
  </si>
  <si>
    <t>FTE000:ma_plugingasolin</t>
  </si>
  <si>
    <t>FTE000:ma_plugindiesel</t>
  </si>
  <si>
    <t>FTE000:ma_electric</t>
  </si>
  <si>
    <t>FTE000:ma_ethanolflex</t>
  </si>
  <si>
    <t>FTE000:ma_CompressedNat</t>
  </si>
  <si>
    <t>FTE000:ma_LiquefiedPetr</t>
  </si>
  <si>
    <t>FTE000:ma_Gasoline</t>
  </si>
  <si>
    <t>FTE000:ma_Diesel</t>
  </si>
  <si>
    <t>FTE000:lm_mpg_new_total</t>
  </si>
  <si>
    <t>FTE000:lm_mpg_new_FuCel</t>
  </si>
  <si>
    <t>FTE000:lm_mpg_new_PlgGs</t>
  </si>
  <si>
    <t>FTE000:lm_mpg_new_PlgDs</t>
  </si>
  <si>
    <t>FTE000:lm_mpg_new_lectr</t>
  </si>
  <si>
    <t>FTE000:lm_mpg_new_Ethfl</t>
  </si>
  <si>
    <t>FTE000:lm_mpg_new_NGas</t>
  </si>
  <si>
    <t>FTE000:lm_mpg_new_Liq</t>
  </si>
  <si>
    <t>FTE000:lm_mpg_new_Gas</t>
  </si>
  <si>
    <t>FTE000:lm_mpg_new_Dies</t>
  </si>
  <si>
    <t>New Trucks by Size Class</t>
  </si>
  <si>
    <t>FTE000:ka_TotalStock</t>
  </si>
  <si>
    <t>FTE000:ka_HeavySubtotal</t>
  </si>
  <si>
    <t>FTE000:ka_fuelcell</t>
  </si>
  <si>
    <t>FTE000:ka_plugingasolin</t>
  </si>
  <si>
    <t>FTE000:ka_plugindiesel</t>
  </si>
  <si>
    <t>FTE000:ka_electric</t>
  </si>
  <si>
    <t>FTE000:ka_ethanolflex</t>
  </si>
  <si>
    <t>FTE000:ka_CompressedNat</t>
  </si>
  <si>
    <t>FTE000:ka_LiquefiedPetr</t>
  </si>
  <si>
    <t>FTE000:ka_Gasoline</t>
  </si>
  <si>
    <t>FTE000:ka_Diesel</t>
  </si>
  <si>
    <t>FTE000:ja_MediumSubtota</t>
  </si>
  <si>
    <t>FTE000:ja_fuelcell</t>
  </si>
  <si>
    <t>FTE000:ja_plugingasolin</t>
  </si>
  <si>
    <t>FTE000:ja_plugindiesel</t>
  </si>
  <si>
    <t>FTE000:ja_electric</t>
  </si>
  <si>
    <t>FTE000:ja_ethanolflex</t>
  </si>
  <si>
    <t>FTE000:ja_CompressedNat</t>
  </si>
  <si>
    <t>FTE000:ja_LiquefiedPetr</t>
  </si>
  <si>
    <t>FTE000:ja_Gasoline</t>
  </si>
  <si>
    <t>FTE000:ja_Diesel</t>
  </si>
  <si>
    <t>FTE000:lm_stk_stk_total</t>
  </si>
  <si>
    <t>FTE000:lm_stk_stk_FuelC</t>
  </si>
  <si>
    <t>FTE000:lm_stk_stk_inGas</t>
  </si>
  <si>
    <t>FTE000:lm_stk_stk_inDie</t>
  </si>
  <si>
    <t>FTE000:lm_stk_stk_el</t>
  </si>
  <si>
    <t>FTE000:lm_stk_stk_flux</t>
  </si>
  <si>
    <t>FTE000:lm_stk_stk_NGas</t>
  </si>
  <si>
    <t>FTE000:lm_stk_stk_Liq</t>
  </si>
  <si>
    <t>FTE000:lm_stk_stk_Gas</t>
  </si>
  <si>
    <t>FTE000:lm_stk_stk_Dies</t>
  </si>
  <si>
    <t>FTE000:ia_Average</t>
  </si>
  <si>
    <t>FTE000:ia_HeavyAverage</t>
  </si>
  <si>
    <t>FTE000:ia_fuelcell</t>
  </si>
  <si>
    <t>FTE000:ia_plugingasolin</t>
  </si>
  <si>
    <t>FTE000:ia_plugindiesel</t>
  </si>
  <si>
    <t>FTE000:ia_electric</t>
  </si>
  <si>
    <t>FTE000:ia_ethanolflex</t>
  </si>
  <si>
    <t>FTE000:ia_CompressedNat</t>
  </si>
  <si>
    <t>FTE000:ia_LiquefiedPetr</t>
  </si>
  <si>
    <t>FTE000:ia_Gasoline</t>
  </si>
  <si>
    <t>FTE000:ia_Diesel</t>
  </si>
  <si>
    <t>FTE000:ha_MediumAverage</t>
  </si>
  <si>
    <t>FTE000:ha_fuelcell</t>
  </si>
  <si>
    <t>FTE000:ha_plugingasolin</t>
  </si>
  <si>
    <t>FTE000:ha_plugindiesel</t>
  </si>
  <si>
    <t>FTE000:ha_electric</t>
  </si>
  <si>
    <t>FTE000:ha_ethanolflex</t>
  </si>
  <si>
    <t>FTE000:ha_CompressedNat</t>
  </si>
  <si>
    <t>FTE000:ha_LiquefiedPetr</t>
  </si>
  <si>
    <t>FTE000:ha_Gasoline</t>
  </si>
  <si>
    <t>FTE000:ha_Diesel</t>
  </si>
  <si>
    <t>FTE000:lm_mpg_stk_total</t>
  </si>
  <si>
    <t>FTE000:lm_mpg_stk_cel</t>
  </si>
  <si>
    <t>FTE000:lm_mpg_stk_gashy</t>
  </si>
  <si>
    <t>FTE000:lm_mpg_stk_diehy</t>
  </si>
  <si>
    <t>FTE000:lm_mpg_stk_eleck</t>
  </si>
  <si>
    <t>FTE000:lm_mpg_stk_fleck</t>
  </si>
  <si>
    <t>FTE000:lm_mpg_stk_NGas</t>
  </si>
  <si>
    <t>FTE000:lm_mpg_stk_Liq</t>
  </si>
  <si>
    <t>FTE000:lm_mpg_stk_Gas</t>
  </si>
  <si>
    <t>FTE000:lm_mpg_stk_Dies</t>
  </si>
  <si>
    <t>FTE000:ga_Total</t>
  </si>
  <si>
    <t>FTE000:ga_fuelcell</t>
  </si>
  <si>
    <t>FTE000:ga_plugingasolin</t>
  </si>
  <si>
    <t>FTE000:ga_plugindiesel</t>
  </si>
  <si>
    <t>FTE000:ga_electric</t>
  </si>
  <si>
    <t>FTE000:ga_ethanolflex</t>
  </si>
  <si>
    <t>FTE000:ga_CompressedNat</t>
  </si>
  <si>
    <t>FTE000:ga_LiquefiedPetr</t>
  </si>
  <si>
    <t>FTE000:ga_Gasoline</t>
  </si>
  <si>
    <t>FTE000:ga_Diesel</t>
  </si>
  <si>
    <t>FTE000:fa_HeavySubtotal</t>
  </si>
  <si>
    <t>FTE000:fa_fuelcell</t>
  </si>
  <si>
    <t>FTE000:fa_plugingasolin</t>
  </si>
  <si>
    <t>FTE000:fa_plugindiesel</t>
  </si>
  <si>
    <t>FTE000:fa_electric</t>
  </si>
  <si>
    <t>FTE000:fa_ethanolflex</t>
  </si>
  <si>
    <t>FTE000:fa_CompressedNat</t>
  </si>
  <si>
    <t>FTE000:fa_LiquefiedPetr</t>
  </si>
  <si>
    <t>FTE000:fa_Gasoline</t>
  </si>
  <si>
    <t>FTE000:fa_Diesel</t>
  </si>
  <si>
    <t>FTE000:ea_MediumSubtota</t>
  </si>
  <si>
    <t>FTE000:ea_fuelcell</t>
  </si>
  <si>
    <t>FTE000:ea_plugingasolin</t>
  </si>
  <si>
    <t>FTE000:ea_plugindiesel</t>
  </si>
  <si>
    <t>FTE000:ea_electric</t>
  </si>
  <si>
    <t>FTE000:ea_ethanolflex</t>
  </si>
  <si>
    <t>FTE000:ea_CompressedNat</t>
  </si>
  <si>
    <t>FTE000:ea_LiquefiedPetr</t>
  </si>
  <si>
    <t>FTE000:ea_Gasoline</t>
  </si>
  <si>
    <t>FTE000:ea_Diesel</t>
  </si>
  <si>
    <t>FTE000:lm_use_stk_total</t>
  </si>
  <si>
    <t>FTE000:lm_use_stk_sell</t>
  </si>
  <si>
    <t>FTE000:lm_use_stk_plugg</t>
  </si>
  <si>
    <t>FTE000:lm_use_stk_plugd</t>
  </si>
  <si>
    <t>FTE000:lm_use_stk_elect</t>
  </si>
  <si>
    <t>FTE000:lm_use_stk_flex</t>
  </si>
  <si>
    <t>FTE000:lm_use_stk_NGas</t>
  </si>
  <si>
    <t>FTE000:lm_use_stk_Liq</t>
  </si>
  <si>
    <t>FTE000:lm_use_stk_Gas</t>
  </si>
  <si>
    <t>FTE000:lm_use_stk_Dies</t>
  </si>
  <si>
    <t>FTE000:da_TotalVehicleM</t>
  </si>
  <si>
    <t>FTE000:da_HeavySubtotal</t>
  </si>
  <si>
    <t>FTE000:da_fuelcell</t>
  </si>
  <si>
    <t>FTE000:da_plugingasolin</t>
  </si>
  <si>
    <t>FTE000:da_plugindiesel</t>
  </si>
  <si>
    <t>FTE000:da_electric</t>
  </si>
  <si>
    <t>FTE000:da_ethanolflex</t>
  </si>
  <si>
    <t>FTE000:da_CompressedNat</t>
  </si>
  <si>
    <t>FTE000:da_LiquefiedPetr</t>
  </si>
  <si>
    <t>FTE000:da_Gasoline</t>
  </si>
  <si>
    <t>FTE000:da_Diesel</t>
  </si>
  <si>
    <t>FTE000:ca_MediumSubtota</t>
  </si>
  <si>
    <t>FTE000:ca_fuelcell</t>
  </si>
  <si>
    <t>FTE000:ca_plugingasolin</t>
  </si>
  <si>
    <t>FTE000:ca_plugindiesel</t>
  </si>
  <si>
    <t>FTE000:ca_electric</t>
  </si>
  <si>
    <t>FTE000:ca_ethanolflex</t>
  </si>
  <si>
    <t>FTE000:ca_CompressedNat</t>
  </si>
  <si>
    <t>FTE000:ca_LiquefiedPetr</t>
  </si>
  <si>
    <t>FTE000:ca_Gasoline</t>
  </si>
  <si>
    <t>FTE000:ca_Diesel</t>
  </si>
  <si>
    <t>FTE000:lm_vmt_stk_total</t>
  </si>
  <si>
    <t>FTE000:lm_vmt_stk_cell</t>
  </si>
  <si>
    <t>FTE000:lm_vmt_stk_pigh</t>
  </si>
  <si>
    <t>FTE000:lm_vmt_stk_pidh</t>
  </si>
  <si>
    <t>FTE000:lm_vmt_stk_elec</t>
  </si>
  <si>
    <t>FTE000:lm_vmt_stk_eff</t>
  </si>
  <si>
    <t>FTE000:lm_vmt_stk_NGas</t>
  </si>
  <si>
    <t>FTE000:lm_vmt_stk_Liq</t>
  </si>
  <si>
    <t>FTE000:lm_vmt_stk_Gas</t>
  </si>
  <si>
    <t>FTE000:lm_vmt_stk_Dies</t>
  </si>
  <si>
    <t>Freight Truck Stock by Size Class</t>
  </si>
  <si>
    <t>FTE000</t>
  </si>
  <si>
    <t>Others as noted on "Calculations Etc" tab</t>
  </si>
  <si>
    <t>TKI000:buspassmiles</t>
  </si>
  <si>
    <t xml:space="preserve">   Bus Transportation</t>
  </si>
  <si>
    <t>TKI000:railpassmiles</t>
  </si>
  <si>
    <t xml:space="preserve">   Passenger Rail</t>
  </si>
  <si>
    <t>TEU000:ba_LightMedium</t>
  </si>
  <si>
    <t>TEU000:ba_Medium</t>
  </si>
  <si>
    <t xml:space="preserve"> (billion passenger miles traveled)</t>
  </si>
  <si>
    <t xml:space="preserve">    Pipeline Fuel</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</si>
  <si>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</si>
  <si>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</si>
  <si>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</si>
  <si>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</si>
  <si>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</si>
  <si>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</si>
  <si>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</si>
  <si>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</si>
  <si>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</si>
  <si>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</si>
  <si>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</si>
  <si>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LPG vehicle</t>
  </si>
  <si>
    <t>hydrogen vehicle</t>
  </si>
  <si>
    <t>This variable gives fuel economy for new vehicles in units of cargo distance per BTU.</t>
  </si>
  <si>
    <t>Fuel Economy (thing*miles/BTU)</t>
  </si>
  <si>
    <t>Passenger HDV Fleet Fuel Economy (AEO 7)</t>
  </si>
  <si>
    <t>passgnermiles/btu</t>
  </si>
  <si>
    <t>Annual Energy Outlook 2020</t>
  </si>
  <si>
    <t>NTS_YR</t>
  </si>
  <si>
    <t>LDVs</t>
  </si>
  <si>
    <t>rail</t>
  </si>
  <si>
    <t>ships</t>
  </si>
  <si>
    <t>motorbikes</t>
  </si>
  <si>
    <t>U.S. Department of Energy</t>
  </si>
  <si>
    <t>Fuel Cells Fact Sheet</t>
  </si>
  <si>
    <t>https://www.energy.gov/sites/prod/files/2015/11/f27/fcto_fuel_cells_fact_sheet.pdf</t>
  </si>
  <si>
    <t>MPG000</t>
  </si>
  <si>
    <t>(miles per gallon gasoline equivalent)</t>
  </si>
  <si>
    <t>MPG000:ba_GasolineICEVe</t>
  </si>
  <si>
    <t>MPG000:ba_TDIDieselICE</t>
  </si>
  <si>
    <t>MPG000:ca_Ethanol-FlexF</t>
  </si>
  <si>
    <t>MPG000:ca_100mileEV</t>
  </si>
  <si>
    <t>MPG000:ca_ElectricVehic</t>
  </si>
  <si>
    <t>MPG000:ea_FuelCellGasol</t>
  </si>
  <si>
    <t>MPG000:ca_Plug-inGasoli</t>
  </si>
  <si>
    <t>MPG000:ca_Plug-in40Hybd</t>
  </si>
  <si>
    <t>MPG000:ca_Electric-Dies</t>
  </si>
  <si>
    <t>MPG000:ca_Electric-Gaso</t>
  </si>
  <si>
    <t>MPG000:ca_CompressedNat</t>
  </si>
  <si>
    <t>MPG000:da_CompressedNat</t>
  </si>
  <si>
    <t>MPG000:da_LiquefiedPetr</t>
  </si>
  <si>
    <t>MPG000:ea_LiquefiedPetr</t>
  </si>
  <si>
    <t>MPG000:ea_FuelCellMetha</t>
  </si>
  <si>
    <t>MPG000:ea_FuelCellHydro</t>
  </si>
  <si>
    <t>MPG000:fa_TotalNewCarSa</t>
  </si>
  <si>
    <t>MPG000:ga_GasolineICEVe</t>
  </si>
  <si>
    <t>MPG000:ga_TDIDieselICE</t>
  </si>
  <si>
    <t>MPG000:ha_Ethanol-FlexF</t>
  </si>
  <si>
    <t>MPG000:ha_100mileEV</t>
  </si>
  <si>
    <t>MPG000:ha_ElectricVehic</t>
  </si>
  <si>
    <t>MPG000:ja_FuelCellGasol</t>
  </si>
  <si>
    <t>MPG000:ha_Plug-inGasoli</t>
  </si>
  <si>
    <t>MPG000:ha_Plug-in40Hybd</t>
  </si>
  <si>
    <t>MPG000:ha_Electric-Dies</t>
  </si>
  <si>
    <t>MPG000:ha_Electric-Gaso</t>
  </si>
  <si>
    <t>MPG000:ha_CompressedNat</t>
  </si>
  <si>
    <t>MPG000:ia_CompressedNat</t>
  </si>
  <si>
    <t>MPG000:ia_LiquefiedPetr</t>
  </si>
  <si>
    <t>MPG000:ja_LiquefiedPetr</t>
  </si>
  <si>
    <t>MPG000:ja_FuelCellMetha</t>
  </si>
  <si>
    <t>MPG000:ja_FuelCellHydro</t>
  </si>
  <si>
    <t>MPG000:ka_TotalNewTruck</t>
  </si>
  <si>
    <t>MPG000:na_AverageNewTru</t>
  </si>
  <si>
    <t>Average New Vehicle Miles per Gallon</t>
  </si>
  <si>
    <t>MPG000:oa_FleetAverageS</t>
  </si>
  <si>
    <t>MPG000:pa_FleetAverageS</t>
  </si>
  <si>
    <t>MPG000:qa_FleetAverageS</t>
  </si>
  <si>
    <t>MPG000:allallnew</t>
  </si>
  <si>
    <t>MPG000:allallstock</t>
  </si>
  <si>
    <t>TST000</t>
  </si>
  <si>
    <t>TST000:ba_GasolineICEVe</t>
  </si>
  <si>
    <t>TST000:ba_TDIDieselICE</t>
  </si>
  <si>
    <t>TST000:ba_TotalConventi</t>
  </si>
  <si>
    <t>TST000:ca_Ethanol-FlexF</t>
  </si>
  <si>
    <t>TST000:ca_100mileEV</t>
  </si>
  <si>
    <t>TST000:ca_ElectricVehic</t>
  </si>
  <si>
    <t>TST000:ea_FuelCellGasol</t>
  </si>
  <si>
    <t>TST000:ca_Plug-inGasoli</t>
  </si>
  <si>
    <t>TST000:ca_Plug-in40Hybd</t>
  </si>
  <si>
    <t>TST000:ca_Electric-Dies</t>
  </si>
  <si>
    <t>TST000:ca_Electric-Gaso</t>
  </si>
  <si>
    <t>TST000:ca_CompressedNat</t>
  </si>
  <si>
    <t>TST000:da_CompressedNat</t>
  </si>
  <si>
    <t>TST000:da_LiquefiedPetr</t>
  </si>
  <si>
    <t>TST000:ea_LiquefiedPetr</t>
  </si>
  <si>
    <t>TST000:ea_FuelCellMetha</t>
  </si>
  <si>
    <t>TST000:ea_FuelCellHydro</t>
  </si>
  <si>
    <t>TST000:ea_TotalAlternat</t>
  </si>
  <si>
    <t>TST000:fa_PercentAltern</t>
  </si>
  <si>
    <t>Percent Alternative Car Sales</t>
  </si>
  <si>
    <t>TST000:fa_TotalNewCarSa</t>
  </si>
  <si>
    <t>Total New Car Sales</t>
  </si>
  <si>
    <t>TST000:ga_GasolineICEVe</t>
  </si>
  <si>
    <t>TST000:ga_TDIDieselICE</t>
  </si>
  <si>
    <t>TST000:ga_TotalConventi</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</si>
  <si>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</si>
  <si>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</si>
  <si>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</si>
  <si>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</si>
  <si>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</si>
  <si>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</si>
  <si>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</si>
  <si>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</si>
  <si>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</si>
  <si>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</si>
  <si>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</si>
  <si>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</si>
  <si>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</si>
  <si>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</si>
  <si>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</si>
  <si>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TST000:ka_PercentAltern</t>
  </si>
  <si>
    <t>Percent Alternative Light Truck Sales</t>
  </si>
  <si>
    <t>TST000:ka_TotalNewTruck</t>
  </si>
  <si>
    <t>Total New Light Truck Sales</t>
  </si>
  <si>
    <t>TST000:la_PercentTotalA</t>
  </si>
  <si>
    <t>Percent Total Alternative Sales</t>
  </si>
  <si>
    <t>TST000:la_EPACTLegislat</t>
  </si>
  <si>
    <t>EPACT Legislative  Alternative Sales</t>
  </si>
  <si>
    <t>TST000:la_ZEVPLegislati</t>
  </si>
  <si>
    <t>ZEVP Legislative Alternative Sales</t>
  </si>
  <si>
    <t>TST000:ta_ConventionGas</t>
  </si>
  <si>
    <t>TST000:ta_TDIDiesel</t>
  </si>
  <si>
    <t>TST000:ta_Flex-Fuel</t>
  </si>
  <si>
    <t>TST000:ta_PlugElectric</t>
  </si>
  <si>
    <t>TST000:ta_PluginHybrid</t>
  </si>
  <si>
    <t>TST000:ta_ElectricHybrd</t>
  </si>
  <si>
    <t>TST000:ta_GassyGaseous</t>
  </si>
  <si>
    <t>TST000:ta_FuelCell</t>
  </si>
  <si>
    <t>TST000:ma_TotalVehicles</t>
  </si>
  <si>
    <t>Total Vehicles Sales</t>
  </si>
  <si>
    <t>TST000:mh_ConventionGas</t>
  </si>
  <si>
    <t>TST000:mh_TDIDiesel</t>
  </si>
  <si>
    <t>TST000:</t>
  </si>
  <si>
    <t>Total Alternative-Fueled Vehicle Sales</t>
  </si>
  <si>
    <t>Passenger LDV Fuel Economy - Gasoline Vehicles</t>
  </si>
  <si>
    <t>AEO 38</t>
  </si>
  <si>
    <t>AEO 40</t>
  </si>
  <si>
    <t>(thousands of car sales)</t>
  </si>
  <si>
    <t>AEO 7</t>
  </si>
  <si>
    <t>(Ratio of tested to on-road)</t>
  </si>
  <si>
    <t>Ratio of on-road to new fuel efficiency</t>
  </si>
  <si>
    <t>Estimated weighted average on-road fuel economy</t>
  </si>
  <si>
    <t>Weighted average new vehicle fuel economy</t>
  </si>
  <si>
    <t>billion passenger miles - passenger rail</t>
  </si>
  <si>
    <t>Passenger rail</t>
  </si>
  <si>
    <t>TEF000</t>
  </si>
  <si>
    <t>TEF000:ba_Total</t>
  </si>
  <si>
    <t>Light-Duty Vehicle</t>
  </si>
  <si>
    <t>TEF000:ba_MotorGasoline</t>
  </si>
  <si>
    <t>TEF000:ba_Ethanol</t>
  </si>
  <si>
    <t>TEF000:ba_Distillate(di</t>
  </si>
  <si>
    <t>TEF000:ba_CompressedNat</t>
  </si>
  <si>
    <t>TEF000:ba_LiquefiedPetr</t>
  </si>
  <si>
    <t>TEF000:ba_Electricity</t>
  </si>
  <si>
    <t>TEF000:ba_LiquidHydroge</t>
  </si>
  <si>
    <t>TEF000:ca_CommercialLig</t>
  </si>
  <si>
    <t>TEF000:clt_MotorGas</t>
  </si>
  <si>
    <t>TEF000:clt_e85</t>
  </si>
  <si>
    <t>TEF000:clt_Diesel</t>
  </si>
  <si>
    <t>TEF000:clt_propane</t>
  </si>
  <si>
    <t>TEF000:clt_natural_gas</t>
  </si>
  <si>
    <t>TEF000:clt_electricity</t>
  </si>
  <si>
    <t>TEF000:clt_hydrogen</t>
  </si>
  <si>
    <t>TEF000:da_Total</t>
  </si>
  <si>
    <t>TEF000:da_MotorGasoline</t>
  </si>
  <si>
    <t>TEF000:da_Distillate(di</t>
  </si>
  <si>
    <t>TEF000:da_CompressedNat</t>
  </si>
  <si>
    <t>TEF000:da_LiquefiedPetr</t>
  </si>
  <si>
    <t>TEF000:ft_eeeeeeeeeee85</t>
  </si>
  <si>
    <t>TEF000:ft_electricity</t>
  </si>
  <si>
    <t>TEF000:ft_hydrogen</t>
  </si>
  <si>
    <t>TEF000:ea_Total</t>
  </si>
  <si>
    <t>TEF000:ea_Distillate(di</t>
  </si>
  <si>
    <t>TEF000:ea_ResidualOil</t>
  </si>
  <si>
    <t>TEF000:ea_SeeEnGee</t>
  </si>
  <si>
    <t>TEF000:ea_LiquidNG</t>
  </si>
  <si>
    <t>TEF000:fa_Total</t>
  </si>
  <si>
    <t>TEF000:fa_Distillate(di</t>
  </si>
  <si>
    <t>TEF000:fa_ResidualOil</t>
  </si>
  <si>
    <t>TEF000:fa_MotorGasoline</t>
  </si>
  <si>
    <t>TEF000:fa_LiquidNG</t>
  </si>
  <si>
    <t>TEF000:ga_Total</t>
  </si>
  <si>
    <t>TEF000:ga_Distillate(di</t>
  </si>
  <si>
    <t>TEF000:ga_ResidualOil</t>
  </si>
  <si>
    <t>TEF000:ga_SeeEnGee</t>
  </si>
  <si>
    <t>TEF000:ga_LiquidNG</t>
  </si>
  <si>
    <t>TEF000:ha_Total</t>
  </si>
  <si>
    <t>Air Transportation</t>
  </si>
  <si>
    <t>TEF000:ha_JetFuel</t>
  </si>
  <si>
    <t>TEF000:ha_AviationGasol</t>
  </si>
  <si>
    <t>TEF000:ia_Total</t>
  </si>
  <si>
    <t>Military Use</t>
  </si>
  <si>
    <t>TEF000:ia_JetFuel</t>
  </si>
  <si>
    <t>TEF000:ia_ResidualFuel</t>
  </si>
  <si>
    <t>TEF000:ia_Distillate</t>
  </si>
  <si>
    <t>TEF000:ja_Total</t>
  </si>
  <si>
    <t>Bus Transportation</t>
  </si>
  <si>
    <t>TEF000:bus_transit_tot</t>
  </si>
  <si>
    <t>TEF000:ja_TransitBus(mo</t>
  </si>
  <si>
    <t>TEF000:bus_transit_e85</t>
  </si>
  <si>
    <t>TEF000:ja_TransitBus(di</t>
  </si>
  <si>
    <t>TEF000:bus_transit_CNG</t>
  </si>
  <si>
    <t>TEF000:bus_transit_LPG</t>
  </si>
  <si>
    <t>TEF000:bus_transit_elec</t>
  </si>
  <si>
    <t>TEF000:bus_transit_hydr</t>
  </si>
  <si>
    <t>TEF000:bus_inter_total</t>
  </si>
  <si>
    <t>TEF000:bus_inter_motor</t>
  </si>
  <si>
    <t>TEF000:bus_inter_e85</t>
  </si>
  <si>
    <t>TEF000:ja_IntercityBus(</t>
  </si>
  <si>
    <t>TEF000:bus_inter_CNG</t>
  </si>
  <si>
    <t>TEF000:bus_inter_LPG</t>
  </si>
  <si>
    <t>TEF000:bus_inter_elec</t>
  </si>
  <si>
    <t>TEF000:bus_inter_hydrog</t>
  </si>
  <si>
    <t>TEF000:bus_school_total</t>
  </si>
  <si>
    <t>TEF000:ja_SchoolBus(mot</t>
  </si>
  <si>
    <t>TEF000:bus_school_e85</t>
  </si>
  <si>
    <t>TEF000:ja_SchoolBus(die</t>
  </si>
  <si>
    <t>TEF000:bus_school_CNG</t>
  </si>
  <si>
    <t>TEF000:bus_school_LPG</t>
  </si>
  <si>
    <t>TEF000:bus_school_elec</t>
  </si>
  <si>
    <t>TEF000:bus_school_hydro</t>
  </si>
  <si>
    <t>TEF000:ma_Total</t>
  </si>
  <si>
    <t>Rail Transportation</t>
  </si>
  <si>
    <t>TEF000:ka_IntercityRail</t>
  </si>
  <si>
    <t>TEF000:ka_InterElect</t>
  </si>
  <si>
    <t>TEF000:la_InterDiesel</t>
  </si>
  <si>
    <t>TEF000:la_InterCNG</t>
  </si>
  <si>
    <t>TEF000:la_InterLNG</t>
  </si>
  <si>
    <t>TEF000:la_TransitRail</t>
  </si>
  <si>
    <t>TEF000:la_TransitElect</t>
  </si>
  <si>
    <t>TEF000:ma_CommuterRail</t>
  </si>
  <si>
    <t>TEF000:ma_CommuteElect</t>
  </si>
  <si>
    <t>TEF000:ma_CommuteDiesel</t>
  </si>
  <si>
    <t>TEF000:ma_CommuteCNG</t>
  </si>
  <si>
    <t>TEF000:ma_CommuteLNG</t>
  </si>
  <si>
    <t>TEF000:na_RecreationBoa</t>
  </si>
  <si>
    <t>Recreational Boats</t>
  </si>
  <si>
    <t>TEF000:na_RecreateGas</t>
  </si>
  <si>
    <t>TEF000:na_RecreateDies</t>
  </si>
  <si>
    <t>TEF000:na_Lubricants</t>
  </si>
  <si>
    <t>Lubricants</t>
  </si>
  <si>
    <t>TEF000:na_PipelineFuelN</t>
  </si>
  <si>
    <t>Pipeline Fuel Natural Gas</t>
  </si>
  <si>
    <t>TEF000:pa_TotalConsumpt</t>
  </si>
  <si>
    <t>estimated fuel economy (passenger miles/btu) - electric</t>
  </si>
  <si>
    <t>estimated fuel economy (passenger miles/btu) - diesel</t>
  </si>
  <si>
    <t>energy use by mode (BTU) - rail, passenger, electric</t>
  </si>
  <si>
    <t>energy use by mode (BTU) - rail, passenger, diesel</t>
  </si>
  <si>
    <t>Efficiency electric</t>
  </si>
  <si>
    <t>Efficiency diesel</t>
  </si>
  <si>
    <t>Electric BTUs * efficiency</t>
  </si>
  <si>
    <t>Diesel BTUs * efficiency</t>
  </si>
  <si>
    <t>Fuel Economy - Passenger Rail</t>
  </si>
  <si>
    <t>Source: https://www.eesi.org/articles/view/electrification-of-u.s.-railways-pie-in-the-sky-or-realistic-goal</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</si>
  <si>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</si>
  <si>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</si>
  <si>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</si>
  <si>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</si>
  <si>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</si>
  <si>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Fuel Economy - Passenger HDV</t>
  </si>
  <si>
    <t>energy use by mode (BTU) - rail, passenger, other</t>
  </si>
  <si>
    <t>Other efficiency adjustment</t>
  </si>
  <si>
    <t>Electric efficiency adjustment</t>
  </si>
  <si>
    <t>estimated fuel economy (passenger miles/btu) - other</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</si>
  <si>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</si>
  <si>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</si>
  <si>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We divide the passenger-miles for each technology by the energy demand for the respective technologies.</t>
  </si>
  <si>
    <t>Sources: AEO 7, 36, and others as noted on "Calculations Etc" tab</t>
  </si>
  <si>
    <t>Sources: AEO 7, 36, others as noted on "Calculations Etc" tab</t>
  </si>
  <si>
    <t>Since a ratio of new ship fuel economy</t>
  </si>
  <si>
    <t>use this value to represent all freight shipping. We hold it constant through 2050,</t>
  </si>
  <si>
    <t>as we find incorporating the domestic shipping efficiency improvements results in</t>
  </si>
  <si>
    <t>undercounting energy use (as reported in AEO Table 7) in later years.</t>
  </si>
  <si>
    <t>Fuel Economy (freight ton*miles/BTU)</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</si>
  <si>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</si>
  <si>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</si>
  <si>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</si>
  <si>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</si>
  <si>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</si>
  <si>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</si>
  <si>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</si>
  <si>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</si>
  <si>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</si>
  <si>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</si>
  <si>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</si>
  <si>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</si>
  <si>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</si>
  <si>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</si>
  <si>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</si>
  <si>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</si>
  <si>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</si>
  <si>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</si>
  <si>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</si>
  <si>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</si>
  <si>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</si>
  <si>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</si>
  <si>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</si>
  <si>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</si>
  <si>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</si>
  <si>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</si>
  <si>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</si>
  <si>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</si>
  <si>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</si>
  <si>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</si>
  <si>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</si>
  <si>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</si>
  <si>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</si>
  <si>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</si>
  <si>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previous versions of this table.</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</si>
  <si>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</si>
  <si>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</si>
  <si>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</si>
  <si>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</si>
  <si>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</si>
  <si>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</si>
  <si>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</si>
  <si>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</si>
  <si>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</si>
  <si>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</si>
  <si>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</si>
  <si>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</si>
  <si>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</si>
  <si>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</si>
  <si>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</si>
  <si>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</si>
  <si>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</si>
  <si>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</si>
  <si>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</si>
  <si>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</si>
  <si>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highogs.d120120a</t>
  </si>
  <si>
    <t>Annual Energy Outlook 2021</t>
  </si>
  <si>
    <t>ref2021</t>
  </si>
  <si>
    <t>d113020a</t>
  </si>
  <si>
    <t xml:space="preserve"> January 2021</t>
  </si>
  <si>
    <t>Compound</t>
  </si>
  <si>
    <t xml:space="preserve"> Growth </t>
  </si>
  <si>
    <t xml:space="preserve">2020-2050 </t>
  </si>
  <si>
    <t>(percent)</t>
  </si>
  <si>
    <t>1/ Commercial trucks 8,501 to 10,000 pounds gross vehicle weight rating.</t>
  </si>
  <si>
    <t>2/ CAFE standard based on projected new vehicle sales.</t>
  </si>
  <si>
    <t>3/ Includes CAFE credits for alternative fueled vehicle sales and credit banking.</t>
  </si>
  <si>
    <t>4/ Environmental Protection Agency rated miles per gallon.</t>
  </si>
  <si>
    <t>5/ Tested new vehicle efficiency revised for on-road performance.</t>
  </si>
  <si>
    <t>6/ Combined "on-the-road" estimate for all cars and light trucks.</t>
  </si>
  <si>
    <t>CAFE = Corporate average fuel economy.</t>
  </si>
  <si>
    <t>Btu = British thermal unit.</t>
  </si>
  <si>
    <t>Note:  Totals may not equal sum of components due to independent rounding.</t>
  </si>
  <si>
    <t>Sources: 2020:  U.S. Energy Information Administration (EIA), Short-Term Energy Outlook, October 2020 and EIA,</t>
  </si>
  <si>
    <t>AEO2021 National Energy Modeling System run highogs.d120120a. Projections:  EIA, AEO2021 National Energy Modeling System run highogs.d120120a.</t>
  </si>
  <si>
    <t>Table 35.  Transportation Sector Energy Use by Mode and Type</t>
  </si>
  <si>
    <t>https://www.eia.gov/outlooks/aeo/data/browser/#/?id=45-AEO2021&amp;region=0-0&amp;cases=highogs&amp;start=2019&amp;end=2050&amp;f=A&amp;sourcekey=0</t>
  </si>
  <si>
    <t>Tue Mar 09 2021 10:51:32 GMT-0800 (Pacific Standard Time)</t>
  </si>
  <si>
    <t>Source: U.S. Energy Information Administration</t>
  </si>
  <si>
    <t>full name</t>
  </si>
  <si>
    <t>Highway</t>
  </si>
  <si>
    <t>Light-Duty Vehicles</t>
  </si>
  <si>
    <t>Transportation Energy Use: Highway: Light-Duty Vehicles: High oil and gas supply</t>
  </si>
  <si>
    <t>Automobiles</t>
  </si>
  <si>
    <t>Transportation Energy Use: Highway: Light-Duty Vehicles: Automobiles: High oil and gas supply</t>
  </si>
  <si>
    <t>Light Trucks</t>
  </si>
  <si>
    <t>Transportation Energy Use: Highway: Light-Duty Vehicles: Light Trucks: High oil and gas supply</t>
  </si>
  <si>
    <t>Motorcycles</t>
  </si>
  <si>
    <t>Transportation Energy Use: Highway: Light-Duty Vehicles: Motorcycles: High oil and gas supply</t>
  </si>
  <si>
    <t>Commercial Light Trucks</t>
  </si>
  <si>
    <t>Transportation Energy Use: Highway: Commercial Light Trucks: High oil and gas supply</t>
  </si>
  <si>
    <t>Buses</t>
  </si>
  <si>
    <t>Transportation Energy Use: Highway: Buses: High oil and gas supply</t>
  </si>
  <si>
    <t>Transit</t>
  </si>
  <si>
    <t>Transportation Energy Use: Highway: Buses: Transit: High oil and gas supply</t>
  </si>
  <si>
    <t>Intercity</t>
  </si>
  <si>
    <t>Transportation Energy Use: Highway: Buses: Intercity: High oil and gas supply</t>
  </si>
  <si>
    <t>School</t>
  </si>
  <si>
    <t>Transportation Energy Use: Highway: Buses: School: High oil and gas supply</t>
  </si>
  <si>
    <t>Freight Trucks</t>
  </si>
  <si>
    <t>Transportation Energy Use: Highway: Freight Trucks: High oil and gas supply</t>
  </si>
  <si>
    <t>Light Medium</t>
  </si>
  <si>
    <t>Transportation Energy Use: Highway: Freight Trucks: Light Medium: High oil and gas supply</t>
  </si>
  <si>
    <t>Medium</t>
  </si>
  <si>
    <t>Transportation Energy Use: Highway: Freight Trucks: Medium: High oil and gas supply</t>
  </si>
  <si>
    <t>Large  (&gt; 26000 pounds)</t>
  </si>
  <si>
    <t>Transportation Energy Use: Highway: Freight Trucks: Large: High oil and gas supply</t>
  </si>
  <si>
    <t>Non-Highway</t>
  </si>
  <si>
    <t>Transportation Energy Use: Non-Highway: Air: High oil and gas supply</t>
  </si>
  <si>
    <t>General Aviation</t>
  </si>
  <si>
    <t>Transportation Energy Use: Non-Highway: Air: General Aviation: High oil and gas supply</t>
  </si>
  <si>
    <t>Domestic Passenger</t>
  </si>
  <si>
    <t>Transportation Energy Use: Non-Highway: Air: Domestic Passenger: High oil and gas supply</t>
  </si>
  <si>
    <t>International Passenger</t>
  </si>
  <si>
    <t>Transportation Energy Use: Non-Highway: Air: International Passenger: High oil and gas supply</t>
  </si>
  <si>
    <t>Dedicated Freight</t>
  </si>
  <si>
    <t>Transportation Energy Use: Non-Highway: Air: Dedicated Freight: High oil and gas supply</t>
  </si>
  <si>
    <t>Water</t>
  </si>
  <si>
    <t>Transportation Energy Use: Non-Highway: Water: High oil and gas supply</t>
  </si>
  <si>
    <t>Freight</t>
  </si>
  <si>
    <t>Transportation Energy Use: Non-Highway: Water: Freight: High oil and gas supply</t>
  </si>
  <si>
    <t>Transportation Energy Use: Non-Highway: Water: Freight: Domestic Shipping: High oil and gas supply</t>
  </si>
  <si>
    <t>Transportation Energy Use: Non-Highway: Water: Freight: International Shipping: High oil and gas supply</t>
  </si>
  <si>
    <t>Transportation Energy Use: Non-Highway: Water: Recreational Boats: High oil and gas supply</t>
  </si>
  <si>
    <t>Transportation Energy Use: Non-Highway: Rail: High oil and gas supply</t>
  </si>
  <si>
    <t>Transportation Energy Use: Non-Highway: Rail: Freight: High oil and gas supply</t>
  </si>
  <si>
    <t>Passenger</t>
  </si>
  <si>
    <t>Transportation Energy Use: Non-Highway: Rail: Passenger: High oil and gas supply</t>
  </si>
  <si>
    <t>Transportation Energy Use: Non-Highway: Rail: Passenger: Intercity: High oil and gas supply</t>
  </si>
  <si>
    <t>Transportation Energy Use: Non-Highway: Rail: Passenger: Transit: High oil and gas supply</t>
  </si>
  <si>
    <t>Commuter</t>
  </si>
  <si>
    <t>Transportation Energy Use: Non-Highway: Rail: Passenger: Commuter: High oil and gas supply</t>
  </si>
  <si>
    <t>Transportation Energy Use: Non-Highway: Lubricants: High oil and gas supply</t>
  </si>
  <si>
    <t>Transportation Energy Use: Non-Highway: Pipeline Fuel Natural Gas: High oil and gas supply</t>
  </si>
  <si>
    <t>Transportation Energy Use: Military Use: High oil and gas supply</t>
  </si>
  <si>
    <t>Jet Fuel and Aviation Gasoline</t>
  </si>
  <si>
    <t>Transportation Energy Use: Military Use: Aviation: High oil and gas supply</t>
  </si>
  <si>
    <t>Residual Fuel Oil</t>
  </si>
  <si>
    <t>Transportation Energy Use: Military Use: Residual Fuel Oil: High oil and gas supply</t>
  </si>
  <si>
    <t>Distillates and Diesel</t>
  </si>
  <si>
    <t>Transportation Energy Use: Military Use: Distillate Fuel Oil: High oil and gas supply</t>
  </si>
  <si>
    <t>Transportation Energy Use: Total: High oil and gas supply</t>
  </si>
  <si>
    <t>Motor Gasoline excluding E85</t>
  </si>
  <si>
    <t>Transportation Energy Use: Petroleum: Motor Gasoline: High oil and gas supply</t>
  </si>
  <si>
    <t>E85</t>
  </si>
  <si>
    <t>Transportation Energy Use: E85: High oil and gas supply</t>
  </si>
  <si>
    <t>Diesel</t>
  </si>
  <si>
    <t>Transportation Energy Use: Petroleum: Diesel: High oil and gas supply</t>
  </si>
  <si>
    <t>Jet Fuel (kerosene &amp; naphtha)</t>
  </si>
  <si>
    <t>Transportation Energy Use: Petroleum: Jet Fuel: High oil and gas supply</t>
  </si>
  <si>
    <t>Transportation Energy Use: Petroleum: Residual Fuel Oil: High oil and gas supply</t>
  </si>
  <si>
    <t>Aviation Gasoline</t>
  </si>
  <si>
    <t>Transportation Energy Use: Petroleum: Aviation Gasoline: High oil and gas supply</t>
  </si>
  <si>
    <t>Propane</t>
  </si>
  <si>
    <t>Transportation Energy Use: Petroleum: Propane: High oil and gas supply</t>
  </si>
  <si>
    <t>Transportation Energy Use: Petroleum: Lubricants: High oil and gas supply</t>
  </si>
  <si>
    <t>Petroleum and Other Liquids Subtotal</t>
  </si>
  <si>
    <t>Transportation Energy Use: Petroleum Subtotal: High oil and gas supply</t>
  </si>
  <si>
    <t>M85</t>
  </si>
  <si>
    <t>Transportation Energy Use: M85: High oil and gas supply</t>
  </si>
  <si>
    <t>Electricity</t>
  </si>
  <si>
    <t>Transportation Energy Use: Electricity: High oil and gas supply</t>
  </si>
  <si>
    <t>Compressed/Liquefied Natural Gas</t>
  </si>
  <si>
    <t>Transportation Energy Use: Natural Gas: High oil and gas supply</t>
  </si>
  <si>
    <t>Hydrogen</t>
  </si>
  <si>
    <t>Transportation Energy Use: Hydrogen: High oil and gas supply</t>
  </si>
  <si>
    <t>Transportation Energy Use: Pipeline Fuel Natural Gas: High oil and gas supply</t>
  </si>
  <si>
    <t>Transportation: Total Energy Use: High oil and gas supply</t>
  </si>
  <si>
    <t>api key</t>
  </si>
  <si>
    <t>units</t>
  </si>
  <si>
    <t>Growth (2020-2050)</t>
  </si>
  <si>
    <t>45-AEO2021.2.</t>
  </si>
  <si>
    <t>45-AEO2021.3.</t>
  </si>
  <si>
    <t>45-AEO2021.4.highogs-d120120a</t>
  </si>
  <si>
    <t>trillion Btu</t>
  </si>
  <si>
    <t>45-AEO2021.5.highogs-d120120a</t>
  </si>
  <si>
    <t>45-AEO2021.6.highogs-d120120a</t>
  </si>
  <si>
    <t>45-AEO2021.7.highogs-d120120a</t>
  </si>
  <si>
    <t>45-AEO2021.8.highogs-d120120a</t>
  </si>
  <si>
    <t>45-AEO2021.9.highogs-d120120a</t>
  </si>
  <si>
    <t>45-AEO2021.10.highogs-d120120a</t>
  </si>
  <si>
    <t>45-AEO2021.11.highogs-d120120a</t>
  </si>
  <si>
    <t>45-AEO2021.12.highogs-d120120a</t>
  </si>
  <si>
    <t>45-AEO2021.13.highogs-d120120a</t>
  </si>
  <si>
    <t>45-AEO2021.14.highogs-d120120a</t>
  </si>
  <si>
    <t>45-AEO2021.15.highogs-d120120a</t>
  </si>
  <si>
    <t>45-AEO2021.16.highogs-d120120a</t>
  </si>
  <si>
    <t>45-AEO2021.18.</t>
  </si>
  <si>
    <t>45-AEO2021.19.highogs-d120120a</t>
  </si>
  <si>
    <t>45-AEO2021.20.highogs-d120120a</t>
  </si>
  <si>
    <t>45-AEO2021.21.highogs-d120120a</t>
  </si>
  <si>
    <t>45-AEO2021.22.highogs-d120120a</t>
  </si>
  <si>
    <t>45-AEO2021.23.highogs-d120120a</t>
  </si>
  <si>
    <t>45-AEO2021.24.highogs-d120120a</t>
  </si>
  <si>
    <t>45-AEO2021.25.highogs-d120120a</t>
  </si>
  <si>
    <t>45-AEO2021.26.highogs-d120120a</t>
  </si>
  <si>
    <t>45-AEO2021.27.highogs-d120120a</t>
  </si>
  <si>
    <t>45-AEO2021.28.highogs-d120120a</t>
  </si>
  <si>
    <t>45-AEO2021.29.highogs-d120120a</t>
  </si>
  <si>
    <t>45-AEO2021.30.highogs-d120120a</t>
  </si>
  <si>
    <t>45-AEO2021.31.highogs-d120120a</t>
  </si>
  <si>
    <t>45-AEO2021.32.highogs-d120120a</t>
  </si>
  <si>
    <t>45-AEO2021.33.highogs-d120120a</t>
  </si>
  <si>
    <t>45-AEO2021.34.highogs-d120120a</t>
  </si>
  <si>
    <t>45-AEO2021.35.highogs-d120120a</t>
  </si>
  <si>
    <t>45-AEO2021.36.highogs-d120120a</t>
  </si>
  <si>
    <t>45-AEO2021.38.highogs-d120120a</t>
  </si>
  <si>
    <t>45-AEO2021.39.highogs-d120120a</t>
  </si>
  <si>
    <t>45-AEO2021.40.highogs-d120120a</t>
  </si>
  <si>
    <t>45-AEO2021.41.highogs-d120120a</t>
  </si>
  <si>
    <t>45-AEO2021.43.highogs-d120120a</t>
  </si>
  <si>
    <t>45-AEO2021.45.</t>
  </si>
  <si>
    <t>45-AEO2021.46.highogs-d120120a</t>
  </si>
  <si>
    <t>45-AEO2021.47.highogs-d120120a</t>
  </si>
  <si>
    <t>45-AEO2021.48.highogs-d120120a</t>
  </si>
  <si>
    <t>45-AEO2021.49.highogs-d120120a</t>
  </si>
  <si>
    <t>45-AEO2021.50.highogs-d120120a</t>
  </si>
  <si>
    <t>45-AEO2021.51.highogs-d120120a</t>
  </si>
  <si>
    <t>45-AEO2021.52.highogs-d120120a</t>
  </si>
  <si>
    <t>45-AEO2021.53.highogs-d120120a</t>
  </si>
  <si>
    <t>45-AEO2021.54.highogs-d120120a</t>
  </si>
  <si>
    <t>45-AEO2021.55.highogs-d120120a</t>
  </si>
  <si>
    <t>45-AEO2021.56.highogs-d120120a</t>
  </si>
  <si>
    <t>45-AEO2021.57.highogs-d120120a</t>
  </si>
  <si>
    <t>45-AEO2021.58.highogs-d120120a</t>
  </si>
  <si>
    <t>45-AEO2021.59.highogs-d120120a</t>
  </si>
  <si>
    <t>45-AEO2021.61.highogs-d120120a</t>
  </si>
  <si>
    <t>ORIGINAL EIA CODE</t>
  </si>
  <si>
    <t>Table 36.  Transportation Sector Energy Use by Fuel Type Within a Mode</t>
  </si>
  <si>
    <t>https://www.eia.gov/outlooks/aeo/data/browser/#/?id=46-AEO2021&amp;region=0-0&amp;cases=highogs&amp;start=2020&amp;end=2050&amp;f=A&amp;linechart=highogs-d120120a.2-46-AEO2021&amp;sourcekey=0</t>
  </si>
  <si>
    <t>Tue Mar 09 2021 10:55:36 GMT-0800 (Pacific Standard Time)</t>
  </si>
  <si>
    <t>Distillate Fuel Oil (diesel)</t>
  </si>
  <si>
    <t>Motor Gasoline</t>
  </si>
  <si>
    <t>Freight Rail</t>
  </si>
  <si>
    <t>Compressed Natural Gas</t>
  </si>
  <si>
    <t>Liquefied Natural Gas</t>
  </si>
  <si>
    <t>Residual Oil</t>
  </si>
  <si>
    <t>Jet Fuel</t>
  </si>
  <si>
    <t>Transit Bus</t>
  </si>
  <si>
    <t>Intercity Bus</t>
  </si>
  <si>
    <t>School Bus</t>
  </si>
  <si>
    <t>Intercity Rail</t>
  </si>
  <si>
    <t>Transit Rail</t>
  </si>
  <si>
    <t>Commuter Rail</t>
  </si>
  <si>
    <t>Gasoline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</si>
  <si>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</si>
  <si>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</si>
  <si>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</si>
  <si>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</si>
  <si>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</si>
  <si>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</si>
  <si>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</si>
  <si>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</si>
  <si>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</si>
  <si>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</si>
  <si>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</si>
  <si>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</si>
  <si>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</si>
  <si>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</si>
  <si>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</si>
  <si>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</si>
  <si>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</si>
  <si>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</si>
  <si>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</si>
  <si>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</si>
  <si>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</si>
  <si>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</si>
  <si>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</si>
  <si>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</si>
  <si>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</si>
  <si>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</si>
  <si>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</si>
  <si>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</si>
  <si>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</si>
  <si>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</si>
  <si>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</si>
  <si>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</si>
  <si>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</si>
  <si>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</si>
  <si>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</si>
  <si>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</si>
  <si>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</si>
  <si>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</si>
  <si>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</si>
  <si>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</si>
  <si>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</si>
  <si>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</si>
  <si>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</si>
  <si>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</si>
  <si>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</si>
  <si>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</si>
  <si>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</si>
  <si>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</si>
  <si>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</si>
  <si>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</si>
  <si>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</si>
  <si>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</si>
  <si>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</si>
  <si>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</si>
  <si>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</si>
  <si>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</si>
  <si>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</si>
  <si>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</si>
  <si>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</si>
  <si>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</si>
  <si>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</si>
  <si>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</si>
  <si>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</si>
  <si>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</si>
  <si>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</si>
  <si>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</si>
  <si>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</si>
  <si>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</si>
  <si>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</si>
  <si>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</si>
  <si>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</si>
  <si>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</si>
  <si>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</si>
  <si>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</si>
  <si>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</si>
  <si>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</si>
  <si>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</si>
  <si>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</si>
  <si>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</si>
  <si>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</si>
  <si>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</si>
  <si>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</si>
  <si>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</si>
  <si>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</si>
  <si>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</si>
  <si>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</si>
  <si>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</si>
  <si>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</si>
  <si>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</si>
  <si>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</si>
  <si>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</si>
  <si>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</si>
  <si>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</si>
  <si>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</si>
  <si>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</si>
  <si>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</si>
  <si>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</si>
  <si>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</si>
  <si>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</si>
  <si>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</si>
  <si>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</si>
  <si>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</si>
  <si>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</si>
  <si>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</si>
  <si>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</si>
  <si>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</si>
  <si>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</si>
  <si>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</si>
  <si>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</si>
  <si>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</si>
  <si>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</si>
  <si>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</si>
  <si>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</si>
  <si>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</si>
  <si>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</si>
  <si>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</si>
  <si>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</si>
  <si>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</si>
  <si>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</si>
  <si>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</si>
  <si>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</si>
  <si>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</si>
  <si>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</si>
  <si>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</si>
  <si>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</si>
  <si>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</si>
  <si>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</si>
  <si>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</si>
  <si>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</si>
  <si>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</si>
  <si>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</si>
  <si>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</si>
  <si>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</si>
  <si>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</si>
  <si>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</si>
  <si>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</si>
  <si>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</si>
  <si>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</si>
  <si>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</si>
  <si>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</si>
  <si>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</si>
  <si>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</si>
  <si>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</si>
  <si>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</si>
  <si>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</si>
  <si>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</si>
  <si>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</si>
  <si>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</si>
  <si>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</si>
  <si>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</si>
  <si>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</si>
  <si>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</si>
  <si>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</si>
  <si>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</si>
  <si>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</si>
  <si>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</si>
  <si>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</si>
  <si>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</si>
  <si>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</si>
  <si>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</si>
  <si>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</si>
  <si>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</si>
  <si>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</si>
  <si>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</si>
  <si>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</si>
  <si>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</si>
  <si>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</si>
  <si>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</si>
  <si>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</si>
  <si>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</si>
  <si>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</si>
  <si>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</si>
  <si>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</si>
  <si>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</si>
  <si>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</si>
  <si>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</si>
  <si>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</si>
  <si>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</si>
  <si>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</si>
  <si>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Table 38.  Light-Duty Vehicle Sales by Technology Type</t>
  </si>
  <si>
    <t>https://www.eia.gov/outlooks/aeo/data/browser/#/?id=48-AEO2021&amp;region=1-0&amp;cases=highogs&amp;start=2020&amp;end=2050&amp;f=A&amp;linechart=highogs-d120120a.4-48-AEO2021.1-0&amp;map=highogs-d120120a.5-48-AEO2021.1-0&amp;sourcekey=0</t>
  </si>
  <si>
    <t>Tue Mar 09 2021 12:43:15 GMT-0800 (Pacific Standard Time)</t>
  </si>
  <si>
    <t>New Car Sales</t>
  </si>
  <si>
    <t>Conventional Cars</t>
  </si>
  <si>
    <t>Gasoline ICE Vehicles</t>
  </si>
  <si>
    <t>TDI Diesel ICE</t>
  </si>
  <si>
    <t>Total Conventional Cars</t>
  </si>
  <si>
    <t>Alternative-Fuel Cars</t>
  </si>
  <si>
    <t>Ethanol-Flex Fuel ICE</t>
  </si>
  <si>
    <t>100 Mile Electric Vehicle</t>
  </si>
  <si>
    <t>200 Mile Electric Vehicle</t>
  </si>
  <si>
    <t>300 Mile Electric Vehicle</t>
  </si>
  <si>
    <t>Plug-in 10 Gasoline Hybrid</t>
  </si>
  <si>
    <t>Plug-in 40 Gasoline Hybrid</t>
  </si>
  <si>
    <t>Electric-Diesel Hybrid</t>
  </si>
  <si>
    <t>Electric-Gasoline Hybrid</t>
  </si>
  <si>
    <t>Natural Gas ICE</t>
  </si>
  <si>
    <t>Natural Gas Bi-fuel</t>
  </si>
  <si>
    <t>Propane ICE</t>
  </si>
  <si>
    <t>Propane Bi-fuel</t>
  </si>
  <si>
    <t>Fuel Cell Methanol</t>
  </si>
  <si>
    <t>Fuel Cell Hydrogen</t>
  </si>
  <si>
    <t>Total Alternative Cars</t>
  </si>
  <si>
    <t>New Light Truck Sales</t>
  </si>
  <si>
    <t>Conventional Light Trucks</t>
  </si>
  <si>
    <t>Total Conventional Light Trucks</t>
  </si>
  <si>
    <t>Alternative-Fuel Light Trucks</t>
  </si>
  <si>
    <t>Total Alternative Light Trucks</t>
  </si>
  <si>
    <t>Total Sales</t>
  </si>
  <si>
    <t>Conventional Gasoline</t>
  </si>
  <si>
    <t>TDI Diesel</t>
  </si>
  <si>
    <t>Flex-Fuel</t>
  </si>
  <si>
    <t>Electric</t>
  </si>
  <si>
    <t>Plug-in Electric Hybrid</t>
  </si>
  <si>
    <t>Electric Hybrid</t>
  </si>
  <si>
    <t>Gaseous (Propane and Natural Gas)</t>
  </si>
  <si>
    <t>Fuel Cell</t>
  </si>
  <si>
    <t>Conventional Gasoline Microhybrids</t>
  </si>
  <si>
    <t>TDI Diesel Microhybrids</t>
  </si>
  <si>
    <t>48-AEO2021.2.</t>
  </si>
  <si>
    <t>48-AEO2021.3.</t>
  </si>
  <si>
    <t>Light-Duty Vehicle Sales: Conventional Cars: Gasoline: High oil and gas supply</t>
  </si>
  <si>
    <t>48-AEO2021.4.highogs-d120120a</t>
  </si>
  <si>
    <t>thousands</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</si>
  <si>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</si>
  <si>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</si>
  <si>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</si>
  <si>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</si>
  <si>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</si>
  <si>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</si>
  <si>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</si>
  <si>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</si>
  <si>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</si>
  <si>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</si>
  <si>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</si>
  <si>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</si>
  <si>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</si>
  <si>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Light-Duty Vehicle Sales: Alternative-Fuel Cars: Plug-in 10 Gasoline Hybrid: High oil and gas supply</t>
  </si>
  <si>
    <t>48-AEO2021.13.highogs-d120120a</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</si>
  <si>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</si>
  <si>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</si>
  <si>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</si>
  <si>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</si>
  <si>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</si>
  <si>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</si>
  <si>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</si>
  <si>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</si>
  <si>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</si>
  <si>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</si>
  <si>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</si>
  <si>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</si>
  <si>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</si>
  <si>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</si>
  <si>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</si>
  <si>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</si>
  <si>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</si>
  <si>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</si>
  <si>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</si>
  <si>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</si>
  <si>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</si>
  <si>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percent</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</si>
  <si>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</si>
  <si>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</si>
  <si>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</si>
  <si>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</si>
  <si>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</si>
  <si>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</si>
  <si>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</si>
  <si>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</si>
  <si>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</si>
  <si>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</si>
  <si>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</si>
  <si>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</si>
  <si>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</si>
  <si>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</si>
  <si>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</si>
  <si>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</si>
  <si>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</si>
  <si>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</si>
  <si>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</si>
  <si>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</si>
  <si>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</si>
  <si>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</si>
  <si>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</si>
  <si>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</si>
  <si>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</si>
  <si>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</si>
  <si>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</si>
  <si>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</si>
  <si>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</si>
  <si>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</si>
  <si>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</si>
  <si>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</si>
  <si>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</si>
  <si>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</si>
  <si>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</si>
  <si>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</si>
  <si>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</si>
  <si>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</si>
  <si>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</si>
  <si>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</si>
  <si>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</si>
  <si>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</si>
  <si>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</si>
  <si>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</si>
  <si>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</si>
  <si>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</si>
  <si>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</si>
  <si>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</si>
  <si>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</si>
  <si>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</si>
  <si>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</si>
  <si>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 xml:space="preserve"> Cars and Light Trucks</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</si>
  <si>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</si>
  <si>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</si>
  <si>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</si>
  <si>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</si>
  <si>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</si>
  <si>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</si>
  <si>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</si>
  <si>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</si>
  <si>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</si>
  <si>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</si>
  <si>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</si>
  <si>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</si>
  <si>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</si>
  <si>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</si>
  <si>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</si>
  <si>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</si>
  <si>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</si>
  <si>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</si>
  <si>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</si>
  <si>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</si>
  <si>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</si>
  <si>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</si>
  <si>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</si>
  <si>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</si>
  <si>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</si>
  <si>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Table 40.  Light-Duty Vehicle Miles per Gallon by Technology Type</t>
  </si>
  <si>
    <t>https://www.eia.gov/outlooks/aeo/data/browser/#/?id=50-AEO2021&amp;region=0-0&amp;cases=highogs&amp;start=2020&amp;end=2050&amp;f=A&amp;linechart=highogs-d120120a.4-50-AEO2021&amp;sourcekey=0</t>
  </si>
  <si>
    <t>Tue Mar 09 2021 12:47:38 GMT-0800 (Pacific Standard Time)</t>
  </si>
  <si>
    <t>New Car Miles per Gallon</t>
  </si>
  <si>
    <t>Average New Cars Miles per Gallon</t>
  </si>
  <si>
    <t>New Light Truck Miles per Gallon</t>
  </si>
  <si>
    <t>Average Light Truck Miles per Gallon</t>
  </si>
  <si>
    <t>Average Car Stock Miles per Gallon</t>
  </si>
  <si>
    <t>Average Light Truck Stock Miles per Gallon</t>
  </si>
  <si>
    <t>Average Vehicle Stock Miles per Gallon</t>
  </si>
  <si>
    <t>Average New Vehicle Stock Miles per Gallon</t>
  </si>
  <si>
    <t>50-AEO2021.2.</t>
  </si>
  <si>
    <t>50-AEO2021.3.</t>
  </si>
  <si>
    <t>Light-Duty Fuel Economy: Conventional Cars: Gasoline: High oil and gas supply</t>
  </si>
  <si>
    <t>50-AEO2021.4.highogs-d120120a</t>
  </si>
  <si>
    <t>mpg gas equiv</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</si>
  <si>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</si>
  <si>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</si>
  <si>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</si>
  <si>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</si>
  <si>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</si>
  <si>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</si>
  <si>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</si>
  <si>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</si>
  <si>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</si>
  <si>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</si>
  <si>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</si>
  <si>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</si>
  <si>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</si>
  <si>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</si>
  <si>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</si>
  <si>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</si>
  <si>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</si>
  <si>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</si>
  <si>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</si>
  <si>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</si>
  <si>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</si>
  <si>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</si>
  <si>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</si>
  <si>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</si>
  <si>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</si>
  <si>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</si>
  <si>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</si>
  <si>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</si>
  <si>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</si>
  <si>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</si>
  <si>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</si>
  <si>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</si>
  <si>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</si>
  <si>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</si>
  <si>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</si>
  <si>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</si>
  <si>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</si>
  <si>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</si>
  <si>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</si>
  <si>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</si>
  <si>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</si>
  <si>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</si>
  <si>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</si>
  <si>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</si>
  <si>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</si>
  <si>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</si>
  <si>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</si>
  <si>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</si>
  <si>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</si>
  <si>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</si>
  <si>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</si>
  <si>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</si>
  <si>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</si>
  <si>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</si>
  <si>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</si>
  <si>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</si>
  <si>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</si>
  <si>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</si>
  <si>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</si>
  <si>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</si>
  <si>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</si>
  <si>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</si>
  <si>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</si>
  <si>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</si>
  <si>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</si>
  <si>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</si>
  <si>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</si>
  <si>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</si>
  <si>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</si>
  <si>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</si>
  <si>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</si>
  <si>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</si>
  <si>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</si>
  <si>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</si>
  <si>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</si>
  <si>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</si>
  <si>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</si>
  <si>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</si>
  <si>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</si>
  <si>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</si>
  <si>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</si>
  <si>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</si>
  <si>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Table 47.  Air Travel Energy Use</t>
  </si>
  <si>
    <t>https://www.eia.gov/outlooks/aeo/data/browser/#/?id=57-AEO2021&amp;cases=highogs&amp;sourcekey=0</t>
  </si>
  <si>
    <t>Tue Mar 09 2021 12:51:14 GMT-0800 (Pacific Standard Time)</t>
  </si>
  <si>
    <t>Domestic</t>
  </si>
  <si>
    <t>International</t>
  </si>
  <si>
    <t>Non-U.S.</t>
  </si>
  <si>
    <t>U.S. Domestic</t>
  </si>
  <si>
    <t>U.S. International</t>
  </si>
  <si>
    <t>Population (millions)</t>
  </si>
  <si>
    <t>United States</t>
  </si>
  <si>
    <t>Canada</t>
  </si>
  <si>
    <t>Central America</t>
  </si>
  <si>
    <t>South America</t>
  </si>
  <si>
    <t>Europe</t>
  </si>
  <si>
    <t>Africa</t>
  </si>
  <si>
    <t>Mideast</t>
  </si>
  <si>
    <t>Commonwealth of Independent States</t>
  </si>
  <si>
    <t>China</t>
  </si>
  <si>
    <t>Northeast Asia</t>
  </si>
  <si>
    <t>Southeast Asia</t>
  </si>
  <si>
    <t>Southwest Asia</t>
  </si>
  <si>
    <t>Oceania</t>
  </si>
  <si>
    <t>Revenue Passenger Miles (billion miles)</t>
  </si>
  <si>
    <t>Freight Revenue Ton Miles (billion miles)</t>
  </si>
  <si>
    <t>Narrow Body Aircraft</t>
  </si>
  <si>
    <t>Wide Body Aircraft</t>
  </si>
  <si>
    <t>Regional Jets</t>
  </si>
  <si>
    <t>General Technology 1</t>
  </si>
  <si>
    <t>General Technology 2</t>
  </si>
  <si>
    <t>General Technology 3</t>
  </si>
  <si>
    <t>General Technology 4</t>
  </si>
  <si>
    <t>General Technology 5</t>
  </si>
  <si>
    <t>Laminar Flow Control</t>
  </si>
  <si>
    <t>Advanced Aerodynamics</t>
  </si>
  <si>
    <t>Weight Reducing Materials</t>
  </si>
  <si>
    <t>Electrically Active Controls</t>
  </si>
  <si>
    <t>Aircraft Efficiency (seat miles per gallon)</t>
  </si>
  <si>
    <t>New Aircraft</t>
  </si>
  <si>
    <t>Average Aircraft</t>
  </si>
  <si>
    <t>Commercial Jet Fuel</t>
  </si>
  <si>
    <t>Commercial Aviation Gasoline</t>
  </si>
  <si>
    <t>Military Jet Fuel</t>
  </si>
  <si>
    <t>Air Travel: Fuel Cost: High oil and gas supply</t>
  </si>
  <si>
    <t>57-AEO2021.2.highogs-d120120a</t>
  </si>
  <si>
    <t>1987 $/MMBtu</t>
  </si>
  <si>
    <t>57-AEO2021.4.</t>
  </si>
  <si>
    <t>Air Travel: Ticket Price: Domestic: High oil and gas supply</t>
  </si>
  <si>
    <t>57-AEO2021.5.highogs-d120120a</t>
  </si>
  <si>
    <t>1996 cents</t>
  </si>
  <si>
    <t>Air Travel: Ticket Price: International: High oil and gas supply</t>
  </si>
  <si>
    <t>57-AEO2021.6.highogs-d120120a</t>
  </si>
  <si>
    <t>Air Travel: Ticket Price: Non U.S.: High oil and gas supply</t>
  </si>
  <si>
    <t>57-AEO2021.7.highogs-d120120a</t>
  </si>
  <si>
    <t>57-AEO2021.9.</t>
  </si>
  <si>
    <t>Air Travel: Load Factor: U.S. Domestic: High oil and gas supply</t>
  </si>
  <si>
    <t>57-AEO2021.10.highogs-d120120a</t>
  </si>
  <si>
    <t>fraction</t>
  </si>
  <si>
    <t>Air Travel: Load Factor: U.S. International: High oil and gas supply</t>
  </si>
  <si>
    <t>57-AEO2021.11.highogs-d120120a</t>
  </si>
  <si>
    <t>57-AEO2021.13.</t>
  </si>
  <si>
    <t>57-AEO2021.29.</t>
  </si>
  <si>
    <t>Air Travel: Drivers: Population: U.S.: High oil and gas supply</t>
  </si>
  <si>
    <t>57-AEO2021.30.highogs-d120120a</t>
  </si>
  <si>
    <t>millions</t>
  </si>
  <si>
    <t>Air Travel: Drivers: Population: Canada: High oil and gas supply</t>
  </si>
  <si>
    <t>57-AEO2021.31.highogs-d120120a</t>
  </si>
  <si>
    <t>Air Travel: Drivers: Population: Central America: High oil and gas supply</t>
  </si>
  <si>
    <t>57-AEO2021.32.highogs-d120120a</t>
  </si>
  <si>
    <t>Air Travel: Drivers: Population: South America: High oil and gas supply</t>
  </si>
  <si>
    <t>57-AEO2021.33.highogs-d120120a</t>
  </si>
  <si>
    <t>Air Travel: Drivers: Population: Europe: High oil and gas supply</t>
  </si>
  <si>
    <t>57-AEO2021.34.highogs-d120120a</t>
  </si>
  <si>
    <t>Air Travel: Drivers: Population: Africa: High oil and gas supply</t>
  </si>
  <si>
    <t>57-AEO2021.35.highogs-d120120a</t>
  </si>
  <si>
    <t>Air Travel: Drivers: Population: Mideast: High oil and gas supply</t>
  </si>
  <si>
    <t>57-AEO2021.36.highogs-d120120a</t>
  </si>
  <si>
    <t>Air Travel: Drivers: Population: CIS: High oil and gas supply</t>
  </si>
  <si>
    <t>57-AEO2021.37.highogs-d120120a</t>
  </si>
  <si>
    <t>Air Travel: Drivers: Population: China: High oil and gas supply</t>
  </si>
  <si>
    <t>57-AEO2021.38.highogs-d120120a</t>
  </si>
  <si>
    <t>Air Travel: Drivers: Population: NE Asia: High oil and gas supply</t>
  </si>
  <si>
    <t>57-AEO2021.39.highogs-d120120a</t>
  </si>
  <si>
    <t>Air Travel: Drivers: Population: SE Asia: High oil and gas supply</t>
  </si>
  <si>
    <t>57-AEO2021.40.highogs-d120120a</t>
  </si>
  <si>
    <t>Air Travel: Drivers: Population: SW Asia: High oil and gas supply</t>
  </si>
  <si>
    <t>57-AEO2021.41.highogs-d120120a</t>
  </si>
  <si>
    <t>Air Travel: Drivers: Population: Oceania: High oil and gas supply</t>
  </si>
  <si>
    <t>57-AEO2021.42.highogs-d120120a</t>
  </si>
  <si>
    <t>57-AEO2021.44.</t>
  </si>
  <si>
    <t>57-AEO2021.45.</t>
  </si>
  <si>
    <t>57-AEO2021.46.</t>
  </si>
  <si>
    <t>Air Travel: Travel Demand: Revenue Passenger Miles: Domestic: U.S.: High oil and gas supply</t>
  </si>
  <si>
    <t>57-AEO2021.47.highogs-d120120a</t>
  </si>
  <si>
    <t>billion miles</t>
  </si>
  <si>
    <t>Air Travel: Travel Demand: Revenue Passenger Miles: Domestic: Canada: High oil and gas supply</t>
  </si>
  <si>
    <t>57-AEO2021.48.highogs-d120120a</t>
  </si>
  <si>
    <t>Air Travel: Travel Demand: Revenue Passenger Miles: Domestic: Central America: High oil and gas supply</t>
  </si>
  <si>
    <t>57-AEO2021.49.highogs-d120120a</t>
  </si>
  <si>
    <t>Air Travel: Travel Demand: Revenue Passenger Miles: Domestic: South America: High oil and gas supply</t>
  </si>
  <si>
    <t>57-AEO2021.50.highogs-d120120a</t>
  </si>
  <si>
    <t>Air Travel: Travel Demand: Revenue Passenger Miles: Domestic: Europe: High oil and gas supply</t>
  </si>
  <si>
    <t>57-AEO2021.51.highogs-d120120a</t>
  </si>
  <si>
    <t>Air Travel: Travel Demand: Revenue Passenger Miles: Domestic: Africa: High oil and gas supply</t>
  </si>
  <si>
    <t>57-AEO2021.52.highogs-d120120a</t>
  </si>
  <si>
    <t>Air Travel: Travel Demand: Revenue Passenger Miles: Domestic: Mideast: High oil and gas supply</t>
  </si>
  <si>
    <t>57-AEO2021.53.highogs-d120120a</t>
  </si>
  <si>
    <t>Air Travel: Travel Demand: Revenue Passenger Miles: Domestic: CIS: High oil and gas supply</t>
  </si>
  <si>
    <t>57-AEO2021.54.highogs-d120120a</t>
  </si>
  <si>
    <t>Air Travel: Travel Demand: Revenue Passenger Miles: Domestic: China: High oil and gas supply</t>
  </si>
  <si>
    <t>57-AEO2021.55.highogs-d120120a</t>
  </si>
  <si>
    <t>Air Travel: Travel Demand: Revenue Passenger Miles: Domestic: NE Asia: High oil and gas supply</t>
  </si>
  <si>
    <t>57-AEO2021.56.highogs-d120120a</t>
  </si>
  <si>
    <t>Air Travel: Travel Demand: Revenue Passenger Miles: Domestic: SE Asia: High oil and gas supply</t>
  </si>
  <si>
    <t>57-AEO2021.57.highogs-d120120a</t>
  </si>
  <si>
    <t>Air Travel: Travel Demand: Revenue Passenger Miles: Domestic: SW Asia: High oil and gas supply</t>
  </si>
  <si>
    <t>57-AEO2021.58.highogs-d120120a</t>
  </si>
  <si>
    <t>Air Travel: Travel Demand: Revenue Passenger Miles: Domestic: Oceania: High oil and gas supply</t>
  </si>
  <si>
    <t>57-AEO2021.59.highogs-d120120a</t>
  </si>
  <si>
    <t>57-AEO2021.60.</t>
  </si>
  <si>
    <t>Air Travel: Travel Demand: Revenue Passenger Miles: International: U.S.: High oil and gas supply</t>
  </si>
  <si>
    <t>57-AEO2021.61.highogs-d120120a</t>
  </si>
  <si>
    <t>Air Travel: Travel Demand: Revenue Passenger Miles: International: Canada: High oil and gas supply</t>
  </si>
  <si>
    <t>57-AEO2021.62.highogs-d120120a</t>
  </si>
  <si>
    <t>Air Travel: Travel Demand: Revenue Passenger Miles: International: Central America: High oil and gas supply</t>
  </si>
  <si>
    <t>57-AEO2021.63.highogs-d120120a</t>
  </si>
  <si>
    <t>Air Travel: Travel Demand: Revenue Passenger Miles: International: South America: High oil and gas supply</t>
  </si>
  <si>
    <t>57-AEO2021.64.highogs-d120120a</t>
  </si>
  <si>
    <t>Air Travel: Travel Demand: Revenue Passenger Miles: International: Europe: High oil and gas supply</t>
  </si>
  <si>
    <t>57-AEO2021.65.highogs-d120120a</t>
  </si>
  <si>
    <t>Air Travel: Travel Demand: Revenue Passenger Miles: International: Africa: High oil and gas supply</t>
  </si>
  <si>
    <t>57-AEO2021.66.highogs-d120120a</t>
  </si>
  <si>
    <t>Air Travel: Travel Demand: Revenue Passenger Miles: International: Mideast: High oil and gas supply</t>
  </si>
  <si>
    <t>57-AEO2021.67.highogs-d120120a</t>
  </si>
  <si>
    <t>Air Travel: Travel Demand: Revenue Passenger Miles: International: CIS: High oil and gas supply</t>
  </si>
  <si>
    <t>57-AEO2021.68.highogs-d120120a</t>
  </si>
  <si>
    <t>Air Travel: Travel Demand: Revenue Passenger Miles: International: China: High oil and gas supply</t>
  </si>
  <si>
    <t>57-AEO2021.69.highogs-d120120a</t>
  </si>
  <si>
    <t>Air Travel: Travel Demand: Revenue Passenger Miles: International: NE Asia: High oil and gas supply</t>
  </si>
  <si>
    <t>57-AEO2021.70.highogs-d120120a</t>
  </si>
  <si>
    <t>Air Travel: Travel Demand: Revenue Passenger Miles: International: SE Asia: High oil and gas supply</t>
  </si>
  <si>
    <t>57-AEO2021.71.highogs-d120120a</t>
  </si>
  <si>
    <t>Air Travel: Travel Demand: Revenue Passenger Miles: International: SW Asia: High oil and gas supply</t>
  </si>
  <si>
    <t>57-AEO2021.72.highogs-d120120a</t>
  </si>
  <si>
    <t>Air Travel: Travel Demand: Revenue Passenger Miles: International: Oceania: High oil and gas supply</t>
  </si>
  <si>
    <t>57-AEO2021.73.highogs-d120120a</t>
  </si>
  <si>
    <t>57-AEO2021.75.</t>
  </si>
  <si>
    <t>Air Travel: Travel Demand: Revenue Ton Miles: Freight: US: High oil and gas supply</t>
  </si>
  <si>
    <t>57-AEO2021.76.highogs-d120120a</t>
  </si>
  <si>
    <t>Air Travel: Travel Demand: Revenue Ton Miles: Freight: Canada: High oil and gas supply</t>
  </si>
  <si>
    <t>57-AEO2021.77.highogs-d120120a</t>
  </si>
  <si>
    <t>Air Travel: Travel Demand: Revenue Ton Miles: Freight: Central America: High oil and gas supply</t>
  </si>
  <si>
    <t>57-AEO2021.78.highogs-d120120a</t>
  </si>
  <si>
    <t>Air Travel: Travel Demand: Revenue Ton Miles: Freight: South America: High oil and gas supply</t>
  </si>
  <si>
    <t>57-AEO2021.79.highogs-d120120a</t>
  </si>
  <si>
    <t>Air Travel: Travel Demand: Revenue Ton Miles: Freight: Europe: High oil and gas supply</t>
  </si>
  <si>
    <t>57-AEO2021.80.highogs-d120120a</t>
  </si>
  <si>
    <t>Air Travel: Travel Demand: Revenue Ton Miles: Freight: Africa: High oil and gas supply</t>
  </si>
  <si>
    <t>57-AEO2021.81.highogs-d120120a</t>
  </si>
  <si>
    <t>Air Travel: Travel Demand: Revenue Ton Miles: Freight: Mideast: High oil and gas supply</t>
  </si>
  <si>
    <t>57-AEO2021.82.highogs-d120120a</t>
  </si>
  <si>
    <t>Air Travel: Travel Demand: Revenue Ton Miles: Freight: CIS: High oil and gas supply</t>
  </si>
  <si>
    <t>57-AEO2021.83.highogs-d120120a</t>
  </si>
  <si>
    <t>Air Travel: Travel Demand: Revenue Ton Miles: Freight: China: High oil and gas supply</t>
  </si>
  <si>
    <t>57-AEO2021.84.highogs-d120120a</t>
  </si>
  <si>
    <t>Air Travel: Travel Demand: Revenue Ton Miles: Freight: NE Asia: High oil and gas supply</t>
  </si>
  <si>
    <t>57-AEO2021.85.highogs-d120120a</t>
  </si>
  <si>
    <t>Air Travel: Travel Demand: Revenue Ton Miles: Freight: SE Asia: High oil and gas supply</t>
  </si>
  <si>
    <t>57-AEO2021.86.highogs-d120120a</t>
  </si>
  <si>
    <t>Air Travel: Travel Demand: Revenue Ton Miles: Freight: SW Asia: High oil and gas supply</t>
  </si>
  <si>
    <t>57-AEO2021.87.highogs-d120120a</t>
  </si>
  <si>
    <t>Air Travel: Travel Demand: Revenue Ton Miles: Freight: Oceania: High oil and gas supply</t>
  </si>
  <si>
    <t>57-AEO2021.88.highogs-d120120a</t>
  </si>
  <si>
    <t>Air Travel: Travel Demand: Revenue Ton Miles: Freight: World: High oil and gas supply</t>
  </si>
  <si>
    <t>57-AEO2021.89.highogs-d120120a</t>
  </si>
  <si>
    <t>57-AEO2021.91.</t>
  </si>
  <si>
    <t>Air Travel: Seat Miles Demanded: U.S.: High oil and gas supply</t>
  </si>
  <si>
    <t>57-AEO2021.92.highogs-d120120a</t>
  </si>
  <si>
    <t>Air Travel: Seat Miles Demanded: U.S.: Narrow Body Aircraft: High oil and gas supply</t>
  </si>
  <si>
    <t>57-AEO2021.93.highogs-d120120a</t>
  </si>
  <si>
    <t>Air Travel: Seat Miles Demanded: U.S.: Wide Body Aircraft: High oil and gas supply</t>
  </si>
  <si>
    <t>57-AEO2021.94.highogs-d120120a</t>
  </si>
  <si>
    <t>Air Travel: Seat Miles Demanded: U.S.: Regional Jets: High oil and gas supply</t>
  </si>
  <si>
    <t>57-AEO2021.95.highogs-d120120a</t>
  </si>
  <si>
    <t>Air Travel: Seat Miles Demanded: Canada: High oil and gas supply</t>
  </si>
  <si>
    <t>57-AEO2021.96.highogs-d120120a</t>
  </si>
  <si>
    <t>Air Travel: Seat Miles Demanded: Central America: High oil and gas supply</t>
  </si>
  <si>
    <t>57-AEO2021.97.highogs-d120120a</t>
  </si>
  <si>
    <t>Air Travel: Seat Miles Demanded: South America: High oil and gas supply</t>
  </si>
  <si>
    <t>57-AEO2021.98.highogs-d120120a</t>
  </si>
  <si>
    <t>Air Travel: Seat Miles Demanded: Europe: High oil and gas supply</t>
  </si>
  <si>
    <t>57-AEO2021.99.highogs-d120120a</t>
  </si>
  <si>
    <t>Air Travel: Seat Miles Demanded: Africa: High oil and gas supply</t>
  </si>
  <si>
    <t>57-AEO2021.100.highogs-d120120a</t>
  </si>
  <si>
    <t>Air Travel: Seat Miles Demanded: Mideast: High oil and gas supply</t>
  </si>
  <si>
    <t>57-AEO2021.101.highogs-d120120a</t>
  </si>
  <si>
    <t>Air Travel: Seat Miles Demanded: CIS: High oil and gas supply</t>
  </si>
  <si>
    <t>57-AEO2021.102.highogs-d120120a</t>
  </si>
  <si>
    <t>Air Travel: Seat Miles Demanded: China: High oil and gas supply</t>
  </si>
  <si>
    <t>57-AEO2021.103.highogs-d120120a</t>
  </si>
  <si>
    <t>Air Travel: Seat Miles Demanded: NE Asia: High oil and gas supply</t>
  </si>
  <si>
    <t>57-AEO2021.104.highogs-d120120a</t>
  </si>
  <si>
    <t>Air Travel: Seat Miles Demanded: SE Asia: High oil and gas supply</t>
  </si>
  <si>
    <t>57-AEO2021.105.highogs-d120120a</t>
  </si>
  <si>
    <t>Air Travel: Seat Miles Demanded: SW Asia: High oil and gas supply</t>
  </si>
  <si>
    <t>57-AEO2021.106.highogs-d120120a</t>
  </si>
  <si>
    <t>Air Travel: Seat Miles Demanded: Oceania: High oil and gas supply</t>
  </si>
  <si>
    <t>57-AEO2021.107.highogs-d120120a</t>
  </si>
  <si>
    <t>Air Travel: Seat Miles Demanded: World: High oil and gas supply</t>
  </si>
  <si>
    <t>57-AEO2021.108.highogs-d120120a</t>
  </si>
  <si>
    <t>57-AEO2021.110.</t>
  </si>
  <si>
    <t>Air Travel: Aircraft Sales: U.S.: High oil and gas supply</t>
  </si>
  <si>
    <t>57-AEO2021.111.highogs-d120120a</t>
  </si>
  <si>
    <t>Air Travel: Aircraft Sales: U.S.: Narrow Body: High oil and gas supply</t>
  </si>
  <si>
    <t>57-AEO2021.112.highogs-d120120a</t>
  </si>
  <si>
    <t>Air Travel: Aircraft Sales: U.S.: Wide Body: High oil and gas supply</t>
  </si>
  <si>
    <t>57-AEO2021.113.highogs-d120120a</t>
  </si>
  <si>
    <t>Air Travel: Aircraft Sales: U.S.: Regional Jets: High oil and gas supply</t>
  </si>
  <si>
    <t>57-AEO2021.114.highogs-d120120a</t>
  </si>
  <si>
    <t>Air Travel: Aircraft Sales: Canada: High oil and gas supply</t>
  </si>
  <si>
    <t>57-AEO2021.115.highogs-d120120a</t>
  </si>
  <si>
    <t>Air Travel: Aircraft Sales: Canada: Narrow Body: High oil and gas supply</t>
  </si>
  <si>
    <t>57-AEO2021.116.highogs-d120120a</t>
  </si>
  <si>
    <t>Air Travel: Aircraft Sales: Canada: Wide Body: High oil and gas supply</t>
  </si>
  <si>
    <t>57-AEO2021.117.highogs-d120120a</t>
  </si>
  <si>
    <t>Air Travel: Aircraft Sales: Canada: Regional Jets: High oil and gas supply</t>
  </si>
  <si>
    <t>57-AEO2021.118.highogs-d120120a</t>
  </si>
  <si>
    <t>Air Travel: Aircraft Sales: Central America: High oil and gas supply</t>
  </si>
  <si>
    <t>57-AEO2021.119.highogs-d120120a</t>
  </si>
  <si>
    <t>Air Travel: Aircraft Sales: Central America: Narrow Body: High oil and gas supply</t>
  </si>
  <si>
    <t>57-AEO2021.120.highogs-d120120a</t>
  </si>
  <si>
    <t>Air Travel: Aircraft Sales: Central America: Wide Body: High oil and gas supply</t>
  </si>
  <si>
    <t>57-AEO2021.121.highogs-d120120a</t>
  </si>
  <si>
    <t>Air Travel: Aircraft Sales: Central America: Regional Jets: High oil and gas supply</t>
  </si>
  <si>
    <t>57-AEO2021.122.highogs-d120120a</t>
  </si>
  <si>
    <t>Air Travel: Aircraft Sales: South America: High oil and gas supply</t>
  </si>
  <si>
    <t>57-AEO2021.123.highogs-d120120a</t>
  </si>
  <si>
    <t>Air Travel: Aircraft Sales: South America: Narrow Body: High oil and gas supply</t>
  </si>
  <si>
    <t>57-AEO2021.124.highogs-d120120a</t>
  </si>
  <si>
    <t>Air Travel: Aircraft Sales: South America: Wide Body: High oil and gas supply</t>
  </si>
  <si>
    <t>57-AEO2021.125.highogs-d120120a</t>
  </si>
  <si>
    <t>Air Travel: Aircraft Sales: South America: Regional Jets: High oil and gas supply</t>
  </si>
  <si>
    <t>57-AEO2021.126.highogs-d120120a</t>
  </si>
  <si>
    <t>Air Travel: Aircraft Sales: Europe: High oil and gas supply</t>
  </si>
  <si>
    <t>57-AEO2021.127.highogs-d120120a</t>
  </si>
  <si>
    <t>Air Travel: Aircraft Sales: Europe: Narrow Body: High oil and gas supply</t>
  </si>
  <si>
    <t>57-AEO2021.128.highogs-d120120a</t>
  </si>
  <si>
    <t>Air Travel: Aircraft Sales: Europe: Wide Body: High oil and gas supply</t>
  </si>
  <si>
    <t>57-AEO2021.129.highogs-d120120a</t>
  </si>
  <si>
    <t>Air Travel: Aircraft Sales: Europe: Regional Jets: High oil and gas supply</t>
  </si>
  <si>
    <t>57-AEO2021.130.highogs-d120120a</t>
  </si>
  <si>
    <t>Air Travel: Aircraft Sales: Africa: High oil and gas supply</t>
  </si>
  <si>
    <t>57-AEO2021.131.highogs-d120120a</t>
  </si>
  <si>
    <t>Air Travel: Aircraft Sales: Africa: Narrow Body: High oil and gas supply</t>
  </si>
  <si>
    <t>57-AEO2021.132.highogs-d120120a</t>
  </si>
  <si>
    <t>Air Travel: Aircraft Sales: Africa: Wide Body: High oil and gas supply</t>
  </si>
  <si>
    <t>57-AEO2021.133.highogs-d120120a</t>
  </si>
  <si>
    <t>Air Travel: Aircraft Sales: Africa: Regional Jets: High oil and gas supply</t>
  </si>
  <si>
    <t>57-AEO2021.134.highogs-d120120a</t>
  </si>
  <si>
    <t>Air Travel: Aircraft Sales: Mideast: High oil and gas supply</t>
  </si>
  <si>
    <t>57-AEO2021.135.highogs-d120120a</t>
  </si>
  <si>
    <t>Air Travel: Aircraft Sales: Mideast: Narrow Body: High oil and gas supply</t>
  </si>
  <si>
    <t>57-AEO2021.136.highogs-d120120a</t>
  </si>
  <si>
    <t>Air Travel: Aircraft Sales: Mideast: Wide Body: High oil and gas supply</t>
  </si>
  <si>
    <t>57-AEO2021.137.highogs-d120120a</t>
  </si>
  <si>
    <t>Air Travel: Aircraft Sales: Mideast: Regional Jets: High oil and gas supply</t>
  </si>
  <si>
    <t>57-AEO2021.138.highogs-d120120a</t>
  </si>
  <si>
    <t>Air Travel: Aircraft Sales: CIS: High oil and gas supply</t>
  </si>
  <si>
    <t>57-AEO2021.139.highogs-d120120a</t>
  </si>
  <si>
    <t>Air Travel: Aircraft Sales: CIS: Narrow Body: High oil and gas supply</t>
  </si>
  <si>
    <t>57-AEO2021.140.highogs-d120120a</t>
  </si>
  <si>
    <t>Air Travel: Aircraft Sales: CIS: Wide Body: High oil and gas supply</t>
  </si>
  <si>
    <t>57-AEO2021.141.highogs-d120120a</t>
  </si>
  <si>
    <t>Air Travel: Aircraft Sales: CIS: Regional Jets: High oil and gas supply</t>
  </si>
  <si>
    <t>57-AEO2021.142.highogs-d120120a</t>
  </si>
  <si>
    <t>Air Travel: Aircraft Sales: China: High oil and gas supply</t>
  </si>
  <si>
    <t>57-AEO2021.143.highogs-d120120a</t>
  </si>
  <si>
    <t>Air Travel: Aircraft Sales: China: Narrow Body: High oil and gas supply</t>
  </si>
  <si>
    <t>57-AEO2021.144.highogs-d120120a</t>
  </si>
  <si>
    <t>Air Travel: Aircraft Sales: China: Wide Body: High oil and gas supply</t>
  </si>
  <si>
    <t>57-AEO2021.145.highogs-d120120a</t>
  </si>
  <si>
    <t>Air Travel: Aircraft Sales: China: Regional Jets: High oil and gas supply</t>
  </si>
  <si>
    <t>57-AEO2021.146.highogs-d120120a</t>
  </si>
  <si>
    <t>Air Travel: Aircraft Sales: NE Asia: High oil and gas supply</t>
  </si>
  <si>
    <t>57-AEO2021.147.highogs-d120120a</t>
  </si>
  <si>
    <t>Air Travel: Aircraft Sales: NE Asia: Narrow Body: High oil and gas supply</t>
  </si>
  <si>
    <t>57-AEO2021.148.highogs-d120120a</t>
  </si>
  <si>
    <t>Air Travel: Aircraft Sales: NE Asia: Wide Body: High oil and gas supply</t>
  </si>
  <si>
    <t>57-AEO2021.149.highogs-d120120a</t>
  </si>
  <si>
    <t>Air Travel: Aircraft Sales: NE Asia: Regional Jets: High oil and gas supply</t>
  </si>
  <si>
    <t>57-AEO2021.150.highogs-d120120a</t>
  </si>
  <si>
    <t>Air Travel: Aircraft Sales: SE Asia: High oil and gas supply</t>
  </si>
  <si>
    <t>57-AEO2021.151.highogs-d120120a</t>
  </si>
  <si>
    <t>Air Travel: Aircraft Sales: SE Asia: Narrow Body: High oil and gas supply</t>
  </si>
  <si>
    <t>57-AEO2021.152.highogs-d120120a</t>
  </si>
  <si>
    <t>Air Travel: Aircraft Sales: SE Asia: Wide Body: High oil and gas supply</t>
  </si>
  <si>
    <t>57-AEO2021.153.highogs-d120120a</t>
  </si>
  <si>
    <t>Air Travel: Aircraft Sales: SE Asia: Regional Jets: High oil and gas supply</t>
  </si>
  <si>
    <t>57-AEO2021.154.highogs-d120120a</t>
  </si>
  <si>
    <t>Air Travel: Aircraft Sales: SW Asia: High oil and gas supply</t>
  </si>
  <si>
    <t>57-AEO2021.155.highogs-d120120a</t>
  </si>
  <si>
    <t>Air Travel: Aircraft Sales: SW Asia: Narrow Body: High oil and gas supply</t>
  </si>
  <si>
    <t>57-AEO2021.156.highogs-d120120a</t>
  </si>
  <si>
    <t>Air Travel: Aircraft Sales: SW Asia: Wide Body: High oil and gas supply</t>
  </si>
  <si>
    <t>57-AEO2021.157.highogs-d120120a</t>
  </si>
  <si>
    <t>Air Travel: Aircraft Sales: SW Asia: Regional Jets: High oil and gas supply</t>
  </si>
  <si>
    <t>57-AEO2021.158.highogs-d120120a</t>
  </si>
  <si>
    <t>Air Travel: Aircraft Sales: Oceania: High oil and gas supply</t>
  </si>
  <si>
    <t>57-AEO2021.159.highogs-d120120a</t>
  </si>
  <si>
    <t>Air Travel: Aircraft Sales: Oceania: Narrow Body: High oil and gas supply</t>
  </si>
  <si>
    <t>57-AEO2021.160.highogs-d120120a</t>
  </si>
  <si>
    <t>Air Travel: Aircraft Sales: Oceania: Wide Body: High oil and gas supply</t>
  </si>
  <si>
    <t>57-AEO2021.161.highogs-d120120a</t>
  </si>
  <si>
    <t>Air Travel: Aircraft Sales: Oceania: Regional Jets: High oil and gas supply</t>
  </si>
  <si>
    <t>57-AEO2021.162.highogs-d120120a</t>
  </si>
  <si>
    <t>Air Travel: Aircraft Sales: World: High oil and gas supply</t>
  </si>
  <si>
    <t>57-AEO2021.163.highogs-d120120a</t>
  </si>
  <si>
    <t>57-AEO2021.165.</t>
  </si>
  <si>
    <t>Air Travel: Advanced Technology Penetration: General Technology 1: High oil and gas supply</t>
  </si>
  <si>
    <t>57-AEO2021.166.highogs-d120120a</t>
  </si>
  <si>
    <t>Air Travel: Advanced Technology Penetration: General Technology 2: High oil and gas supply</t>
  </si>
  <si>
    <t>57-AEO2021.167.highogs-d120120a</t>
  </si>
  <si>
    <t>Air Travel: Advanced Technology Penetration: General Technology 3: High oil and gas supply</t>
  </si>
  <si>
    <t>57-AEO2021.168.highogs-d120120a</t>
  </si>
  <si>
    <t>Air Travel: Advanced Technology Penetration: General Technology 4: High oil and gas supply</t>
  </si>
  <si>
    <t>57-AEO2021.169.highogs-d120120a</t>
  </si>
  <si>
    <t>Air Travel: Advanced Technology Penetration: General Technology 5: High oil and gas supply</t>
  </si>
  <si>
    <t>57-AEO2021.170.highogs-d120120a</t>
  </si>
  <si>
    <t>Air Travel: Advanced Technology Penetration: Laminar Flow Control: High oil and gas supply</t>
  </si>
  <si>
    <t>57-AEO2021.171.highogs-d120120a</t>
  </si>
  <si>
    <t>Air Travel: Advanced Technology Penetration: Advanced Aerodynamics: High oil and gas supply</t>
  </si>
  <si>
    <t>57-AEO2021.172.highogs-d120120a</t>
  </si>
  <si>
    <t>Air Travel: Advanced Technology Penetration: Weight Reducing Materials: High oil and gas supply</t>
  </si>
  <si>
    <t>57-AEO2021.173.highogs-d120120a</t>
  </si>
  <si>
    <t>Air Travel: Advanced Technology Penetration: Electrically Active Controls: High oil and gas supply</t>
  </si>
  <si>
    <t>57-AEO2021.174.highogs-d120120a</t>
  </si>
  <si>
    <t>57-AEO2021.176.</t>
  </si>
  <si>
    <t>57-AEO2021.177.</t>
  </si>
  <si>
    <t>Air Travel: New Aircraft Efficiency: Narrow Body Aircraft: High oil and gas supply</t>
  </si>
  <si>
    <t>57-AEO2021.178.highogs-d120120a</t>
  </si>
  <si>
    <t>seat mpg</t>
  </si>
  <si>
    <t>Air Travel: New Aircraft Efficiency: Wide Body Aircraft: High oil and gas supply</t>
  </si>
  <si>
    <t>57-AEO2021.179.highogs-d120120a</t>
  </si>
  <si>
    <t>Air Travel: New Aircraft Efficiency: Regional Jets: High oil and gas supply</t>
  </si>
  <si>
    <t>57-AEO2021.180.highogs-d120120a</t>
  </si>
  <si>
    <t>Air Travel: New Aircraft Efficiency: Average Aircraft: High oil and gas supply</t>
  </si>
  <si>
    <t>57-AEO2021.181.highogs-d120120a</t>
  </si>
  <si>
    <t>57-AEO2021.182.</t>
  </si>
  <si>
    <t>Air Travel: Aircraft Stock Efficiency: Narrow Body Aircraft: High oil and gas supply</t>
  </si>
  <si>
    <t>57-AEO2021.183.highogs-d120120a</t>
  </si>
  <si>
    <t>Air Travel: Aircraft Stock Efficiency: Wide Body Aircraft: High oil and gas supply</t>
  </si>
  <si>
    <t>57-AEO2021.184.highogs-d120120a</t>
  </si>
  <si>
    <t>Air Travel: Aircraft Stock Efficiency: Regional Jets: High oil and gas supply</t>
  </si>
  <si>
    <t>57-AEO2021.185.highogs-d120120a</t>
  </si>
  <si>
    <t>Air Travel: Aircraft Stock Efficiency: Average Aircraft: High oil and gas supply</t>
  </si>
  <si>
    <t>57-AEO2021.186.highogs-d120120a</t>
  </si>
  <si>
    <t>57-AEO2021.188.</t>
  </si>
  <si>
    <t>57-AEO2021.189.</t>
  </si>
  <si>
    <t>Air Travel: Fuel Use: Commercial: Jet Fuel: U.S.: High oil and gas supply</t>
  </si>
  <si>
    <t>57-AEO2021.190.highogs-d120120a</t>
  </si>
  <si>
    <t>Air Travel: Fuel Use: Commercial: Jet Fuel: Canada: High oil and gas supply</t>
  </si>
  <si>
    <t>57-AEO2021.191.highogs-d120120a</t>
  </si>
  <si>
    <t>Air Travel: Fuel Use: Commercial: Jet Fuel: Central America: High oil and gas supply</t>
  </si>
  <si>
    <t>57-AEO2021.192.highogs-d120120a</t>
  </si>
  <si>
    <t>Air Travel: Fuel Use: Commercial: Jet Fuel: South America: High oil and gas supply</t>
  </si>
  <si>
    <t>57-AEO2021.193.highogs-d120120a</t>
  </si>
  <si>
    <t>Air Travel: Fuel Use: Commercial: Jet Fuel: Europe: High oil and gas supply</t>
  </si>
  <si>
    <t>57-AEO2021.194.highogs-d120120a</t>
  </si>
  <si>
    <t>Air Travel: Fuel Use: Commercial: Jet Fuel: Africa: High oil and gas supply</t>
  </si>
  <si>
    <t>57-AEO2021.195.highogs-d120120a</t>
  </si>
  <si>
    <t>Air Travel: Fuel Use: Commercial: Jet Fuel: Mideast: High oil and gas supply</t>
  </si>
  <si>
    <t>57-AEO2021.196.highogs-d120120a</t>
  </si>
  <si>
    <t>Air Travel: Fuel Use: Commercial: Jet Fuel: CIS: High oil and gas supply</t>
  </si>
  <si>
    <t>57-AEO2021.197.highogs-d120120a</t>
  </si>
  <si>
    <t>Air Travel: Fuel Use: Commercial: Jet Fuel: China: High oil and gas supply</t>
  </si>
  <si>
    <t>57-AEO2021.198.highogs-d120120a</t>
  </si>
  <si>
    <t>Air Travel: Fuel Use: Commercial: Jet Fuel: NE Asia: High oil and gas supply</t>
  </si>
  <si>
    <t>57-AEO2021.199.highogs-d120120a</t>
  </si>
  <si>
    <t>Air Travel: Fuel Use: Commercial: Jet Fuel: SE Asia: High oil and gas supply</t>
  </si>
  <si>
    <t>57-AEO2021.200.highogs-d120120a</t>
  </si>
  <si>
    <t>Air Travel: Fuel Use: Commercial: Jet Fuel: SW Asia: High oil and gas supply</t>
  </si>
  <si>
    <t>57-AEO2021.201.highogs-d120120a</t>
  </si>
  <si>
    <t>Air Travel: Fuel Use: Commercial: Jet Fuel: Oceania: High oil and gas supply</t>
  </si>
  <si>
    <t>57-AEO2021.202.highogs-d120120a</t>
  </si>
  <si>
    <t>Air Travel: Fuel Use: Commercial: Jet Fuel: World: High oil and gas supply</t>
  </si>
  <si>
    <t>57-AEO2021.203.highogs-d120120a</t>
  </si>
  <si>
    <t xml:space="preserve"> U.S.</t>
  </si>
  <si>
    <t>Air Travel: Fuel Use: Commercial: Aviation Gasoline: U.S.: High oil and gas supply</t>
  </si>
  <si>
    <t>57-AEO2021.204.highogs-d120120a</t>
  </si>
  <si>
    <t>Air Travel: Fuel Use: Military: Jet Fuel: U.S.: High oil and gas supply</t>
  </si>
  <si>
    <t>57-AEO2021.205.highogs-d120120a</t>
  </si>
  <si>
    <t>Table 48.  Aircraft Stock</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</si>
  <si>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</si>
  <si>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</si>
  <si>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</si>
  <si>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</si>
  <si>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</si>
  <si>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</si>
  <si>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</si>
  <si>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</si>
  <si>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</si>
  <si>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</si>
  <si>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</si>
  <si>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</si>
  <si>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</si>
  <si>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</si>
  <si>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</si>
  <si>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</si>
  <si>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</si>
  <si>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</si>
  <si>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</si>
  <si>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</si>
  <si>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</si>
  <si>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</si>
  <si>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</si>
  <si>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</si>
  <si>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</si>
  <si>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</si>
  <si>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</si>
  <si>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</si>
  <si>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</si>
  <si>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</si>
  <si>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</si>
  <si>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</si>
  <si>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</si>
  <si>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</si>
  <si>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</si>
  <si>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</si>
  <si>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</si>
  <si>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</si>
  <si>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</si>
  <si>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</si>
  <si>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</si>
  <si>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</si>
  <si>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</si>
  <si>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</si>
  <si>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</si>
  <si>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</si>
  <si>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</si>
  <si>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</si>
  <si>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</si>
  <si>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</si>
  <si>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</si>
  <si>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</si>
  <si>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</si>
  <si>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</si>
  <si>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</si>
  <si>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</si>
  <si>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</si>
  <si>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</si>
  <si>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</si>
  <si>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</si>
  <si>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</si>
  <si>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</si>
  <si>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</si>
  <si>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</si>
  <si>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</si>
  <si>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</si>
  <si>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</si>
  <si>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</si>
  <si>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</si>
  <si>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</si>
  <si>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</si>
  <si>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</si>
  <si>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</si>
  <si>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</si>
  <si>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</si>
  <si>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</si>
  <si>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</si>
  <si>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</si>
  <si>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</si>
  <si>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</si>
  <si>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</si>
  <si>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</si>
  <si>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</si>
  <si>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</si>
  <si>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</si>
  <si>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</si>
  <si>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</si>
  <si>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</si>
  <si>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</si>
  <si>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</si>
  <si>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</si>
  <si>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</si>
  <si>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</si>
  <si>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</si>
  <si>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</si>
  <si>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</si>
  <si>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</si>
  <si>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</si>
  <si>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</si>
  <si>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</si>
  <si>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</si>
  <si>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</si>
  <si>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</si>
  <si>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</si>
  <si>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</si>
  <si>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</si>
  <si>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</si>
  <si>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</si>
  <si>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</si>
  <si>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</si>
  <si>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</si>
  <si>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</si>
  <si>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</si>
  <si>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</si>
  <si>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</si>
  <si>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</si>
  <si>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</si>
  <si>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</si>
  <si>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</si>
  <si>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</si>
  <si>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</si>
  <si>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</si>
  <si>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</si>
  <si>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</si>
  <si>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</si>
  <si>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</si>
  <si>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</si>
  <si>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</si>
  <si>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</si>
  <si>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</si>
  <si>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</si>
  <si>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</si>
  <si>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</si>
  <si>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</si>
  <si>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</si>
  <si>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</si>
  <si>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</si>
  <si>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</si>
  <si>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</si>
  <si>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</si>
  <si>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</si>
  <si>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</si>
  <si>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</si>
  <si>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</si>
  <si>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</si>
  <si>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</si>
  <si>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</si>
  <si>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</si>
  <si>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</si>
  <si>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</si>
  <si>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</si>
  <si>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</si>
  <si>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</si>
  <si>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</si>
  <si>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</si>
  <si>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</si>
  <si>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</si>
  <si>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</si>
  <si>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</si>
  <si>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</si>
  <si>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</si>
  <si>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</si>
  <si>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</si>
  <si>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</si>
  <si>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</si>
  <si>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</si>
  <si>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</si>
  <si>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</si>
  <si>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</si>
  <si>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</si>
  <si>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</si>
  <si>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</si>
  <si>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</si>
  <si>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</si>
  <si>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</si>
  <si>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</si>
  <si>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</si>
  <si>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</si>
  <si>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</si>
  <si>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</si>
  <si>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</si>
  <si>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</si>
  <si>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</si>
  <si>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</si>
  <si>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</si>
  <si>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</si>
  <si>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</si>
  <si>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</si>
  <si>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</si>
  <si>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</si>
  <si>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</si>
  <si>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</si>
  <si>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</si>
  <si>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</si>
  <si>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</si>
  <si>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</si>
  <si>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</si>
  <si>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</si>
  <si>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</si>
  <si>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</si>
  <si>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</si>
  <si>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</si>
  <si>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</si>
  <si>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</si>
  <si>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</si>
  <si>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</si>
  <si>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</si>
  <si>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</si>
  <si>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</si>
  <si>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</si>
  <si>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</si>
  <si>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</si>
  <si>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</si>
  <si>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</si>
  <si>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</si>
  <si>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</si>
  <si>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</si>
  <si>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</si>
  <si>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</si>
  <si>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</si>
  <si>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</si>
  <si>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</si>
  <si>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</si>
  <si>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</si>
  <si>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</si>
  <si>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</si>
  <si>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</si>
  <si>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</si>
  <si>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</si>
  <si>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</si>
  <si>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</si>
  <si>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</si>
  <si>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</si>
  <si>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</si>
  <si>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</si>
  <si>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</si>
  <si>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</si>
  <si>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</si>
  <si>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</si>
  <si>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</si>
  <si>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</si>
  <si>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</si>
  <si>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</si>
  <si>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</si>
  <si>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</si>
  <si>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</si>
  <si>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</si>
  <si>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</si>
  <si>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</si>
  <si>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</si>
  <si>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</si>
  <si>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</si>
  <si>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</si>
  <si>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</si>
  <si>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</si>
  <si>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</si>
  <si>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</si>
  <si>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</si>
  <si>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</si>
  <si>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</si>
  <si>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</si>
  <si>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</si>
  <si>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</si>
  <si>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</si>
  <si>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</si>
  <si>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</si>
  <si>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</si>
  <si>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</si>
  <si>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</si>
  <si>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</si>
  <si>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</si>
  <si>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</si>
  <si>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</si>
  <si>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</si>
  <si>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</si>
  <si>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</si>
  <si>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</si>
  <si>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</si>
  <si>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</si>
  <si>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</si>
  <si>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</si>
  <si>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</si>
  <si>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</si>
  <si>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</si>
  <si>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</si>
  <si>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</si>
  <si>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</si>
  <si>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</si>
  <si>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</si>
  <si>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</si>
  <si>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</si>
  <si>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</si>
  <si>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</si>
  <si>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</si>
  <si>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</si>
  <si>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</si>
  <si>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</si>
  <si>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</si>
  <si>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</si>
  <si>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</si>
  <si>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</si>
  <si>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</si>
  <si>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</si>
  <si>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</si>
  <si>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</si>
  <si>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</si>
  <si>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</si>
  <si>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</si>
  <si>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</si>
  <si>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</si>
  <si>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</si>
  <si>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</si>
  <si>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</si>
  <si>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</si>
  <si>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</si>
  <si>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</si>
  <si>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</si>
  <si>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</si>
  <si>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</si>
  <si>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</si>
  <si>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</si>
  <si>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</si>
  <si>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</si>
  <si>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</si>
  <si>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</si>
  <si>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</si>
  <si>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</si>
  <si>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</si>
  <si>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</si>
  <si>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</si>
  <si>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</si>
  <si>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</si>
  <si>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</si>
  <si>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</si>
  <si>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</si>
  <si>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</si>
  <si>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</si>
  <si>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</si>
  <si>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</si>
  <si>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</si>
  <si>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</si>
  <si>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</si>
  <si>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</si>
  <si>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</si>
  <si>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</si>
  <si>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</si>
  <si>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</si>
  <si>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</si>
  <si>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</si>
  <si>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</si>
  <si>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</si>
  <si>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</si>
  <si>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Table 49.  Freight Transportation Energy Use</t>
  </si>
  <si>
    <t>https://www.eia.gov/outlooks/aeo/data/browser/#/?id=58-AEO2021&amp;region=0-0&amp;cases=highogs&amp;start=2020&amp;end=2050&amp;f=A&amp;linechart=highogs-d120120a.6-58-AEO2021&amp;sourcekey=0</t>
  </si>
  <si>
    <t>Tue Mar 09 2021 13:19:38 GMT-0800 (Pacific Standard Time)</t>
  </si>
  <si>
    <t>Vehicle Miles Traveled (billion miles)</t>
  </si>
  <si>
    <t>Ethanol-Flex Fuel</t>
  </si>
  <si>
    <t>Plug-in Diesel Hybrid</t>
  </si>
  <si>
    <t>Plug-in Gasoline Hybrid</t>
  </si>
  <si>
    <t>Light Medium Subtotal</t>
  </si>
  <si>
    <t>Medium Subtotal</t>
  </si>
  <si>
    <t>Heavy</t>
  </si>
  <si>
    <t>Heavy Subtotal</t>
  </si>
  <si>
    <t>Total Vehicle Miles Traveled</t>
  </si>
  <si>
    <t>Consumption (trillion Btu)</t>
  </si>
  <si>
    <t>Fuel Efficiency (miles per gallon)</t>
  </si>
  <si>
    <t>Light Medium Average</t>
  </si>
  <si>
    <t>Medium Average</t>
  </si>
  <si>
    <t>Heavy Average</t>
  </si>
  <si>
    <t>Average Fuel Efficiency</t>
  </si>
  <si>
    <t>Stock (millions)</t>
  </si>
  <si>
    <t>Total Stock</t>
  </si>
  <si>
    <t>Sales (thousands)</t>
  </si>
  <si>
    <t>Ton Miles by Rail (billion)</t>
  </si>
  <si>
    <t>Fuel Efficiency (ton miles per thousand Btu)</t>
  </si>
  <si>
    <t>Ton Miles Shipping (billion)</t>
  </si>
  <si>
    <t>Gross Trade (billion 2012 dollars)</t>
  </si>
  <si>
    <t>Exports (billion 2012 dollars)</t>
  </si>
  <si>
    <t>Imports (billion 2012 dollars)</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</si>
  <si>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</si>
  <si>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</si>
  <si>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</si>
  <si>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</si>
  <si>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</si>
  <si>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</si>
  <si>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</si>
  <si>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</si>
  <si>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</si>
  <si>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</si>
  <si>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</si>
  <si>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</si>
  <si>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</si>
  <si>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</si>
  <si>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</si>
  <si>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</si>
  <si>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</si>
  <si>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</si>
  <si>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</si>
  <si>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</si>
  <si>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</si>
  <si>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</si>
  <si>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</si>
  <si>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</si>
  <si>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</si>
  <si>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</si>
  <si>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</si>
  <si>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</si>
  <si>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</si>
  <si>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</si>
  <si>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</si>
  <si>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</si>
  <si>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</si>
  <si>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</si>
  <si>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</si>
  <si>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</si>
  <si>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</si>
  <si>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</si>
  <si>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</si>
  <si>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</si>
  <si>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</si>
  <si>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</si>
  <si>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</si>
  <si>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</si>
  <si>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</si>
  <si>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</si>
  <si>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</si>
  <si>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</si>
  <si>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</si>
  <si>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</si>
  <si>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</si>
  <si>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</si>
  <si>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</si>
  <si>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</si>
  <si>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</si>
  <si>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</si>
  <si>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</si>
  <si>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</si>
  <si>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</si>
  <si>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</si>
  <si>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</si>
  <si>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</si>
  <si>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</si>
  <si>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</si>
  <si>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</si>
  <si>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</si>
  <si>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</si>
  <si>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</si>
  <si>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</si>
  <si>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</si>
  <si>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</si>
  <si>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</si>
  <si>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</si>
  <si>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</si>
  <si>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</si>
  <si>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</si>
  <si>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</si>
  <si>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</si>
  <si>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</si>
  <si>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</si>
  <si>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</si>
  <si>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</si>
  <si>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</si>
  <si>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</si>
  <si>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</si>
  <si>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</si>
  <si>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</si>
  <si>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</si>
  <si>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</si>
  <si>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</si>
  <si>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</si>
  <si>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</si>
  <si>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</si>
  <si>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</si>
  <si>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</si>
  <si>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</si>
  <si>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</si>
  <si>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</si>
  <si>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</si>
  <si>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</si>
  <si>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</si>
  <si>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</si>
  <si>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</si>
  <si>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</si>
  <si>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</si>
  <si>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</si>
  <si>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</si>
  <si>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</si>
  <si>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</si>
  <si>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</si>
  <si>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</si>
  <si>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</si>
  <si>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</si>
  <si>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</si>
  <si>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</si>
  <si>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</si>
  <si>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</si>
  <si>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</si>
  <si>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</si>
  <si>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</si>
  <si>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</si>
  <si>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</si>
  <si>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</si>
  <si>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</si>
  <si>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</si>
  <si>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</si>
  <si>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</si>
  <si>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</si>
  <si>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</si>
  <si>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</si>
  <si>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</si>
  <si>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 xml:space="preserve"> Medium</t>
  </si>
  <si>
    <t xml:space="preserve"> and Heavy Total</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</si>
  <si>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</si>
  <si>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</si>
  <si>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</si>
  <si>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</si>
  <si>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</si>
  <si>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</si>
  <si>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</si>
  <si>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</si>
  <si>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</si>
  <si>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</si>
  <si>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</si>
  <si>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</si>
  <si>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</si>
  <si>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</si>
  <si>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</si>
  <si>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</si>
  <si>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</si>
  <si>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</si>
  <si>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</si>
  <si>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</si>
  <si>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</si>
  <si>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</si>
  <si>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</si>
  <si>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</si>
  <si>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</si>
  <si>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mpg diesel equiv</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</si>
  <si>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</si>
  <si>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</si>
  <si>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</si>
  <si>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</si>
  <si>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</si>
  <si>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</si>
  <si>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</si>
  <si>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</si>
  <si>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</si>
  <si>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</si>
  <si>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</si>
  <si>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</si>
  <si>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</si>
  <si>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</si>
  <si>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</si>
  <si>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</si>
  <si>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</si>
  <si>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</si>
  <si>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</si>
  <si>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</si>
  <si>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</si>
  <si>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</si>
  <si>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</si>
  <si>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</si>
  <si>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</si>
  <si>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</si>
  <si>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</si>
  <si>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</si>
  <si>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</si>
  <si>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mpg</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</si>
  <si>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</si>
  <si>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</si>
  <si>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</si>
  <si>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</si>
  <si>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</si>
  <si>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</si>
  <si>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</si>
  <si>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</si>
  <si>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</si>
  <si>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</si>
  <si>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</si>
  <si>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</si>
  <si>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</si>
  <si>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</si>
  <si>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</si>
  <si>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</si>
  <si>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</si>
  <si>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</si>
  <si>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</si>
  <si>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</si>
  <si>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</si>
  <si>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</si>
  <si>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</si>
  <si>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</si>
  <si>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</si>
  <si>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</si>
  <si>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</si>
  <si>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</si>
  <si>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</si>
  <si>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</si>
  <si>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</si>
  <si>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</si>
  <si>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</si>
  <si>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</si>
  <si>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</si>
  <si>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</si>
  <si>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</si>
  <si>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</si>
  <si>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</si>
  <si>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</si>
  <si>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</si>
  <si>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</si>
  <si>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</si>
  <si>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</si>
  <si>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</si>
  <si>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</si>
  <si>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</si>
  <si>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</si>
  <si>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</si>
  <si>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</si>
  <si>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</si>
  <si>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</si>
  <si>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</si>
  <si>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</si>
  <si>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</si>
  <si>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</si>
  <si>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</si>
  <si>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</si>
  <si>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</si>
  <si>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</si>
  <si>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</si>
  <si>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</si>
  <si>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</si>
  <si>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</si>
  <si>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</si>
  <si>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</si>
  <si>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</si>
  <si>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</si>
  <si>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</si>
  <si>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</si>
  <si>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</si>
  <si>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</si>
  <si>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</si>
  <si>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</si>
  <si>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</si>
  <si>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</si>
  <si>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</si>
  <si>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</si>
  <si>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</si>
  <si>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</si>
  <si>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</si>
  <si>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</si>
  <si>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</si>
  <si>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</si>
  <si>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</si>
  <si>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</si>
  <si>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</si>
  <si>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</si>
  <si>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</si>
  <si>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</si>
  <si>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</si>
  <si>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</si>
  <si>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</si>
  <si>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</si>
  <si>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</si>
  <si>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</si>
  <si>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</si>
  <si>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</si>
  <si>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</si>
  <si>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</si>
  <si>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</si>
  <si>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</si>
  <si>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</si>
  <si>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</si>
  <si>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</si>
  <si>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</si>
  <si>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</si>
  <si>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</si>
  <si>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</si>
  <si>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</si>
  <si>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</si>
  <si>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</si>
  <si>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</si>
  <si>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</si>
  <si>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</si>
  <si>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</si>
  <si>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</si>
  <si>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</si>
  <si>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</si>
  <si>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</si>
  <si>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</si>
  <si>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</si>
  <si>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</si>
  <si>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</si>
  <si>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</si>
  <si>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</si>
  <si>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</si>
  <si>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</si>
  <si>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</si>
  <si>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</si>
  <si>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</si>
  <si>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</si>
  <si>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</si>
  <si>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</si>
  <si>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</si>
  <si>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</si>
  <si>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</si>
  <si>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</si>
  <si>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</si>
  <si>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</si>
  <si>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</si>
  <si>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</si>
  <si>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</si>
  <si>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</si>
  <si>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</si>
  <si>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</si>
  <si>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</si>
  <si>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</si>
  <si>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</si>
  <si>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</si>
  <si>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</si>
  <si>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</si>
  <si>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</si>
  <si>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</si>
  <si>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</si>
  <si>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</si>
  <si>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</si>
  <si>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</si>
  <si>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</si>
  <si>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</si>
  <si>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</si>
  <si>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</si>
  <si>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</si>
  <si>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</si>
  <si>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</si>
  <si>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</si>
  <si>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</si>
  <si>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</si>
  <si>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</si>
  <si>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</si>
  <si>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</si>
  <si>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</si>
  <si>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</si>
  <si>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</si>
  <si>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</si>
  <si>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</si>
  <si>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</si>
  <si>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</si>
  <si>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</si>
  <si>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</si>
  <si>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</si>
  <si>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</si>
  <si>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</si>
  <si>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</si>
  <si>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</si>
  <si>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</si>
  <si>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</si>
  <si>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</si>
  <si>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</si>
  <si>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</si>
  <si>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</si>
  <si>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</si>
  <si>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</si>
  <si>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</si>
  <si>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</si>
  <si>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</si>
  <si>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</si>
  <si>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</si>
  <si>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</si>
  <si>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</si>
  <si>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</si>
  <si>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</si>
  <si>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</si>
  <si>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</si>
  <si>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</si>
  <si>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</si>
  <si>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</si>
  <si>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</si>
  <si>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</si>
  <si>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</si>
  <si>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</si>
  <si>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</si>
  <si>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</si>
  <si>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</si>
  <si>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</si>
  <si>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</si>
  <si>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</si>
  <si>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</si>
  <si>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</si>
  <si>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</si>
  <si>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</si>
  <si>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</si>
  <si>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</si>
  <si>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</si>
  <si>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</si>
  <si>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</si>
  <si>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</si>
  <si>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</si>
  <si>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</si>
  <si>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</si>
  <si>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</si>
  <si>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</si>
  <si>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</si>
  <si>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</si>
  <si>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</si>
  <si>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billions</t>
  </si>
  <si>
    <t>Freight: Railroads: Fuel Efficiency: High oil and gas supply</t>
  </si>
  <si>
    <t>58-AEO2021.268.highogs-d120120a</t>
  </si>
  <si>
    <t>ton miles/thousand B</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</si>
  <si>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</si>
  <si>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</si>
  <si>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</si>
  <si>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</si>
  <si>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</si>
  <si>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</si>
  <si>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</si>
  <si>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</si>
  <si>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</si>
  <si>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</si>
  <si>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</si>
  <si>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</si>
  <si>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</si>
  <si>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</si>
  <si>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</si>
  <si>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</si>
  <si>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</si>
  <si>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</si>
  <si>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</si>
  <si>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</si>
  <si>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</si>
  <si>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</si>
  <si>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</si>
  <si>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</si>
  <si>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</si>
  <si>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</si>
  <si>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billion 2012 $</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</si>
  <si>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</si>
  <si>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</si>
  <si>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</si>
  <si>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</si>
  <si>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</si>
  <si>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</si>
  <si>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</si>
  <si>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</si>
  <si>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</si>
  <si>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</si>
  <si>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</si>
  <si>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</si>
  <si>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</si>
  <si>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Fuel Economy</t>
  </si>
  <si>
    <t>New Sales</t>
  </si>
  <si>
    <t>Weighted Average Calculation</t>
  </si>
  <si>
    <t>highogs.d112619a</t>
  </si>
  <si>
    <t>highogs</t>
  </si>
  <si>
    <t>High oil and gas supply</t>
  </si>
  <si>
    <t>d112619a</t>
  </si>
  <si>
    <t xml:space="preserve"> January 2020</t>
  </si>
  <si>
    <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</si>
  <si>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</si>
  <si>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</si>
  <si>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</si>
  <si>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</si>
  <si>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</si>
  <si>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</si>
  <si>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</si>
  <si>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</si>
  <si>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</si>
  <si>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</si>
  <si>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</si>
  <si>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</si>
  <si>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</si>
  <si>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</si>
  <si>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billion passenger miles</t>
  </si>
  <si>
    <t>freight LDVs and HDVs</t>
  </si>
  <si>
    <t>Sources: see file trans/SYFAFE, AEO 7, AEO 49</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</si>
  <si>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</si>
  <si>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</si>
  <si>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</si>
  <si>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</si>
  <si>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</si>
  <si>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</si>
  <si>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</si>
  <si>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</si>
  <si>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</si>
  <si>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</si>
  <si>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</si>
  <si>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</si>
  <si>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</si>
  <si>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</si>
  <si>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</si>
  <si>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</si>
  <si>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</si>
  <si>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</si>
  <si>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</si>
  <si>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</si>
  <si>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</si>
  <si>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</si>
  <si>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</si>
  <si>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</si>
  <si>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</si>
  <si>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</si>
  <si>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</si>
  <si>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</si>
  <si>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</si>
  <si>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</si>
  <si>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</si>
  <si>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</si>
  <si>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</si>
  <si>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</si>
  <si>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</si>
  <si>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</si>
  <si>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</si>
  <si>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</si>
  <si>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</si>
  <si>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</si>
  <si>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</si>
  <si>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</si>
  <si>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</si>
  <si>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</si>
  <si>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</si>
  <si>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</si>
  <si>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</si>
  <si>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</si>
  <si>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</si>
  <si>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</si>
  <si>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</si>
  <si>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</si>
  <si>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</si>
  <si>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</si>
  <si>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</si>
  <si>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</si>
  <si>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</si>
  <si>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</si>
  <si>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</si>
  <si>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</si>
  <si>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</si>
  <si>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</si>
  <si>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</si>
  <si>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</si>
  <si>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</si>
  <si>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</si>
  <si>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</si>
  <si>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</si>
  <si>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</si>
  <si>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</si>
  <si>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</si>
  <si>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</si>
  <si>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</si>
  <si>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</si>
  <si>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</si>
  <si>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</si>
  <si>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</si>
  <si>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</si>
  <si>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</si>
  <si>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</si>
  <si>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</si>
  <si>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</si>
  <si>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</si>
  <si>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</si>
  <si>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</si>
  <si>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</si>
  <si>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</si>
  <si>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</si>
  <si>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</si>
  <si>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</si>
  <si>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</si>
  <si>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</si>
  <si>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</si>
  <si>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</si>
  <si>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</si>
  <si>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</si>
  <si>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</si>
  <si>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</si>
  <si>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</si>
  <si>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</si>
  <si>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</si>
  <si>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</si>
  <si>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</si>
  <si>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</si>
  <si>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</si>
  <si>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</si>
  <si>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</si>
  <si>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</si>
  <si>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</si>
  <si>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</si>
  <si>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</si>
  <si>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</si>
  <si>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</si>
  <si>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</si>
  <si>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</si>
  <si>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</si>
  <si>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</si>
  <si>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</si>
  <si>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</si>
  <si>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</si>
  <si>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</si>
  <si>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</si>
  <si>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</si>
  <si>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</si>
  <si>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</si>
  <si>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</si>
  <si>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</si>
  <si>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</si>
  <si>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</si>
  <si>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</si>
  <si>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</si>
  <si>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</si>
  <si>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</si>
  <si>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</si>
  <si>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</si>
  <si>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</si>
  <si>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</si>
  <si>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</si>
  <si>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</si>
  <si>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</si>
  <si>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</si>
  <si>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</si>
  <si>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</si>
  <si>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</si>
  <si>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</si>
  <si>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</si>
  <si>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</si>
  <si>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</si>
  <si>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</si>
  <si>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</si>
  <si>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</si>
  <si>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</si>
  <si>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</si>
  <si>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</si>
  <si>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</si>
  <si>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</si>
  <si>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</si>
  <si>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</si>
  <si>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</si>
  <si>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</si>
  <si>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</si>
  <si>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</si>
  <si>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</si>
  <si>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</si>
  <si>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</si>
  <si>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</si>
  <si>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</si>
  <si>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</si>
  <si>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</si>
  <si>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</si>
  <si>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</si>
  <si>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</si>
  <si>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</si>
  <si>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</si>
  <si>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</si>
  <si>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</si>
  <si>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</si>
  <si>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</si>
  <si>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</si>
  <si>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</si>
  <si>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</si>
  <si>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</si>
  <si>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</si>
  <si>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</si>
  <si>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</si>
  <si>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</si>
  <si>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</si>
  <si>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</si>
  <si>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</si>
  <si>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</si>
  <si>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</si>
  <si>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</si>
  <si>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</si>
  <si>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</si>
  <si>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</si>
  <si>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</si>
  <si>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</si>
  <si>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</si>
  <si>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</si>
  <si>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</si>
  <si>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</si>
  <si>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</si>
  <si>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</si>
  <si>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</si>
  <si>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</si>
  <si>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</si>
  <si>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</si>
  <si>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</si>
  <si>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</si>
  <si>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</si>
  <si>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</si>
  <si>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</si>
  <si>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</si>
  <si>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</si>
  <si>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</si>
  <si>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</si>
  <si>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</si>
  <si>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</si>
  <si>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</si>
  <si>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</si>
  <si>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</si>
  <si>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</si>
  <si>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</si>
  <si>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</si>
  <si>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</si>
  <si>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</si>
  <si>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</si>
  <si>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</si>
  <si>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</si>
  <si>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</si>
  <si>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</si>
  <si>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</si>
  <si>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</si>
  <si>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</si>
  <si>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</si>
  <si>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</si>
  <si>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</si>
  <si>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</si>
  <si>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</si>
  <si>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</si>
  <si>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</si>
  <si>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</si>
  <si>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</si>
  <si>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</si>
  <si>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</si>
  <si>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</si>
  <si>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</si>
  <si>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</si>
  <si>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</si>
  <si>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</si>
  <si>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</si>
  <si>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</si>
  <si>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</si>
  <si>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</si>
  <si>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</si>
  <si>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</si>
  <si>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2021, 2020</t>
  </si>
  <si>
    <t>Annual Energy Outlook 2021, 2020</t>
  </si>
  <si>
    <t>Tables 7, 35, 36, 38, 40, 47, 48, 49</t>
  </si>
  <si>
    <t>Sources: AEO 7, AEO 40, others as noted on "Calculations Etc" tab</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</si>
  <si>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</si>
  <si>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</si>
  <si>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</si>
  <si>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</si>
  <si>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</si>
  <si>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</si>
  <si>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</si>
  <si>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</si>
  <si>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</si>
  <si>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</si>
  <si>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</si>
  <si>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</si>
  <si>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</si>
  <si>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</si>
  <si>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</si>
  <si>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</si>
  <si>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</si>
  <si>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</si>
  <si>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</si>
  <si>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</si>
  <si>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</si>
  <si>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</si>
  <si>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</si>
  <si>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 freight LDVs</t>
  </si>
  <si>
    <t>ratio of new:stock, light medium truck</t>
  </si>
  <si>
    <t>ratio of new:stock, medium truck</t>
  </si>
  <si>
    <t>ratio of new:stock, commercial light truck</t>
  </si>
  <si>
    <t>Year</t>
  </si>
  <si>
    <t>Gasoline thousands</t>
  </si>
  <si>
    <t>TDI Diesel thousands</t>
  </si>
  <si>
    <t>Propane thousands</t>
  </si>
  <si>
    <t>CNG/LNG thousands</t>
  </si>
  <si>
    <t>Ethanol Flex thousands</t>
  </si>
  <si>
    <t>Electric thousands</t>
  </si>
  <si>
    <t>Plug-in Gas thousands</t>
  </si>
  <si>
    <t>Plug-in Diesel thousands</t>
  </si>
  <si>
    <t>Fuel Cell thousands</t>
  </si>
  <si>
    <t>Total thousands</t>
  </si>
  <si>
    <t>Fleet Vehicle Sales Commercial Light Trucks (Case High oil and gas supply)</t>
  </si>
  <si>
    <t>https://www.eia.gov/outlooks/aeo/data/browser/#/?id=54-AEO2021&amp;region=0-0&amp;cases=highogs&amp;start=2019&amp;end=2050&amp;f=A&amp;linechart=highogs-d120120a.57-54-AEO2021~highogs-d120120a.58-54-AEO2021~highogs-d120120a.59-54-AEO2021~highogs-d120120a.60-54-AEO2021~highogs-d120120a.61-54-AEO2021~highogs-d120120a.62-54-AEO2021~highogs-d120120a.63-54-AEO2021~highogs-d120120a.64-54-AEO2021~highogs-d120120a.65-54-AEO2021~highogs-d120120a.66-54-AEO2021&amp;ctype=linechart&amp;sourcekey=0</t>
  </si>
  <si>
    <t>10:14:56 GMT-0700 (Pacific Daylight Time)</t>
  </si>
  <si>
    <t>sales, commercial light truck</t>
  </si>
  <si>
    <t>sales, light medium truck</t>
  </si>
  <si>
    <t>sales, medium truck</t>
  </si>
  <si>
    <t>stock fuel economy, commercial light truck</t>
  </si>
  <si>
    <t>stock fuel economy, light medium truck</t>
  </si>
  <si>
    <t>stock fuel economy, medium truck</t>
  </si>
  <si>
    <t>weighted average ratio of 2020:2020 stock fuel economy</t>
  </si>
  <si>
    <t>weighted average ratio of new:stock</t>
  </si>
  <si>
    <t>2020:2019</t>
  </si>
  <si>
    <t>Fuel Economy (passenger*miles/BTU)</t>
  </si>
  <si>
    <t>buses</t>
  </si>
  <si>
    <t>We classify AEO's light commercial trucks category as well as light-medium and medium duty vehicles</t>
  </si>
  <si>
    <t>in "freight LDVs" and heavy duty vehicles in "freight HDVs."</t>
  </si>
  <si>
    <t>newly sold efficiency to stock efficiency. This adjustment is used for all vehicle technologies.</t>
  </si>
  <si>
    <t>The AEO does not include data on new vehicle efficiency. Therefore, we start with the stock efficiency values calculated in SYFAFE, adjust for the growth</t>
  </si>
  <si>
    <t xml:space="preserve">We then increase efficiency in line with new vehicle fuel economy improvements from AEO. The exception is for electric vehicles, where we take new </t>
  </si>
  <si>
    <t>vehicle fuel economy directly.</t>
  </si>
  <si>
    <t xml:space="preserve">in efficiency between 2019 and 2020, and adjust for the ratio of newly sold efficiency to stock efficiency for freight HDVs. We then improve fuel economy </t>
  </si>
  <si>
    <t>at the same rate as freight HDVs.</t>
  </si>
  <si>
    <t>We start with the stock fuel economy values calculated in SYFAFE, then adjust for the growth in efficiency between 2019 and 2020 and adjust for the ratio</t>
  </si>
  <si>
    <t>of newly sold efficiency to stock efficiency for aircraft.</t>
  </si>
  <si>
    <t>passenger ships and passenger motorbikes</t>
  </si>
  <si>
    <t>We start with the stock fuel economy values calculated in SYFAFE and assume fuel economy is constant through 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</si>
</sst>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_(&quot;$&quot;* #,##0.00_);_(&quot;$&quot;* \(#,##0.00\);_(&quot;$&quot;* &quot;-&quot;??_);_(@_)"/>
    <numFmt numFmtId="177" formatCode="_(* #,##0.00_);_(* \(#,##0.00\);_(* &quot;-&quot;??_);_(@_)"/>
    <numFmt numFmtId="178" formatCode="0.0%"/>
    <numFmt numFmtId="179" formatCode="#,##0.0"/>
    <numFmt numFmtId="180" formatCode="###0.00_)"/>
    <numFmt numFmtId="181" formatCode="#,##0_)"/>
    <numFmt numFmtId="182" formatCode="&quot;(R)&quot;\ #,##0;&quot;(R) -&quot;#,##0;&quot;(R) &quot;\ 0"/>
    <numFmt numFmtId="183" formatCode="0.000"/>
    <numFmt numFmtId="184" formatCode="0.0000E+00"/>
    <numFmt numFmtId="185" formatCode="0.000E+00"/>
  </numFmts>
  <fonts count="60">
    <font>
      <sz val="11"/>
      <color theme="1"/>
      <name val="宋体"/>
      <family val="2"/>
      <scheme val="minor"/>
    </font>
    <font>
      <sz val="11"/>
      <color theme="1"/>
      <name val="宋体"/>
      <family val="2"/>
      <scheme val="minor"/>
    </font>
    <font>
      <b/>
      <sz val="11"/>
      <color theme="1"/>
      <name val="宋体"/>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宋体"/>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宋体"/>
      <family val="2"/>
      <scheme val="minor"/>
    </font>
    <font>
      <b/>
      <i/>
      <sz val="11"/>
      <color theme="1"/>
      <name val="宋体"/>
      <family val="2"/>
      <scheme val="minor"/>
    </font>
    <font>
      <sz val="10"/>
      <name val="Calibri"/>
      <family val="2"/>
    </font>
    <font>
      <sz val="10"/>
      <color indexed="8"/>
      <name val="Calibri"/>
      <family val="2"/>
    </font>
    <font>
      <sz val="9"/>
      <name val="Calibri"/>
      <family val="2"/>
    </font>
    <font>
      <sz val="10"/>
      <color indexed="8"/>
      <name val="Arial"/>
      <family val="2"/>
    </font>
    <font>
      <sz val="9"/>
      <name val="宋体"/>
      <family val="3"/>
      <charset val="134"/>
      <scheme val="minor"/>
    </font>
  </fonts>
  <fills count="36">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56">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21" borderId="0" applyNumberFormat="0" applyBorder="0" applyAlignment="0" applyProtection="0"/>
    <xf numFmtId="0" fontId="10" fillId="5" borderId="0" applyNumberFormat="0" applyBorder="0" applyAlignment="0" applyProtection="0"/>
    <xf numFmtId="0" fontId="3" fillId="0" borderId="4" applyNumberFormat="0" applyFont="0" applyProtection="0">
      <alignment wrapText="1"/>
    </xf>
    <xf numFmtId="0" fontId="11" fillId="22" borderId="6" applyNumberFormat="0" applyAlignment="0" applyProtection="0"/>
    <xf numFmtId="0" fontId="12" fillId="23" borderId="7" applyNumberFormat="0" applyAlignment="0" applyProtection="0"/>
    <xf numFmtId="0" fontId="13" fillId="0" borderId="0">
      <alignment horizontal="center" vertical="center" wrapText="1"/>
    </xf>
    <xf numFmtId="177" fontId="14" fillId="0" borderId="0" applyFont="0" applyFill="0" applyBorder="0" applyAlignment="0" applyProtection="0"/>
    <xf numFmtId="177" fontId="1" fillId="0" borderId="0" applyFont="0" applyFill="0" applyBorder="0" applyAlignment="0" applyProtection="0"/>
    <xf numFmtId="177" fontId="8" fillId="0" borderId="0" applyFont="0" applyFill="0" applyBorder="0" applyAlignment="0" applyProtection="0"/>
    <xf numFmtId="177" fontId="14"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0" fontId="15" fillId="0" borderId="0">
      <alignment horizontal="left" vertical="center" wrapText="1"/>
    </xf>
    <xf numFmtId="176" fontId="1" fillId="0" borderId="0" applyFont="0" applyFill="0" applyBorder="0" applyAlignment="0" applyProtection="0"/>
    <xf numFmtId="176" fontId="1" fillId="0" borderId="0" applyFont="0" applyFill="0" applyBorder="0" applyAlignment="0" applyProtection="0"/>
    <xf numFmtId="176" fontId="14" fillId="0" borderId="0" applyFont="0" applyFill="0" applyBorder="0" applyAlignment="0" applyProtection="0"/>
    <xf numFmtId="180" fontId="16" fillId="0" borderId="8" applyNumberFormat="0" applyFill="0">
      <alignment horizontal="right"/>
    </xf>
    <xf numFmtId="180" fontId="17" fillId="0" borderId="8" applyNumberFormat="0" applyFill="0">
      <alignment horizontal="right"/>
    </xf>
    <xf numFmtId="181" fontId="18" fillId="0" borderId="8">
      <alignment horizontal="right" vertical="center"/>
    </xf>
    <xf numFmtId="49" fontId="19" fillId="0" borderId="8">
      <alignment horizontal="left" vertical="center"/>
    </xf>
    <xf numFmtId="180" fontId="16" fillId="0" borderId="8" applyNumberFormat="0" applyFill="0">
      <alignment horizontal="right"/>
    </xf>
    <xf numFmtId="0" fontId="20"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1" fillId="6" borderId="0" applyNumberFormat="0" applyBorder="0" applyAlignment="0" applyProtection="0"/>
    <xf numFmtId="0" fontId="5" fillId="0" borderId="5"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applyNumberFormat="0" applyFont="0" applyAlignment="0" applyProtection="0"/>
    <xf numFmtId="0" fontId="14" fillId="26" borderId="15" applyNumberFormat="0" applyFont="0" applyAlignment="0" applyProtection="0"/>
    <xf numFmtId="0" fontId="34"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80" fontId="18" fillId="0" borderId="0" applyNumberFormat="0">
      <alignment horizontal="right"/>
    </xf>
    <xf numFmtId="0" fontId="27" fillId="27" borderId="0">
      <alignment horizontal="centerContinuous" vertical="center" wrapText="1"/>
    </xf>
    <xf numFmtId="0" fontId="27" fillId="0" borderId="17">
      <alignment horizontal="left" vertical="center"/>
    </xf>
    <xf numFmtId="0" fontId="7" fillId="0" borderId="0" applyNumberFormat="0" applyProtection="0">
      <alignment horizontal="left"/>
    </xf>
    <xf numFmtId="0" fontId="38" fillId="0" borderId="0" applyNumberFormat="0" applyFill="0" applyBorder="0" applyAlignment="0" applyProtection="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applyNumberFormat="0" applyFill="0" applyAlignment="0" applyProtection="0"/>
    <xf numFmtId="0" fontId="41" fillId="0" borderId="0" applyNumberFormat="0" applyFill="0" applyBorder="0" applyAlignment="0" applyProtection="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applyFont="0" applyFill="0" applyBorder="0" applyAlignment="0" applyProtection="0"/>
    <xf numFmtId="0" fontId="53" fillId="0" borderId="0" applyNumberFormat="0" applyFill="0" applyBorder="0" applyAlignment="0" applyProtection="0"/>
    <xf numFmtId="177" fontId="1" fillId="0" borderId="0" applyFont="0" applyFill="0" applyBorder="0" applyAlignment="0" applyProtection="0"/>
  </cellStyleXfs>
  <cellXfs count="129">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Fill="1" applyBorder="1" applyAlignment="1">
      <alignment horizontal="left" indent="1"/>
    </xf>
    <xf numFmtId="3" fontId="47" fillId="0" borderId="0" xfId="50" applyNumberFormat="1" applyFont="1" applyFill="1" applyBorder="1" applyAlignment="1">
      <alignment horizontal="left" vertical="top" indent="1"/>
    </xf>
    <xf numFmtId="3" fontId="49" fillId="0" borderId="0" xfId="50" applyNumberFormat="1" applyFont="1" applyFill="1" applyBorder="1" applyAlignment="1">
      <alignment horizontal="left"/>
    </xf>
    <xf numFmtId="183"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78" fontId="0" fillId="0" borderId="0" xfId="0" applyNumberFormat="1"/>
    <xf numFmtId="0" fontId="53"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78" fontId="0" fillId="0" borderId="4" xfId="4" applyNumberFormat="1" applyFont="1" applyAlignment="1">
      <alignment horizontal="right" wrapText="1"/>
    </xf>
    <xf numFmtId="179"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78"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79"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2" fillId="30" borderId="0" xfId="0" applyFont="1" applyFill="1"/>
    <xf numFmtId="0" fontId="3" fillId="29" borderId="0" xfId="1" applyFill="1"/>
    <xf numFmtId="0" fontId="42" fillId="31" borderId="0" xfId="0" applyFont="1" applyFill="1"/>
    <xf numFmtId="0" fontId="0" fillId="31" borderId="0" xfId="0" applyFill="1"/>
    <xf numFmtId="2" fontId="0" fillId="0" borderId="0" xfId="0" applyNumberFormat="1"/>
    <xf numFmtId="2" fontId="0" fillId="31" borderId="0" xfId="0" applyNumberFormat="1" applyFill="1"/>
    <xf numFmtId="177" fontId="0" fillId="0" borderId="0" xfId="155" applyFont="1"/>
    <xf numFmtId="0" fontId="0" fillId="30" borderId="0" xfId="0" applyFill="1"/>
    <xf numFmtId="0" fontId="54" fillId="31" borderId="0" xfId="0" applyFont="1" applyFill="1"/>
    <xf numFmtId="177" fontId="0" fillId="31" borderId="0" xfId="155" applyFont="1" applyFill="1"/>
    <xf numFmtId="177" fontId="0" fillId="0" borderId="0" xfId="0" applyNumberFormat="1"/>
    <xf numFmtId="11" fontId="0" fillId="0" borderId="0" xfId="155" applyNumberFormat="1" applyFont="1"/>
    <xf numFmtId="177" fontId="0" fillId="31" borderId="0" xfId="0" applyNumberFormat="1" applyFill="1"/>
    <xf numFmtId="0" fontId="0" fillId="32" borderId="0" xfId="0" applyFill="1"/>
    <xf numFmtId="177" fontId="0" fillId="32" borderId="0" xfId="0" applyNumberFormat="1" applyFill="1"/>
    <xf numFmtId="0" fontId="0" fillId="28" borderId="0" xfId="0" applyFill="1"/>
    <xf numFmtId="0" fontId="0" fillId="33" borderId="0" xfId="0" applyFill="1"/>
    <xf numFmtId="0" fontId="6" fillId="31" borderId="0" xfId="1" applyFont="1" applyFill="1"/>
    <xf numFmtId="0" fontId="0" fillId="0" borderId="0" xfId="155" applyNumberFormat="1" applyFont="1"/>
    <xf numFmtId="11" fontId="0" fillId="31" borderId="0" xfId="155" applyNumberFormat="1" applyFont="1" applyFill="1"/>
    <xf numFmtId="9" fontId="0" fillId="0" borderId="0" xfId="153" applyFont="1"/>
    <xf numFmtId="184" fontId="0" fillId="0" borderId="0" xfId="155" applyNumberFormat="1" applyFont="1"/>
    <xf numFmtId="0" fontId="42" fillId="0" borderId="0" xfId="155" applyNumberFormat="1" applyFont="1"/>
    <xf numFmtId="183" fontId="0" fillId="0" borderId="0" xfId="155" applyNumberFormat="1" applyFont="1"/>
    <xf numFmtId="0" fontId="0" fillId="0" borderId="0" xfId="0" applyAlignment="1">
      <alignment horizontal="left" wrapText="1"/>
    </xf>
    <xf numFmtId="184" fontId="0" fillId="0" borderId="0" xfId="0" applyNumberFormat="1"/>
    <xf numFmtId="0" fontId="3" fillId="0" borderId="2" xfId="2">
      <alignment wrapText="1"/>
    </xf>
    <xf numFmtId="3" fontId="43" fillId="0" borderId="0" xfId="50" applyNumberFormat="1" applyFont="1" applyFill="1" applyBorder="1" applyAlignment="1">
      <alignment wrapText="1"/>
    </xf>
    <xf numFmtId="0" fontId="52" fillId="0" borderId="20" xfId="0" applyFont="1" applyBorder="1" applyAlignment="1">
      <alignment wrapText="1"/>
    </xf>
    <xf numFmtId="0" fontId="51"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0" fontId="47" fillId="0" borderId="0" xfId="0" applyFont="1" applyAlignment="1">
      <alignment horizontal="center"/>
    </xf>
    <xf numFmtId="3" fontId="49" fillId="0" borderId="0" xfId="50" applyNumberFormat="1" applyFont="1" applyFill="1" applyBorder="1">
      <alignment horizontal="right"/>
    </xf>
    <xf numFmtId="182" fontId="49" fillId="0" borderId="0" xfId="0" applyNumberFormat="1" applyFont="1" applyAlignment="1">
      <alignment horizontal="right"/>
    </xf>
    <xf numFmtId="3" fontId="49"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Fill="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9" fillId="0" borderId="0" xfId="0" applyFont="1"/>
    <xf numFmtId="3" fontId="49" fillId="0" borderId="0" xfId="0" applyNumberFormat="1" applyFont="1"/>
    <xf numFmtId="0" fontId="47" fillId="0" borderId="0" xfId="50" applyNumberFormat="1" applyFont="1" applyFill="1" applyBorder="1">
      <alignment horizontal="right"/>
    </xf>
    <xf numFmtId="0" fontId="49"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9" fillId="0" borderId="20" xfId="0" applyNumberFormat="1" applyFont="1" applyBorder="1" applyAlignment="1">
      <alignment horizontal="right"/>
    </xf>
    <xf numFmtId="3" fontId="49" fillId="0" borderId="20" xfId="50" applyNumberFormat="1" applyFont="1" applyFill="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5" fillId="0" borderId="0" xfId="0" applyFont="1"/>
    <xf numFmtId="0" fontId="56"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3" borderId="0" xfId="0" applyFont="1" applyFill="1"/>
    <xf numFmtId="0" fontId="6" fillId="31" borderId="0" xfId="0" applyFont="1" applyFill="1"/>
    <xf numFmtId="0" fontId="3" fillId="31" borderId="0" xfId="1" applyFill="1"/>
    <xf numFmtId="10" fontId="0" fillId="29" borderId="0" xfId="0" applyNumberFormat="1" applyFill="1"/>
    <xf numFmtId="9" fontId="0" fillId="0" borderId="0" xfId="153" applyFont="1" applyFill="1"/>
    <xf numFmtId="0" fontId="0" fillId="34" borderId="0" xfId="0" applyFill="1"/>
    <xf numFmtId="185" fontId="0" fillId="0" borderId="0" xfId="0" applyNumberFormat="1"/>
    <xf numFmtId="185" fontId="0" fillId="0" borderId="22" xfId="0" applyNumberFormat="1" applyBorder="1"/>
    <xf numFmtId="0" fontId="58" fillId="0" borderId="0" xfId="0" applyFont="1"/>
    <xf numFmtId="0" fontId="0" fillId="34"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78" fontId="0" fillId="35" borderId="0" xfId="153" applyNumberFormat="1" applyFont="1" applyFill="1" applyAlignment="1">
      <alignment horizontal="right"/>
    </xf>
    <xf numFmtId="0" fontId="0" fillId="0" borderId="0" xfId="0" applyAlignment="1">
      <alignment wrapText="1"/>
    </xf>
    <xf numFmtId="1" fontId="0" fillId="0" borderId="0" xfId="0" applyNumberFormat="1"/>
    <xf numFmtId="0" fontId="57" fillId="0" borderId="2" xfId="2" applyFont="1">
      <alignment wrapText="1"/>
    </xf>
    <xf numFmtId="0" fontId="0" fillId="0" borderId="2" xfId="0" applyBorder="1"/>
    <xf numFmtId="0" fontId="0" fillId="0" borderId="0" xfId="0"/>
    <xf numFmtId="0" fontId="3" fillId="0" borderId="2" xfId="2">
      <alignment wrapText="1"/>
    </xf>
  </cellXfs>
  <cellStyles count="156">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40% - Accent1 2" xfId="14" xr:uid="{00000000-0005-0000-0000-000006000000}"/>
    <cellStyle name="40% - Accent2 2" xfId="15" xr:uid="{00000000-0005-0000-0000-000007000000}"/>
    <cellStyle name="40% - Accent3 2" xfId="16" xr:uid="{00000000-0005-0000-0000-000008000000}"/>
    <cellStyle name="40% - Accent4 2" xfId="17" xr:uid="{00000000-0005-0000-0000-000009000000}"/>
    <cellStyle name="40% - Accent5 2" xfId="18" xr:uid="{00000000-0005-0000-0000-00000A000000}"/>
    <cellStyle name="40% - Accent6 2" xfId="19" xr:uid="{00000000-0005-0000-0000-00000B000000}"/>
    <cellStyle name="60% - Accent1 2" xfId="20" xr:uid="{00000000-0005-0000-0000-00000C000000}"/>
    <cellStyle name="60% - Accent2 2" xfId="21" xr:uid="{00000000-0005-0000-0000-00000D000000}"/>
    <cellStyle name="60% - Accent3 2" xfId="22" xr:uid="{00000000-0005-0000-0000-00000E000000}"/>
    <cellStyle name="60% - Accent4 2" xfId="23" xr:uid="{00000000-0005-0000-0000-00000F000000}"/>
    <cellStyle name="60% - Accent5 2" xfId="24" xr:uid="{00000000-0005-0000-0000-000010000000}"/>
    <cellStyle name="60% - Accent6 2" xfId="25" xr:uid="{00000000-0005-0000-0000-000011000000}"/>
    <cellStyle name="Accent1 2" xfId="26" xr:uid="{00000000-0005-0000-0000-000012000000}"/>
    <cellStyle name="Accent2 2" xfId="27" xr:uid="{00000000-0005-0000-0000-000013000000}"/>
    <cellStyle name="Accent3 2" xfId="28" xr:uid="{00000000-0005-0000-0000-000014000000}"/>
    <cellStyle name="Accent4 2" xfId="29" xr:uid="{00000000-0005-0000-0000-000015000000}"/>
    <cellStyle name="Accent5 2" xfId="30" xr:uid="{00000000-0005-0000-0000-000016000000}"/>
    <cellStyle name="Accent6 2" xfId="31" xr:uid="{00000000-0005-0000-0000-000017000000}"/>
    <cellStyle name="Bad 2" xfId="32" xr:uid="{00000000-0005-0000-0000-000018000000}"/>
    <cellStyle name="Body: normal cell" xfId="4" xr:uid="{00000000-0005-0000-0000-000019000000}"/>
    <cellStyle name="Body: normal cell 2" xfId="33" xr:uid="{00000000-0005-0000-0000-00001A000000}"/>
    <cellStyle name="Calculation 2" xfId="34" xr:uid="{00000000-0005-0000-0000-00001B000000}"/>
    <cellStyle name="Check Cell 2" xfId="35" xr:uid="{00000000-0005-0000-0000-00001C000000}"/>
    <cellStyle name="Column heading" xfId="36" xr:uid="{00000000-0005-0000-0000-00001D000000}"/>
    <cellStyle name="Comma 2" xfId="37" xr:uid="{00000000-0005-0000-0000-00001F000000}"/>
    <cellStyle name="Comma 2 2" xfId="38" xr:uid="{00000000-0005-0000-0000-000020000000}"/>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Font: Calibri, 9pt regular" xfId="6" xr:uid="{00000000-0005-0000-0000-000031000000}"/>
    <cellStyle name="Font: Calibri, 9pt regular 2" xfId="55" xr:uid="{00000000-0005-0000-0000-000032000000}"/>
    <cellStyle name="Footnotes: top row" xfId="2" xr:uid="{00000000-0005-0000-0000-000033000000}"/>
    <cellStyle name="Footnotes: top row 2" xfId="56" xr:uid="{00000000-0005-0000-0000-000034000000}"/>
    <cellStyle name="Good 2" xfId="57" xr:uid="{00000000-0005-0000-0000-000035000000}"/>
    <cellStyle name="Header: bottom row" xfId="5" xr:uid="{00000000-0005-0000-0000-000036000000}"/>
    <cellStyle name="Header: bottom row 2" xfId="58" xr:uid="{00000000-0005-0000-0000-000037000000}"/>
    <cellStyle name="Heading 1 2" xfId="59" xr:uid="{00000000-0005-0000-0000-000038000000}"/>
    <cellStyle name="Heading 2 2" xfId="60" xr:uid="{00000000-0005-0000-0000-000039000000}"/>
    <cellStyle name="Heading 3 2" xfId="61" xr:uid="{00000000-0005-0000-0000-00003A000000}"/>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78000000}"/>
    <cellStyle name="Parent row 2" xfId="120" xr:uid="{00000000-0005-0000-0000-000079000000}"/>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Warning Text 2" xfId="148" xr:uid="{00000000-0005-0000-0000-000097000000}"/>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 name="百分比" xfId="153" builtinId="5"/>
    <cellStyle name="常规" xfId="0" builtinId="0"/>
    <cellStyle name="超链接" xfId="154" builtinId="8"/>
    <cellStyle name="千位分隔" xfId="155"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MeganM/Documents/eps-us/InputData/trans/SYFAFE/Start%20Year%20Fleet%20Avg%20Fuel%20Economy.xlsx" TargetMode="External"/><Relationship Id="rId1" Type="http://schemas.openxmlformats.org/officeDocument/2006/relationships/externalLinkPath" Target="/Users/MeganM/Documents/eps-us/InputData/trans/SYFAFE/Start%20Year%20Fleet%20Avg%20Fuel%20Econom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olivia/Documents/EPS_Models%20by%20Region/RMI/Colorado/CO_Model/InputData/trans/SYFAFE/Start%20Year%20Fleet%20Avg%20Fuel%20Economy_v2.xlsx" TargetMode="External"/><Relationship Id="rId1" Type="http://schemas.openxmlformats.org/officeDocument/2006/relationships/externalLinkPath" Target="/Users/olivia/Documents/EPS_Models%20by%20Region/RMI/Colorado/CO_Model/InputData/trans/SYFAFE/Start%20Year%20Fleet%20Avg%20Fuel%20Economy_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MeganM/Desktop/US%203.1.3.1/InputData/trans/BNVFE/BAU%20New%20Veh%20Fuel%20Economy-.xlsx" TargetMode="External"/><Relationship Id="rId1" Type="http://schemas.openxmlformats.org/officeDocument/2006/relationships/externalLinkPath" Target="/Users/MeganM/Desktop/US%203.1.3.1/InputData/trans/BNVFE/BAU%20New%20Veh%20Fuel%20Economy-.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SYFAFE/cn-Start%20Year%20Fleet%20Avg%20Fuel%20Economy.xlsx" TargetMode="External"/><Relationship Id="rId2" Type="http://schemas.openxmlformats.org/officeDocument/2006/relationships/externalLinkPath" Target="file:///C:\Users\zhlxl\Desktop\EPS\eps-china2019-smart-trans\InputData\trans\SYFAFE\cn-Start%20Year%20Fleet%20Avg%20Fuel%20Economy.xlsx" TargetMode="External"/><Relationship Id="rId1" Type="http://schemas.openxmlformats.org/officeDocument/2006/relationships/externalLinkPath" Target="/Users/zhlxl/Desktop/EPS/eps-china2019-smart-trans/InputData/trans/SYFAFE/cn-Start%20Year%20Fleet%20Avg%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35"/>
      <sheetName val="AEO 36"/>
      <sheetName val="AEO 37"/>
      <sheetName val="AEO 38"/>
      <sheetName val="AEO 40"/>
      <sheetName val="AEO 41"/>
      <sheetName val="AEO 43"/>
      <sheetName val="AEO 46"/>
      <sheetName val="AEO 47"/>
      <sheetName val="AEO 48"/>
      <sheetName val="AEO 49"/>
      <sheetName val="LDVs"/>
      <sheetName val="SYVbT-passenger"/>
      <sheetName val="SYVbT-freight"/>
      <sheetName val="BAADTbVT-passenger"/>
      <sheetName val="BAADTbVT-frgt"/>
      <sheetName val="NTS 1-40"/>
      <sheetName val="NRBS 40"/>
      <sheetName val="Calculations Etc"/>
      <sheetName val="Calibration Adjustments"/>
      <sheetName val="SYFAFE-psgr"/>
      <sheetName val="SYFAFE-fr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36"/>
      <sheetName val="AEO 44"/>
      <sheetName val="AEO 47"/>
      <sheetName val="AEO 50"/>
      <sheetName val="AEO 37"/>
      <sheetName val="AEO 48"/>
      <sheetName val="AEO 49"/>
      <sheetName val="NTS 1-40"/>
      <sheetName val="NRBS 40"/>
      <sheetName val="Calculations Etc"/>
      <sheetName val="Calibration Adjustments"/>
      <sheetName val="SYFAFE-psgr"/>
      <sheetName val="SYFAFE-frgt"/>
    </sheetNames>
    <sheetDataSet>
      <sheetData sheetId="0">
        <row r="109">
          <cell r="A109">
            <v>1000000000</v>
          </cell>
        </row>
        <row r="110">
          <cell r="A110">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35"/>
      <sheetName val="AEO 36"/>
      <sheetName val="AEO 38"/>
      <sheetName val="AEO 40"/>
      <sheetName val="AEO 47"/>
      <sheetName val="AEO 48"/>
      <sheetName val="AEO 49"/>
      <sheetName val="AEO 50"/>
      <sheetName val="NTS 1-40"/>
      <sheetName val="NRBS 40"/>
      <sheetName val="NAP F28"/>
      <sheetName val="SYFAFE-frg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7"/>
      <sheetName val="AEO 35"/>
      <sheetName val="AEO 36"/>
      <sheetName val="AEO 37"/>
      <sheetName val="AEO 38"/>
      <sheetName val="AEO 40"/>
      <sheetName val="AEO 41"/>
      <sheetName val="AEO 43"/>
      <sheetName val="AEO 46"/>
      <sheetName val="AEO 47"/>
      <sheetName val="AEO 48"/>
      <sheetName val="AEO 49"/>
      <sheetName val="LDVs"/>
      <sheetName val="SYVbT-passenger"/>
      <sheetName val="SYVbT-freight"/>
      <sheetName val="BAADTbVT-passenger"/>
      <sheetName val="BAADTbVT-frgt"/>
      <sheetName val="NTS 1-40"/>
      <sheetName val="NRBS 40"/>
      <sheetName val="Calculations Etc"/>
      <sheetName val="Aircraft"/>
      <sheetName val="Rail"/>
      <sheetName val="ships"/>
      <sheetName val="Calibration Adjustments"/>
      <sheetName val="SYFAFE-psgr"/>
      <sheetName val="SYFAFE-fr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3">
          <cell r="B3">
            <v>4.9537244564849614E-3</v>
          </cell>
          <cell r="C3">
            <v>1.5863194726031412E-3</v>
          </cell>
          <cell r="D3">
            <v>1.7054998237447919E-3</v>
          </cell>
          <cell r="E3">
            <v>1.796023315213568E-3</v>
          </cell>
          <cell r="F3">
            <v>1.9852017948389375E-3</v>
          </cell>
          <cell r="G3">
            <v>8.9891436780844668E-4</v>
          </cell>
          <cell r="H3">
            <v>1.4651861068476647E-3</v>
          </cell>
        </row>
        <row r="4">
          <cell r="B4">
            <v>1.7190044847429364E-3</v>
          </cell>
          <cell r="C4">
            <v>5.3493637793767233E-4</v>
          </cell>
          <cell r="D4">
            <v>5.3493637793767233E-4</v>
          </cell>
          <cell r="E4">
            <v>5.3493637793767233E-4</v>
          </cell>
          <cell r="F4">
            <v>0</v>
          </cell>
          <cell r="G4">
            <v>0</v>
          </cell>
          <cell r="H4">
            <v>1.6048091338130167E-3</v>
          </cell>
        </row>
      </sheetData>
      <sheetData sheetId="26">
        <row r="6">
          <cell r="E6">
            <v>5.4761583231587594E-3</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
  <sheetViews>
    <sheetView workbookViewId="0">
      <selection activeCell="A95" sqref="A95:XFD95"/>
    </sheetView>
  </sheetViews>
  <sheetFormatPr defaultRowHeight="12.9"/>
  <cols>
    <col min="1" max="1" width="13.375" customWidth="1"/>
    <col min="2" max="2" width="107.375" customWidth="1"/>
  </cols>
  <sheetData>
    <row r="1" spans="1:2">
      <c r="A1" s="1" t="s">
        <v>0</v>
      </c>
    </row>
    <row r="3" spans="1:2">
      <c r="A3" s="1" t="s">
        <v>1</v>
      </c>
      <c r="B3" s="2" t="s">
        <v>503</v>
      </c>
    </row>
    <row r="4" spans="1:2">
      <c r="B4" t="s">
        <v>473</v>
      </c>
    </row>
    <row r="5" spans="1:2">
      <c r="B5" s="5" t="s">
        <v>3317</v>
      </c>
    </row>
    <row r="6" spans="1:2">
      <c r="B6" t="s">
        <v>3318</v>
      </c>
    </row>
    <row r="7" spans="1:2">
      <c r="B7" t="s">
        <v>474</v>
      </c>
    </row>
    <row r="8" spans="1:2">
      <c r="B8" t="s">
        <v>3319</v>
      </c>
    </row>
    <row r="10" spans="1:2">
      <c r="B10" t="s">
        <v>536</v>
      </c>
    </row>
    <row r="11" spans="1:2">
      <c r="B11" s="5">
        <v>2017</v>
      </c>
    </row>
    <row r="12" spans="1:2">
      <c r="B12" t="s">
        <v>537</v>
      </c>
    </row>
    <row r="13" spans="1:2">
      <c r="B13" t="s">
        <v>539</v>
      </c>
    </row>
    <row r="14" spans="1:2">
      <c r="B14" t="s">
        <v>538</v>
      </c>
    </row>
    <row r="16" spans="1:2">
      <c r="B16" t="s">
        <v>497</v>
      </c>
    </row>
    <row r="17" spans="2:2">
      <c r="B17" s="5">
        <v>2013</v>
      </c>
    </row>
    <row r="18" spans="2:2">
      <c r="B18" t="s">
        <v>498</v>
      </c>
    </row>
    <row r="19" spans="2:2">
      <c r="B19" t="s">
        <v>499</v>
      </c>
    </row>
    <row r="20" spans="2:2">
      <c r="B20" t="s">
        <v>500</v>
      </c>
    </row>
    <row r="22" spans="2:2">
      <c r="B22" t="s">
        <v>865</v>
      </c>
    </row>
    <row r="23" spans="2:2">
      <c r="B23" s="5">
        <v>2015</v>
      </c>
    </row>
    <row r="24" spans="2:2">
      <c r="B24" t="s">
        <v>866</v>
      </c>
    </row>
    <row r="25" spans="2:2">
      <c r="B25" s="18" t="s">
        <v>867</v>
      </c>
    </row>
    <row r="27" spans="2:2">
      <c r="B27" t="s">
        <v>833</v>
      </c>
    </row>
    <row r="29" spans="2:2">
      <c r="B29" s="2" t="s">
        <v>1096</v>
      </c>
    </row>
    <row r="30" spans="2:2">
      <c r="B30" t="s">
        <v>1097</v>
      </c>
    </row>
    <row r="31" spans="2:2">
      <c r="B31" s="5">
        <v>2018</v>
      </c>
    </row>
    <row r="32" spans="2:2">
      <c r="B32" t="s">
        <v>1098</v>
      </c>
    </row>
    <row r="33" spans="1:2">
      <c r="B33" s="18" t="s">
        <v>1099</v>
      </c>
    </row>
    <row r="34" spans="1:2">
      <c r="B34" t="s">
        <v>1100</v>
      </c>
    </row>
    <row r="36" spans="1:2">
      <c r="A36" s="1" t="s">
        <v>111</v>
      </c>
    </row>
    <row r="37" spans="1:2">
      <c r="A37" t="s">
        <v>855</v>
      </c>
    </row>
    <row r="39" spans="1:2">
      <c r="A39" s="1" t="s">
        <v>595</v>
      </c>
    </row>
    <row r="40" spans="1:2">
      <c r="A40" s="8" t="s">
        <v>3320</v>
      </c>
    </row>
    <row r="41" spans="1:2">
      <c r="A41" t="s">
        <v>3314</v>
      </c>
    </row>
    <row r="42" spans="1:2">
      <c r="A42" t="s">
        <v>3315</v>
      </c>
    </row>
    <row r="43" spans="1:2">
      <c r="A43" t="s">
        <v>3316</v>
      </c>
    </row>
    <row r="45" spans="1:2">
      <c r="A45" s="1" t="s">
        <v>3059</v>
      </c>
    </row>
    <row r="46" spans="1:2">
      <c r="A46" s="8" t="s">
        <v>3060</v>
      </c>
    </row>
    <row r="47" spans="1:2">
      <c r="A47" t="s">
        <v>3373</v>
      </c>
    </row>
    <row r="48" spans="1:2">
      <c r="A48" t="s">
        <v>3374</v>
      </c>
    </row>
    <row r="49" spans="1:1">
      <c r="A49" s="8"/>
    </row>
    <row r="50" spans="1:1">
      <c r="A50" t="s">
        <v>3056</v>
      </c>
    </row>
    <row r="51" spans="1:1">
      <c r="A51" t="s">
        <v>3057</v>
      </c>
    </row>
    <row r="52" spans="1:1">
      <c r="A52" t="s">
        <v>3375</v>
      </c>
    </row>
    <row r="54" spans="1:1">
      <c r="A54" t="s">
        <v>3311</v>
      </c>
    </row>
    <row r="55" spans="1:1">
      <c r="A55" t="s">
        <v>3312</v>
      </c>
    </row>
    <row r="56" spans="1:1">
      <c r="A56" t="s">
        <v>3313</v>
      </c>
    </row>
    <row r="57" spans="1:1">
      <c r="A57" t="s">
        <v>3377</v>
      </c>
    </row>
    <row r="58" spans="1:1">
      <c r="A58" t="s">
        <v>3378</v>
      </c>
    </row>
    <row r="60" spans="1:1">
      <c r="A60" s="1" t="s">
        <v>597</v>
      </c>
    </row>
    <row r="61" spans="1:1">
      <c r="A61" s="8" t="s">
        <v>1110</v>
      </c>
    </row>
    <row r="62" spans="1:1">
      <c r="A62" t="s">
        <v>3376</v>
      </c>
    </row>
    <row r="63" spans="1:1">
      <c r="A63" t="s">
        <v>3379</v>
      </c>
    </row>
    <row r="64" spans="1:1">
      <c r="A64" t="s">
        <v>3380</v>
      </c>
    </row>
    <row r="65" spans="1:1">
      <c r="A65" s="8"/>
    </row>
    <row r="66" spans="1:1">
      <c r="A66" s="1" t="s">
        <v>509</v>
      </c>
    </row>
    <row r="67" spans="1:1">
      <c r="A67" s="8" t="s">
        <v>501</v>
      </c>
    </row>
    <row r="68" spans="1:1">
      <c r="A68" t="s">
        <v>3381</v>
      </c>
    </row>
    <row r="69" spans="1:1">
      <c r="A69" t="s">
        <v>3382</v>
      </c>
    </row>
    <row r="71" spans="1:1">
      <c r="A71" s="1" t="s">
        <v>504</v>
      </c>
    </row>
    <row r="72" spans="1:1">
      <c r="A72" s="8" t="s">
        <v>502</v>
      </c>
    </row>
    <row r="73" spans="1:1">
      <c r="A73" t="s">
        <v>505</v>
      </c>
    </row>
    <row r="74" spans="1:1">
      <c r="A74" t="s">
        <v>506</v>
      </c>
    </row>
    <row r="75" spans="1:1">
      <c r="A75" t="s">
        <v>507</v>
      </c>
    </row>
    <row r="77" spans="1:1">
      <c r="A77" s="1" t="s">
        <v>508</v>
      </c>
    </row>
    <row r="78" spans="1:1">
      <c r="A78" s="8" t="s">
        <v>1109</v>
      </c>
    </row>
    <row r="79" spans="1:1">
      <c r="A79" t="s">
        <v>1106</v>
      </c>
    </row>
    <row r="80" spans="1:1">
      <c r="A80" t="s">
        <v>1107</v>
      </c>
    </row>
    <row r="81" spans="1:1">
      <c r="A81" t="s">
        <v>1108</v>
      </c>
    </row>
    <row r="82" spans="1:1">
      <c r="A82" s="8"/>
    </row>
    <row r="83" spans="1:1">
      <c r="A83" s="1" t="s">
        <v>477</v>
      </c>
    </row>
    <row r="84" spans="1:1">
      <c r="A84" s="8" t="s">
        <v>502</v>
      </c>
    </row>
    <row r="85" spans="1:1">
      <c r="A85" t="s">
        <v>478</v>
      </c>
    </row>
    <row r="86" spans="1:1">
      <c r="A86" t="s">
        <v>1112</v>
      </c>
    </row>
    <row r="87" spans="1:1">
      <c r="A87" t="s">
        <v>1113</v>
      </c>
    </row>
    <row r="88" spans="1:1">
      <c r="A88" t="s">
        <v>1114</v>
      </c>
    </row>
    <row r="89" spans="1:1">
      <c r="A89" t="s">
        <v>1111</v>
      </c>
    </row>
    <row r="90" spans="1:1">
      <c r="A90" t="s">
        <v>480</v>
      </c>
    </row>
    <row r="91" spans="1:1">
      <c r="A91" t="s">
        <v>479</v>
      </c>
    </row>
    <row r="93" spans="1:1">
      <c r="A93" s="1" t="s">
        <v>3383</v>
      </c>
    </row>
    <row r="94" spans="1:1">
      <c r="A94" t="s">
        <v>3384</v>
      </c>
    </row>
    <row r="95" spans="1:1">
      <c r="A95" s="1"/>
    </row>
    <row r="96" spans="1:1">
      <c r="A96" s="1" t="s">
        <v>540</v>
      </c>
    </row>
    <row r="97" spans="1:2">
      <c r="A97" t="s">
        <v>541</v>
      </c>
    </row>
    <row r="99" spans="1:2">
      <c r="A99" t="s">
        <v>860</v>
      </c>
      <c r="B99">
        <v>2019</v>
      </c>
    </row>
  </sheetData>
  <phoneticPr fontId="59" type="noConversion"/>
  <hyperlinks>
    <hyperlink ref="B25" r:id="rId1" xr:uid="{00000000-0004-0000-0000-000000000000}"/>
    <hyperlink ref="B33"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837"/>
  <sheetViews>
    <sheetView topLeftCell="A37" workbookViewId="0">
      <selection activeCell="F44" sqref="F44"/>
    </sheetView>
  </sheetViews>
  <sheetFormatPr defaultRowHeight="14.95" customHeight="1"/>
  <cols>
    <col min="1" max="1" width="27.75" customWidth="1"/>
    <col min="2" max="2" width="49" customWidth="1"/>
  </cols>
  <sheetData>
    <row r="1" spans="1:34" ht="14.95" customHeight="1" thickBot="1">
      <c r="B1" s="20" t="s">
        <v>1171</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4.95" customHeight="1" thickTop="1"/>
    <row r="3" spans="1:34" ht="14.95" customHeight="1">
      <c r="C3" s="103" t="s">
        <v>110</v>
      </c>
      <c r="D3" s="103" t="s">
        <v>1172</v>
      </c>
      <c r="E3" s="104"/>
      <c r="F3" s="104"/>
      <c r="G3" s="104"/>
      <c r="H3" s="104"/>
    </row>
    <row r="4" spans="1:34" ht="14.95" customHeight="1">
      <c r="C4" s="103" t="s">
        <v>109</v>
      </c>
      <c r="D4" s="103" t="s">
        <v>1173</v>
      </c>
      <c r="E4" s="104"/>
      <c r="F4" s="104"/>
      <c r="G4" s="103" t="s">
        <v>108</v>
      </c>
      <c r="H4" s="104"/>
    </row>
    <row r="5" spans="1:34" ht="14.95" customHeight="1">
      <c r="C5" s="103" t="s">
        <v>107</v>
      </c>
      <c r="D5" s="103" t="s">
        <v>1174</v>
      </c>
      <c r="E5" s="104"/>
      <c r="F5" s="104"/>
      <c r="G5" s="104"/>
      <c r="H5" s="104"/>
    </row>
    <row r="6" spans="1:34" ht="14.95" customHeight="1">
      <c r="C6" s="103" t="s">
        <v>106</v>
      </c>
      <c r="D6" s="104"/>
      <c r="E6" s="103" t="s">
        <v>1175</v>
      </c>
      <c r="F6" s="104"/>
      <c r="G6" s="104"/>
      <c r="H6" s="104"/>
    </row>
    <row r="7" spans="1:34" ht="14.95" customHeight="1">
      <c r="C7" s="104"/>
      <c r="D7" s="104"/>
      <c r="E7" s="104"/>
      <c r="F7" s="104"/>
      <c r="G7" s="104"/>
      <c r="H7" s="104"/>
    </row>
    <row r="10" spans="1:34" ht="14.95" customHeight="1">
      <c r="A10" s="14" t="s">
        <v>105</v>
      </c>
      <c r="B10" s="23" t="s">
        <v>104</v>
      </c>
      <c r="AH10" s="105" t="s">
        <v>1176</v>
      </c>
    </row>
    <row r="11" spans="1:34" ht="14.95" customHeight="1">
      <c r="B11" s="20"/>
      <c r="AH11" s="105" t="s">
        <v>1177</v>
      </c>
    </row>
    <row r="12" spans="1:34" ht="14.9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105" t="s">
        <v>1178</v>
      </c>
    </row>
    <row r="13" spans="1:34" ht="14.95" customHeight="1" thickBot="1">
      <c r="B13" s="21" t="s">
        <v>103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106" t="s">
        <v>1179</v>
      </c>
    </row>
    <row r="14" spans="1:34" ht="14.95" customHeight="1" thickTop="1"/>
    <row r="15" spans="1:34" ht="14.95" customHeight="1">
      <c r="B15" s="24" t="s">
        <v>102</v>
      </c>
    </row>
    <row r="16" spans="1:34" ht="14.95" customHeight="1">
      <c r="B16" s="24" t="s">
        <v>101</v>
      </c>
    </row>
    <row r="17" spans="1:34" ht="14.95" customHeight="1">
      <c r="B17" s="24" t="s">
        <v>100</v>
      </c>
    </row>
    <row r="18" spans="1:34" ht="14.95" customHeight="1">
      <c r="A18" s="14" t="s">
        <v>99</v>
      </c>
      <c r="B18" s="31" t="s">
        <v>98</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4.95" customHeight="1">
      <c r="A19" s="14" t="s">
        <v>97</v>
      </c>
      <c r="B19" s="31" t="s">
        <v>96</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4.95" customHeight="1">
      <c r="A20" s="14" t="s">
        <v>95</v>
      </c>
      <c r="B20" s="31" t="s">
        <v>94</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4.95" customHeight="1">
      <c r="B21" s="24" t="s">
        <v>840</v>
      </c>
    </row>
    <row r="22" spans="1:34" ht="14.95" customHeight="1">
      <c r="A22" s="14" t="s">
        <v>834</v>
      </c>
      <c r="B22" s="31" t="s">
        <v>835</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4.95" customHeight="1">
      <c r="A23" s="14" t="s">
        <v>836</v>
      </c>
      <c r="B23" s="31" t="s">
        <v>837</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4.95" customHeight="1">
      <c r="B24" s="24" t="s">
        <v>93</v>
      </c>
    </row>
    <row r="25" spans="1:34" ht="14.95" customHeight="1">
      <c r="A25" s="14" t="s">
        <v>92</v>
      </c>
      <c r="B25" s="31" t="s">
        <v>91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4.95" customHeight="1">
      <c r="B26" s="24" t="s">
        <v>90</v>
      </c>
    </row>
    <row r="27" spans="1:34" ht="14.95" customHeight="1">
      <c r="A27" s="14" t="s">
        <v>89</v>
      </c>
      <c r="B27" s="31" t="s">
        <v>48</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4.95" customHeight="1">
      <c r="A28" s="14" t="s">
        <v>88</v>
      </c>
      <c r="B28" s="31" t="s">
        <v>46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4.95" customHeight="1">
      <c r="B30" s="24" t="s">
        <v>87</v>
      </c>
    </row>
    <row r="31" spans="1:34" ht="13.6">
      <c r="B31" s="24" t="s">
        <v>86</v>
      </c>
    </row>
    <row r="32" spans="1:34" ht="13.6">
      <c r="A32" s="14" t="s">
        <v>85</v>
      </c>
      <c r="B32" s="31" t="s">
        <v>84</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3.6">
      <c r="A33" s="14" t="s">
        <v>83</v>
      </c>
      <c r="B33" s="31" t="s">
        <v>82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3.6">
      <c r="A34" s="14" t="s">
        <v>81</v>
      </c>
      <c r="B34" s="31" t="s">
        <v>80</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3.6">
      <c r="A35" s="14" t="s">
        <v>79</v>
      </c>
      <c r="B35" s="31" t="s">
        <v>78</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3.6">
      <c r="A36" s="14" t="s">
        <v>77</v>
      </c>
      <c r="B36" s="31" t="s">
        <v>76</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3.6">
      <c r="A37" s="14" t="s">
        <v>75</v>
      </c>
      <c r="B37" s="31" t="s">
        <v>74</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3.6">
      <c r="A38" s="14" t="s">
        <v>73</v>
      </c>
      <c r="B38" s="31" t="s">
        <v>72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3.6">
      <c r="A39" s="14" t="s">
        <v>71</v>
      </c>
      <c r="B39" s="31" t="s">
        <v>70</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3.6">
      <c r="A40" s="14" t="s">
        <v>69</v>
      </c>
      <c r="B40" s="31" t="s">
        <v>68</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3.6">
      <c r="A41" s="14" t="s">
        <v>67</v>
      </c>
      <c r="B41" s="31" t="s">
        <v>66</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3.6">
      <c r="A42" s="14" t="s">
        <v>65</v>
      </c>
      <c r="B42" s="31" t="s">
        <v>64</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3.6">
      <c r="A43" s="14" t="s">
        <v>63</v>
      </c>
      <c r="B43" s="31" t="s">
        <v>62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3.6">
      <c r="A44" s="14" t="s">
        <v>61</v>
      </c>
      <c r="B44" s="31" t="s">
        <v>60</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3.6">
      <c r="A45" s="14" t="s">
        <v>59</v>
      </c>
      <c r="B45" s="31" t="s">
        <v>58</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3.6">
      <c r="A46" s="14" t="s">
        <v>57</v>
      </c>
      <c r="B46" s="31" t="s">
        <v>56</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3.6">
      <c r="A47" s="14" t="s">
        <v>55</v>
      </c>
      <c r="B47" s="31" t="s">
        <v>54</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3.6">
      <c r="B48" s="24" t="s">
        <v>53</v>
      </c>
    </row>
    <row r="49" spans="1:34" ht="13.6">
      <c r="A49" s="14" t="s">
        <v>52</v>
      </c>
      <c r="B49" s="31" t="s">
        <v>51</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4.95" customHeight="1">
      <c r="B50" s="24" t="s">
        <v>50</v>
      </c>
    </row>
    <row r="51" spans="1:34" ht="14.95" customHeight="1">
      <c r="A51" s="14" t="s">
        <v>49</v>
      </c>
      <c r="B51" s="31" t="s">
        <v>48</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4.95" customHeight="1">
      <c r="A52" s="14" t="s">
        <v>47</v>
      </c>
      <c r="B52" s="31" t="s">
        <v>46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4.95" customHeight="1">
      <c r="B54" s="24" t="s">
        <v>45</v>
      </c>
    </row>
    <row r="55" spans="1:34" ht="14.95" customHeight="1">
      <c r="B55" s="24" t="s">
        <v>44</v>
      </c>
    </row>
    <row r="56" spans="1:34" ht="14.95" customHeight="1">
      <c r="A56" s="14" t="s">
        <v>43</v>
      </c>
      <c r="B56" s="31" t="s">
        <v>27</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4.95" customHeight="1">
      <c r="A57" s="14" t="s">
        <v>42</v>
      </c>
      <c r="B57" s="31" t="s">
        <v>25</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4.95" customHeight="1">
      <c r="A58" s="14" t="s">
        <v>41</v>
      </c>
      <c r="B58" s="31" t="s">
        <v>23</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4.95" customHeight="1">
      <c r="A59" s="14" t="s">
        <v>40</v>
      </c>
      <c r="B59" s="31" t="s">
        <v>21</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4.95" customHeight="1">
      <c r="A60" s="14" t="s">
        <v>39</v>
      </c>
      <c r="B60" s="31" t="s">
        <v>19</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4.95" customHeight="1">
      <c r="A61" s="14" t="s">
        <v>38</v>
      </c>
      <c r="B61" s="31" t="s">
        <v>17</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4.95" customHeight="1">
      <c r="A62" s="14" t="s">
        <v>37</v>
      </c>
      <c r="B62" s="31" t="s">
        <v>15</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4.95" customHeight="1">
      <c r="A63" s="14" t="s">
        <v>36</v>
      </c>
      <c r="B63" s="31" t="s">
        <v>13</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4.95" customHeight="1">
      <c r="A64" s="14" t="s">
        <v>35</v>
      </c>
      <c r="B64" s="31" t="s">
        <v>11</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4.95" customHeight="1">
      <c r="A65" s="14" t="s">
        <v>34</v>
      </c>
      <c r="B65" s="31" t="s">
        <v>9</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3.6">
      <c r="A66" s="14" t="s">
        <v>33</v>
      </c>
      <c r="B66" s="31" t="s">
        <v>7</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4.95" customHeight="1">
      <c r="A67" s="14" t="s">
        <v>32</v>
      </c>
      <c r="B67" s="31" t="s">
        <v>5</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4.95" customHeight="1">
      <c r="A68" s="14" t="s">
        <v>31</v>
      </c>
      <c r="B68" s="31" t="s">
        <v>841</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4.95" customHeight="1">
      <c r="A69" s="14" t="s">
        <v>30</v>
      </c>
      <c r="B69" s="24" t="s">
        <v>2</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4.95" customHeight="1">
      <c r="B71" s="24" t="s">
        <v>29</v>
      </c>
    </row>
    <row r="72" spans="1:34" ht="14.95" customHeight="1">
      <c r="A72" s="14" t="s">
        <v>28</v>
      </c>
      <c r="B72" s="31" t="s">
        <v>27</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3.6">
      <c r="A73" s="14" t="s">
        <v>26</v>
      </c>
      <c r="B73" s="31" t="s">
        <v>25</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4.95" customHeight="1">
      <c r="A74" s="14" t="s">
        <v>24</v>
      </c>
      <c r="B74" s="31" t="s">
        <v>23</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4.95" customHeight="1">
      <c r="A75" s="14" t="s">
        <v>22</v>
      </c>
      <c r="B75" s="31" t="s">
        <v>21</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4.95" customHeight="1">
      <c r="A76" s="14" t="s">
        <v>20</v>
      </c>
      <c r="B76" s="31" t="s">
        <v>19</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4.95" customHeight="1">
      <c r="A77" s="14" t="s">
        <v>18</v>
      </c>
      <c r="B77" s="31" t="s">
        <v>17</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4.95" customHeight="1">
      <c r="A78" s="14" t="s">
        <v>16</v>
      </c>
      <c r="B78" s="31" t="s">
        <v>15</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3.6">
      <c r="A79" s="14" t="s">
        <v>14</v>
      </c>
      <c r="B79" s="31" t="s">
        <v>13</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4.95" customHeight="1">
      <c r="A80" s="14" t="s">
        <v>12</v>
      </c>
      <c r="B80" s="31" t="s">
        <v>11</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3.6">
      <c r="A81" s="14" t="s">
        <v>10</v>
      </c>
      <c r="B81" s="31" t="s">
        <v>9</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4.95" customHeight="1">
      <c r="A82" s="14" t="s">
        <v>8</v>
      </c>
      <c r="B82" s="31" t="s">
        <v>7</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4.95" customHeight="1">
      <c r="A83" s="14" t="s">
        <v>6</v>
      </c>
      <c r="B83" s="31" t="s">
        <v>5</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4.95" customHeight="1">
      <c r="A84" s="14" t="s">
        <v>4</v>
      </c>
      <c r="B84" s="31" t="s">
        <v>841</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4.95" customHeight="1">
      <c r="A85" s="14" t="s">
        <v>3</v>
      </c>
      <c r="B85" s="24" t="s">
        <v>2</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4.95" customHeight="1" thickBot="1"/>
    <row r="87" spans="1:34" ht="14.95" customHeight="1">
      <c r="B87" s="125" t="s">
        <v>1180</v>
      </c>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07"/>
    </row>
    <row r="88" spans="1:34" ht="14.95" customHeight="1">
      <c r="B88" s="15" t="s">
        <v>1181</v>
      </c>
    </row>
    <row r="89" spans="1:34" ht="14.95" customHeight="1">
      <c r="B89" s="15" t="s">
        <v>1182</v>
      </c>
    </row>
    <row r="90" spans="1:34" ht="14.95" customHeight="1">
      <c r="B90" s="15" t="s">
        <v>1183</v>
      </c>
    </row>
    <row r="91" spans="1:34" ht="14.95" customHeight="1">
      <c r="B91" s="15" t="s">
        <v>1184</v>
      </c>
    </row>
    <row r="92" spans="1:34" ht="13.6">
      <c r="B92" s="15" t="s">
        <v>1185</v>
      </c>
    </row>
    <row r="93" spans="1:34" ht="14.95" customHeight="1">
      <c r="B93" s="15" t="s">
        <v>1186</v>
      </c>
    </row>
    <row r="94" spans="1:34" ht="14.95" customHeight="1">
      <c r="B94" s="15" t="s">
        <v>1187</v>
      </c>
    </row>
    <row r="95" spans="1:34" ht="14.95" customHeight="1">
      <c r="B95" s="15" t="s">
        <v>1188</v>
      </c>
    </row>
    <row r="96" spans="1:34" ht="14.95" customHeight="1">
      <c r="B96" s="15" t="s">
        <v>1189</v>
      </c>
    </row>
    <row r="97" spans="2:34" ht="14.95" customHeight="1">
      <c r="B97" s="15" t="s">
        <v>1190</v>
      </c>
    </row>
    <row r="112" spans="2:34" ht="14.95" customHeight="1">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c r="AD112" s="127"/>
      <c r="AE112" s="127"/>
      <c r="AF112" s="127"/>
      <c r="AG112" s="127"/>
      <c r="AH112" s="127"/>
    </row>
    <row r="308" spans="2:34" ht="14.95" customHeight="1">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c r="AD308" s="127"/>
      <c r="AE308" s="127"/>
      <c r="AF308" s="127"/>
      <c r="AG308" s="127"/>
      <c r="AH308" s="127"/>
    </row>
    <row r="511" spans="2:34" ht="14.95" customHeight="1">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c r="AD511" s="127"/>
      <c r="AE511" s="127"/>
      <c r="AF511" s="127"/>
      <c r="AG511" s="127"/>
      <c r="AH511" s="127"/>
    </row>
    <row r="712" spans="2:34" ht="14.95" customHeight="1">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c r="AD712" s="127"/>
      <c r="AE712" s="127"/>
      <c r="AF712" s="127"/>
      <c r="AG712" s="127"/>
      <c r="AH712" s="127"/>
    </row>
    <row r="887" spans="2:34" ht="14.95" customHeight="1">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c r="AD887" s="127"/>
      <c r="AE887" s="127"/>
      <c r="AF887" s="127"/>
      <c r="AG887" s="127"/>
      <c r="AH887" s="127"/>
    </row>
    <row r="1100" spans="2:34" ht="14.95" customHeight="1">
      <c r="B1100" s="127"/>
      <c r="C1100" s="127"/>
      <c r="D1100" s="127"/>
      <c r="E1100" s="127"/>
      <c r="F1100" s="127"/>
      <c r="G1100" s="127"/>
      <c r="H1100" s="127"/>
      <c r="I1100" s="127"/>
      <c r="J1100" s="127"/>
      <c r="K1100" s="127"/>
      <c r="L1100" s="127"/>
      <c r="M1100" s="127"/>
      <c r="N1100" s="127"/>
      <c r="O1100" s="127"/>
      <c r="P1100" s="127"/>
      <c r="Q1100" s="127"/>
      <c r="R1100" s="127"/>
      <c r="S1100" s="127"/>
      <c r="T1100" s="127"/>
      <c r="U1100" s="127"/>
      <c r="V1100" s="127"/>
      <c r="W1100" s="127"/>
      <c r="X1100" s="127"/>
      <c r="Y1100" s="127"/>
      <c r="Z1100" s="127"/>
      <c r="AA1100" s="127"/>
      <c r="AB1100" s="127"/>
      <c r="AC1100" s="127"/>
      <c r="AD1100" s="127"/>
      <c r="AE1100" s="127"/>
      <c r="AF1100" s="127"/>
      <c r="AG1100" s="127"/>
      <c r="AH1100" s="127"/>
    </row>
    <row r="1227" spans="2:34" ht="14.95" customHeight="1">
      <c r="B1227" s="127"/>
      <c r="C1227" s="127"/>
      <c r="D1227" s="127"/>
      <c r="E1227" s="127"/>
      <c r="F1227" s="127"/>
      <c r="G1227" s="127"/>
      <c r="H1227" s="127"/>
      <c r="I1227" s="127"/>
      <c r="J1227" s="127"/>
      <c r="K1227" s="127"/>
      <c r="L1227" s="127"/>
      <c r="M1227" s="127"/>
      <c r="N1227" s="127"/>
      <c r="O1227" s="127"/>
      <c r="P1227" s="127"/>
      <c r="Q1227" s="127"/>
      <c r="R1227" s="127"/>
      <c r="S1227" s="127"/>
      <c r="T1227" s="127"/>
      <c r="U1227" s="127"/>
      <c r="V1227" s="127"/>
      <c r="W1227" s="127"/>
      <c r="X1227" s="127"/>
      <c r="Y1227" s="127"/>
      <c r="Z1227" s="127"/>
      <c r="AA1227" s="127"/>
      <c r="AB1227" s="127"/>
      <c r="AC1227" s="127"/>
      <c r="AD1227" s="127"/>
      <c r="AE1227" s="127"/>
      <c r="AF1227" s="127"/>
      <c r="AG1227" s="127"/>
      <c r="AH1227" s="127"/>
    </row>
    <row r="1390" spans="2:34" ht="14.95" customHeight="1">
      <c r="B1390" s="127"/>
      <c r="C1390" s="127"/>
      <c r="D1390" s="127"/>
      <c r="E1390" s="127"/>
      <c r="F1390" s="127"/>
      <c r="G1390" s="127"/>
      <c r="H1390" s="127"/>
      <c r="I1390" s="127"/>
      <c r="J1390" s="127"/>
      <c r="K1390" s="127"/>
      <c r="L1390" s="127"/>
      <c r="M1390" s="127"/>
      <c r="N1390" s="127"/>
      <c r="O1390" s="127"/>
      <c r="P1390" s="127"/>
      <c r="Q1390" s="127"/>
      <c r="R1390" s="127"/>
      <c r="S1390" s="127"/>
      <c r="T1390" s="127"/>
      <c r="U1390" s="127"/>
      <c r="V1390" s="127"/>
      <c r="W1390" s="127"/>
      <c r="X1390" s="127"/>
      <c r="Y1390" s="127"/>
      <c r="Z1390" s="127"/>
      <c r="AA1390" s="127"/>
      <c r="AB1390" s="127"/>
      <c r="AC1390" s="127"/>
      <c r="AD1390" s="127"/>
      <c r="AE1390" s="127"/>
      <c r="AF1390" s="127"/>
      <c r="AG1390" s="127"/>
      <c r="AH1390" s="127"/>
    </row>
    <row r="1502" spans="2:34" ht="14.95" customHeight="1">
      <c r="B1502" s="127"/>
      <c r="C1502" s="127"/>
      <c r="D1502" s="127"/>
      <c r="E1502" s="127"/>
      <c r="F1502" s="127"/>
      <c r="G1502" s="127"/>
      <c r="H1502" s="127"/>
      <c r="I1502" s="127"/>
      <c r="J1502" s="127"/>
      <c r="K1502" s="127"/>
      <c r="L1502" s="127"/>
      <c r="M1502" s="127"/>
      <c r="N1502" s="127"/>
      <c r="O1502" s="127"/>
      <c r="P1502" s="127"/>
      <c r="Q1502" s="127"/>
      <c r="R1502" s="127"/>
      <c r="S1502" s="127"/>
      <c r="T1502" s="127"/>
      <c r="U1502" s="127"/>
      <c r="V1502" s="127"/>
      <c r="W1502" s="127"/>
      <c r="X1502" s="127"/>
      <c r="Y1502" s="127"/>
      <c r="Z1502" s="127"/>
      <c r="AA1502" s="127"/>
      <c r="AB1502" s="127"/>
      <c r="AC1502" s="127"/>
      <c r="AD1502" s="127"/>
      <c r="AE1502" s="127"/>
      <c r="AF1502" s="127"/>
      <c r="AG1502" s="127"/>
      <c r="AH1502" s="127"/>
    </row>
    <row r="1604" spans="2:34" ht="14.95" customHeight="1">
      <c r="B1604" s="127"/>
      <c r="C1604" s="127"/>
      <c r="D1604" s="127"/>
      <c r="E1604" s="127"/>
      <c r="F1604" s="127"/>
      <c r="G1604" s="127"/>
      <c r="H1604" s="127"/>
      <c r="I1604" s="127"/>
      <c r="J1604" s="127"/>
      <c r="K1604" s="127"/>
      <c r="L1604" s="127"/>
      <c r="M1604" s="127"/>
      <c r="N1604" s="127"/>
      <c r="O1604" s="127"/>
      <c r="P1604" s="127"/>
      <c r="Q1604" s="127"/>
      <c r="R1604" s="127"/>
      <c r="S1604" s="127"/>
      <c r="T1604" s="127"/>
      <c r="U1604" s="127"/>
      <c r="V1604" s="127"/>
      <c r="W1604" s="127"/>
      <c r="X1604" s="127"/>
      <c r="Y1604" s="127"/>
      <c r="Z1604" s="127"/>
      <c r="AA1604" s="127"/>
      <c r="AB1604" s="127"/>
      <c r="AC1604" s="127"/>
      <c r="AD1604" s="127"/>
      <c r="AE1604" s="127"/>
      <c r="AF1604" s="127"/>
      <c r="AG1604" s="127"/>
      <c r="AH1604" s="127"/>
    </row>
    <row r="1698" spans="2:34" ht="14.95" customHeight="1">
      <c r="B1698" s="127"/>
      <c r="C1698" s="127"/>
      <c r="D1698" s="127"/>
      <c r="E1698" s="127"/>
      <c r="F1698" s="127"/>
      <c r="G1698" s="127"/>
      <c r="H1698" s="127"/>
      <c r="I1698" s="127"/>
      <c r="J1698" s="127"/>
      <c r="K1698" s="127"/>
      <c r="L1698" s="127"/>
      <c r="M1698" s="127"/>
      <c r="N1698" s="127"/>
      <c r="O1698" s="127"/>
      <c r="P1698" s="127"/>
      <c r="Q1698" s="127"/>
      <c r="R1698" s="127"/>
      <c r="S1698" s="127"/>
      <c r="T1698" s="127"/>
      <c r="U1698" s="127"/>
      <c r="V1698" s="127"/>
      <c r="W1698" s="127"/>
      <c r="X1698" s="127"/>
      <c r="Y1698" s="127"/>
      <c r="Z1698" s="127"/>
      <c r="AA1698" s="127"/>
      <c r="AB1698" s="127"/>
      <c r="AC1698" s="127"/>
      <c r="AD1698" s="127"/>
      <c r="AE1698" s="127"/>
      <c r="AF1698" s="127"/>
      <c r="AG1698" s="127"/>
      <c r="AH1698" s="127"/>
    </row>
    <row r="1945" spans="2:34" ht="14.95" customHeight="1">
      <c r="B1945" s="127"/>
      <c r="C1945" s="127"/>
      <c r="D1945" s="127"/>
      <c r="E1945" s="127"/>
      <c r="F1945" s="127"/>
      <c r="G1945" s="127"/>
      <c r="H1945" s="127"/>
      <c r="I1945" s="127"/>
      <c r="J1945" s="127"/>
      <c r="K1945" s="127"/>
      <c r="L1945" s="127"/>
      <c r="M1945" s="127"/>
      <c r="N1945" s="127"/>
      <c r="O1945" s="127"/>
      <c r="P1945" s="127"/>
      <c r="Q1945" s="127"/>
      <c r="R1945" s="127"/>
      <c r="S1945" s="127"/>
      <c r="T1945" s="127"/>
      <c r="U1945" s="127"/>
      <c r="V1945" s="127"/>
      <c r="W1945" s="127"/>
      <c r="X1945" s="127"/>
      <c r="Y1945" s="127"/>
      <c r="Z1945" s="127"/>
      <c r="AA1945" s="127"/>
      <c r="AB1945" s="127"/>
      <c r="AC1945" s="127"/>
      <c r="AD1945" s="127"/>
      <c r="AE1945" s="127"/>
      <c r="AF1945" s="127"/>
      <c r="AG1945" s="127"/>
      <c r="AH1945" s="127"/>
    </row>
    <row r="2031" spans="2:34" ht="14.95" customHeight="1">
      <c r="B2031" s="127"/>
      <c r="C2031" s="127"/>
      <c r="D2031" s="127"/>
      <c r="E2031" s="127"/>
      <c r="F2031" s="127"/>
      <c r="G2031" s="127"/>
      <c r="H2031" s="127"/>
      <c r="I2031" s="127"/>
      <c r="J2031" s="127"/>
      <c r="K2031" s="127"/>
      <c r="L2031" s="127"/>
      <c r="M2031" s="127"/>
      <c r="N2031" s="127"/>
      <c r="O2031" s="127"/>
      <c r="P2031" s="127"/>
      <c r="Q2031" s="127"/>
      <c r="R2031" s="127"/>
      <c r="S2031" s="127"/>
      <c r="T2031" s="127"/>
      <c r="U2031" s="127"/>
      <c r="V2031" s="127"/>
      <c r="W2031" s="127"/>
      <c r="X2031" s="127"/>
      <c r="Y2031" s="127"/>
      <c r="Z2031" s="127"/>
      <c r="AA2031" s="127"/>
      <c r="AB2031" s="127"/>
      <c r="AC2031" s="127"/>
      <c r="AD2031" s="127"/>
      <c r="AE2031" s="127"/>
      <c r="AF2031" s="127"/>
      <c r="AG2031" s="127"/>
      <c r="AH2031" s="127"/>
    </row>
    <row r="2153" spans="2:34" ht="14.95" customHeight="1">
      <c r="B2153" s="127"/>
      <c r="C2153" s="127"/>
      <c r="D2153" s="127"/>
      <c r="E2153" s="127"/>
      <c r="F2153" s="127"/>
      <c r="G2153" s="127"/>
      <c r="H2153" s="127"/>
      <c r="I2153" s="127"/>
      <c r="J2153" s="127"/>
      <c r="K2153" s="127"/>
      <c r="L2153" s="127"/>
      <c r="M2153" s="127"/>
      <c r="N2153" s="127"/>
      <c r="O2153" s="127"/>
      <c r="P2153" s="127"/>
      <c r="Q2153" s="127"/>
      <c r="R2153" s="127"/>
      <c r="S2153" s="127"/>
      <c r="T2153" s="127"/>
      <c r="U2153" s="127"/>
      <c r="V2153" s="127"/>
      <c r="W2153" s="127"/>
      <c r="X2153" s="127"/>
      <c r="Y2153" s="127"/>
      <c r="Z2153" s="127"/>
      <c r="AA2153" s="127"/>
      <c r="AB2153" s="127"/>
      <c r="AC2153" s="127"/>
      <c r="AD2153" s="127"/>
      <c r="AE2153" s="127"/>
      <c r="AF2153" s="127"/>
      <c r="AG2153" s="127"/>
      <c r="AH2153" s="127"/>
    </row>
    <row r="2317" spans="2:34" ht="14.95" customHeight="1">
      <c r="B2317" s="127"/>
      <c r="C2317" s="127"/>
      <c r="D2317" s="127"/>
      <c r="E2317" s="127"/>
      <c r="F2317" s="127"/>
      <c r="G2317" s="127"/>
      <c r="H2317" s="127"/>
      <c r="I2317" s="127"/>
      <c r="J2317" s="127"/>
      <c r="K2317" s="127"/>
      <c r="L2317" s="127"/>
      <c r="M2317" s="127"/>
      <c r="N2317" s="127"/>
      <c r="O2317" s="127"/>
      <c r="P2317" s="127"/>
      <c r="Q2317" s="127"/>
      <c r="R2317" s="127"/>
      <c r="S2317" s="127"/>
      <c r="T2317" s="127"/>
      <c r="U2317" s="127"/>
      <c r="V2317" s="127"/>
      <c r="W2317" s="127"/>
      <c r="X2317" s="127"/>
      <c r="Y2317" s="127"/>
      <c r="Z2317" s="127"/>
      <c r="AA2317" s="127"/>
      <c r="AB2317" s="127"/>
      <c r="AC2317" s="127"/>
      <c r="AD2317" s="127"/>
      <c r="AE2317" s="127"/>
      <c r="AF2317" s="127"/>
      <c r="AG2317" s="127"/>
      <c r="AH2317" s="127"/>
    </row>
    <row r="2419" spans="2:34" ht="14.95" customHeight="1">
      <c r="B2419" s="127"/>
      <c r="C2419" s="127"/>
      <c r="D2419" s="127"/>
      <c r="E2419" s="127"/>
      <c r="F2419" s="127"/>
      <c r="G2419" s="127"/>
      <c r="H2419" s="127"/>
      <c r="I2419" s="127"/>
      <c r="J2419" s="127"/>
      <c r="K2419" s="127"/>
      <c r="L2419" s="127"/>
      <c r="M2419" s="127"/>
      <c r="N2419" s="127"/>
      <c r="O2419" s="127"/>
      <c r="P2419" s="127"/>
      <c r="Q2419" s="127"/>
      <c r="R2419" s="127"/>
      <c r="S2419" s="127"/>
      <c r="T2419" s="127"/>
      <c r="U2419" s="127"/>
      <c r="V2419" s="127"/>
      <c r="W2419" s="127"/>
      <c r="X2419" s="127"/>
      <c r="Y2419" s="127"/>
      <c r="Z2419" s="127"/>
      <c r="AA2419" s="127"/>
      <c r="AB2419" s="127"/>
      <c r="AC2419" s="127"/>
      <c r="AD2419" s="127"/>
      <c r="AE2419" s="127"/>
      <c r="AF2419" s="127"/>
      <c r="AG2419" s="127"/>
      <c r="AH2419" s="127"/>
    </row>
    <row r="2509" spans="2:34" ht="14.95" customHeight="1">
      <c r="B2509" s="127"/>
      <c r="C2509" s="127"/>
      <c r="D2509" s="127"/>
      <c r="E2509" s="127"/>
      <c r="F2509" s="127"/>
      <c r="G2509" s="127"/>
      <c r="H2509" s="127"/>
      <c r="I2509" s="127"/>
      <c r="J2509" s="127"/>
      <c r="K2509" s="127"/>
      <c r="L2509" s="127"/>
      <c r="M2509" s="127"/>
      <c r="N2509" s="127"/>
      <c r="O2509" s="127"/>
      <c r="P2509" s="127"/>
      <c r="Q2509" s="127"/>
      <c r="R2509" s="127"/>
      <c r="S2509" s="127"/>
      <c r="T2509" s="127"/>
      <c r="U2509" s="127"/>
      <c r="V2509" s="127"/>
      <c r="W2509" s="127"/>
      <c r="X2509" s="127"/>
      <c r="Y2509" s="127"/>
      <c r="Z2509" s="127"/>
      <c r="AA2509" s="127"/>
      <c r="AB2509" s="127"/>
      <c r="AC2509" s="127"/>
      <c r="AD2509" s="127"/>
      <c r="AE2509" s="127"/>
      <c r="AF2509" s="127"/>
      <c r="AG2509" s="127"/>
      <c r="AH2509" s="127"/>
    </row>
    <row r="2598" spans="2:34" ht="14.95" customHeight="1">
      <c r="B2598" s="127"/>
      <c r="C2598" s="127"/>
      <c r="D2598" s="127"/>
      <c r="E2598" s="127"/>
      <c r="F2598" s="127"/>
      <c r="G2598" s="127"/>
      <c r="H2598" s="127"/>
      <c r="I2598" s="127"/>
      <c r="J2598" s="127"/>
      <c r="K2598" s="127"/>
      <c r="L2598" s="127"/>
      <c r="M2598" s="127"/>
      <c r="N2598" s="127"/>
      <c r="O2598" s="127"/>
      <c r="P2598" s="127"/>
      <c r="Q2598" s="127"/>
      <c r="R2598" s="127"/>
      <c r="S2598" s="127"/>
      <c r="T2598" s="127"/>
      <c r="U2598" s="127"/>
      <c r="V2598" s="127"/>
      <c r="W2598" s="127"/>
      <c r="X2598" s="127"/>
      <c r="Y2598" s="127"/>
      <c r="Z2598" s="127"/>
      <c r="AA2598" s="127"/>
      <c r="AB2598" s="127"/>
      <c r="AC2598" s="127"/>
      <c r="AD2598" s="127"/>
      <c r="AE2598" s="127"/>
      <c r="AF2598" s="127"/>
      <c r="AG2598" s="127"/>
      <c r="AH2598" s="127"/>
    </row>
    <row r="2719" spans="2:34" ht="14.95" customHeight="1">
      <c r="B2719" s="127"/>
      <c r="C2719" s="127"/>
      <c r="D2719" s="127"/>
      <c r="E2719" s="127"/>
      <c r="F2719" s="127"/>
      <c r="G2719" s="127"/>
      <c r="H2719" s="127"/>
      <c r="I2719" s="127"/>
      <c r="J2719" s="127"/>
      <c r="K2719" s="127"/>
      <c r="L2719" s="127"/>
      <c r="M2719" s="127"/>
      <c r="N2719" s="127"/>
      <c r="O2719" s="127"/>
      <c r="P2719" s="127"/>
      <c r="Q2719" s="127"/>
      <c r="R2719" s="127"/>
      <c r="S2719" s="127"/>
      <c r="T2719" s="127"/>
      <c r="U2719" s="127"/>
      <c r="V2719" s="127"/>
      <c r="W2719" s="127"/>
      <c r="X2719" s="127"/>
      <c r="Y2719" s="127"/>
      <c r="Z2719" s="127"/>
      <c r="AA2719" s="127"/>
      <c r="AB2719" s="127"/>
      <c r="AC2719" s="127"/>
      <c r="AD2719" s="127"/>
      <c r="AE2719" s="127"/>
      <c r="AF2719" s="127"/>
      <c r="AG2719" s="127"/>
      <c r="AH2719" s="127"/>
    </row>
    <row r="2837" spans="2:34" ht="14.95" customHeight="1">
      <c r="B2837" s="127"/>
      <c r="C2837" s="127"/>
      <c r="D2837" s="127"/>
      <c r="E2837" s="127"/>
      <c r="F2837" s="127"/>
      <c r="G2837" s="127"/>
      <c r="H2837" s="127"/>
      <c r="I2837" s="127"/>
      <c r="J2837" s="127"/>
      <c r="K2837" s="127"/>
      <c r="L2837" s="127"/>
      <c r="M2837" s="127"/>
      <c r="N2837" s="127"/>
      <c r="O2837" s="127"/>
      <c r="P2837" s="127"/>
      <c r="Q2837" s="127"/>
      <c r="R2837" s="127"/>
      <c r="S2837" s="127"/>
      <c r="T2837" s="127"/>
      <c r="U2837" s="127"/>
      <c r="V2837" s="127"/>
      <c r="W2837" s="127"/>
      <c r="X2837" s="127"/>
      <c r="Y2837" s="127"/>
      <c r="Z2837" s="127"/>
      <c r="AA2837" s="127"/>
      <c r="AB2837" s="127"/>
      <c r="AC2837" s="127"/>
      <c r="AD2837" s="127"/>
      <c r="AE2837" s="127"/>
      <c r="AF2837" s="127"/>
      <c r="AG2837" s="127"/>
      <c r="AH2837" s="127"/>
    </row>
  </sheetData>
  <mergeCells count="21">
    <mergeCell ref="B2837:AH2837"/>
    <mergeCell ref="B2153:AH2153"/>
    <mergeCell ref="B2317:AH2317"/>
    <mergeCell ref="B2419:AH2419"/>
    <mergeCell ref="B2509:AH2509"/>
    <mergeCell ref="B2598:AH2598"/>
    <mergeCell ref="B1604:AH1604"/>
    <mergeCell ref="B1698:AH1698"/>
    <mergeCell ref="B1945:AH1945"/>
    <mergeCell ref="B2031:AH2031"/>
    <mergeCell ref="B2719:AH2719"/>
    <mergeCell ref="B887:AH887"/>
    <mergeCell ref="B1100:AH1100"/>
    <mergeCell ref="B1227:AH1227"/>
    <mergeCell ref="B1390:AH1390"/>
    <mergeCell ref="B1502:AH1502"/>
    <mergeCell ref="B87:AG87"/>
    <mergeCell ref="B112:AH112"/>
    <mergeCell ref="B308:AH308"/>
    <mergeCell ref="B511:AH511"/>
    <mergeCell ref="B712:AH712"/>
  </mergeCells>
  <phoneticPr fontId="59" type="noConversion"/>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97"/>
  <sheetViews>
    <sheetView topLeftCell="A37" workbookViewId="0">
      <selection sqref="A1:XFD1048576"/>
    </sheetView>
  </sheetViews>
  <sheetFormatPr defaultColWidth="9.125" defaultRowHeight="12.9"/>
  <cols>
    <col min="1" max="1" width="31.875" customWidth="1"/>
    <col min="2" max="2" width="45.75" customWidth="1"/>
  </cols>
  <sheetData>
    <row r="1" spans="1:35" ht="14.95" customHeight="1" thickBot="1">
      <c r="B1" s="20" t="s">
        <v>3038</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4.95" customHeight="1" thickTop="1"/>
    <row r="3" spans="1:35" ht="14.95" customHeight="1">
      <c r="C3" s="117" t="s">
        <v>110</v>
      </c>
      <c r="D3" s="117" t="s">
        <v>859</v>
      </c>
      <c r="E3" s="117"/>
      <c r="F3" s="117"/>
      <c r="G3" s="117"/>
    </row>
    <row r="4" spans="1:35" ht="14.95" customHeight="1">
      <c r="C4" s="117" t="s">
        <v>109</v>
      </c>
      <c r="D4" s="117" t="s">
        <v>3039</v>
      </c>
      <c r="E4" s="117"/>
      <c r="F4" s="117"/>
      <c r="G4" s="117" t="s">
        <v>3040</v>
      </c>
    </row>
    <row r="5" spans="1:35" ht="14.95" customHeight="1">
      <c r="C5" s="117" t="s">
        <v>107</v>
      </c>
      <c r="D5" s="117" t="s">
        <v>3041</v>
      </c>
      <c r="E5" s="117"/>
      <c r="F5" s="117"/>
      <c r="G5" s="117"/>
    </row>
    <row r="6" spans="1:35" ht="14.95" customHeight="1">
      <c r="C6" s="117" t="s">
        <v>106</v>
      </c>
      <c r="D6" s="117"/>
      <c r="E6" s="117" t="s">
        <v>3042</v>
      </c>
      <c r="F6" s="117"/>
      <c r="G6" s="117"/>
    </row>
    <row r="10" spans="1:35" ht="14.95" customHeight="1">
      <c r="A10" s="14" t="s">
        <v>105</v>
      </c>
      <c r="B10" s="23" t="s">
        <v>104</v>
      </c>
    </row>
    <row r="11" spans="1:35" ht="14.95" customHeight="1">
      <c r="B11" s="20" t="s">
        <v>3043</v>
      </c>
    </row>
    <row r="12" spans="1:35" ht="14.95" customHeight="1">
      <c r="B12" s="20" t="s">
        <v>3043</v>
      </c>
      <c r="C12" s="5" t="s">
        <v>3043</v>
      </c>
      <c r="D12" s="5" t="s">
        <v>3043</v>
      </c>
      <c r="E12" s="5" t="s">
        <v>3043</v>
      </c>
      <c r="F12" s="5" t="s">
        <v>3043</v>
      </c>
      <c r="G12" s="5" t="s">
        <v>3043</v>
      </c>
      <c r="H12" s="5" t="s">
        <v>3043</v>
      </c>
      <c r="I12" s="5" t="s">
        <v>3043</v>
      </c>
      <c r="J12" s="5" t="s">
        <v>3043</v>
      </c>
      <c r="K12" s="5" t="s">
        <v>3043</v>
      </c>
      <c r="L12" s="5" t="s">
        <v>3043</v>
      </c>
      <c r="M12" s="5" t="s">
        <v>3043</v>
      </c>
      <c r="N12" s="5" t="s">
        <v>3043</v>
      </c>
      <c r="O12" s="5" t="s">
        <v>3043</v>
      </c>
      <c r="P12" s="5" t="s">
        <v>3043</v>
      </c>
      <c r="Q12" s="5" t="s">
        <v>3043</v>
      </c>
      <c r="R12" s="5" t="s">
        <v>3043</v>
      </c>
      <c r="S12" s="5" t="s">
        <v>3043</v>
      </c>
      <c r="T12" s="5" t="s">
        <v>3043</v>
      </c>
      <c r="U12" s="5" t="s">
        <v>3043</v>
      </c>
      <c r="V12" s="5" t="s">
        <v>3043</v>
      </c>
      <c r="W12" s="5" t="s">
        <v>3043</v>
      </c>
      <c r="X12" s="5" t="s">
        <v>3043</v>
      </c>
      <c r="Y12" s="5" t="s">
        <v>3043</v>
      </c>
      <c r="Z12" s="5" t="s">
        <v>3043</v>
      </c>
      <c r="AA12" s="5" t="s">
        <v>3043</v>
      </c>
      <c r="AB12" s="5" t="s">
        <v>3043</v>
      </c>
      <c r="AC12" s="5" t="s">
        <v>3043</v>
      </c>
      <c r="AD12" s="5" t="s">
        <v>3043</v>
      </c>
      <c r="AE12" s="5" t="s">
        <v>3043</v>
      </c>
      <c r="AF12" s="5" t="s">
        <v>3043</v>
      </c>
      <c r="AG12" s="5" t="s">
        <v>3043</v>
      </c>
      <c r="AH12" s="5" t="s">
        <v>3043</v>
      </c>
      <c r="AI12" s="5" t="s">
        <v>3044</v>
      </c>
    </row>
    <row r="13" spans="1:35" ht="14.95" customHeight="1" thickBot="1">
      <c r="B13" s="21" t="s">
        <v>103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4.95" customHeight="1" thickTop="1"/>
    <row r="15" spans="1:35" ht="14.95" customHeight="1">
      <c r="B15" s="24" t="s">
        <v>102</v>
      </c>
    </row>
    <row r="16" spans="1:35" ht="14.95" customHeight="1">
      <c r="B16" s="24" t="s">
        <v>101</v>
      </c>
    </row>
    <row r="17" spans="1:35" ht="14.95" customHeight="1">
      <c r="B17" s="24" t="s">
        <v>100</v>
      </c>
    </row>
    <row r="18" spans="1:35" ht="14.95" customHeight="1">
      <c r="A18" s="14" t="s">
        <v>99</v>
      </c>
      <c r="B18" s="31" t="s">
        <v>98</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4.95" customHeight="1">
      <c r="A19" s="14" t="s">
        <v>97</v>
      </c>
      <c r="B19" s="31" t="s">
        <v>96</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4.95" customHeight="1">
      <c r="A20" s="14" t="s">
        <v>95</v>
      </c>
      <c r="B20" s="31" t="s">
        <v>94</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4.95" customHeight="1">
      <c r="B21" s="24" t="s">
        <v>840</v>
      </c>
    </row>
    <row r="22" spans="1:35" ht="14.95" customHeight="1">
      <c r="A22" s="14" t="s">
        <v>834</v>
      </c>
      <c r="B22" s="31" t="s">
        <v>835</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4.95" customHeight="1">
      <c r="A23" s="14" t="s">
        <v>836</v>
      </c>
      <c r="B23" s="31" t="s">
        <v>837</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4.95" customHeight="1">
      <c r="B24" s="24" t="s">
        <v>93</v>
      </c>
    </row>
    <row r="25" spans="1:35" ht="14.95" customHeight="1">
      <c r="A25" s="14" t="s">
        <v>92</v>
      </c>
      <c r="B25" s="31" t="s">
        <v>91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4.95" customHeight="1">
      <c r="B26" s="24" t="s">
        <v>90</v>
      </c>
    </row>
    <row r="27" spans="1:35" ht="14.95" customHeight="1">
      <c r="A27" s="14" t="s">
        <v>89</v>
      </c>
      <c r="B27" s="31" t="s">
        <v>48</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4.95" customHeight="1">
      <c r="A28" s="14" t="s">
        <v>88</v>
      </c>
      <c r="B28" s="31" t="s">
        <v>46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4.95" customHeight="1">
      <c r="B30" s="24" t="s">
        <v>87</v>
      </c>
    </row>
    <row r="31" spans="1:35" ht="14.95" customHeight="1">
      <c r="B31" s="24" t="s">
        <v>86</v>
      </c>
    </row>
    <row r="32" spans="1:35" ht="14.95" customHeight="1">
      <c r="A32" s="14" t="s">
        <v>85</v>
      </c>
      <c r="B32" s="31" t="s">
        <v>84</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4.95" customHeight="1">
      <c r="A33" s="14" t="s">
        <v>83</v>
      </c>
      <c r="B33" s="31" t="s">
        <v>82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4.95" customHeight="1">
      <c r="A34" s="14" t="s">
        <v>81</v>
      </c>
      <c r="B34" s="31" t="s">
        <v>80</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4.95" customHeight="1">
      <c r="A35" s="14" t="s">
        <v>79</v>
      </c>
      <c r="B35" s="31" t="s">
        <v>78</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4.95" customHeight="1">
      <c r="A36" s="14" t="s">
        <v>77</v>
      </c>
      <c r="B36" s="31" t="s">
        <v>76</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4.95" customHeight="1">
      <c r="A37" s="14" t="s">
        <v>75</v>
      </c>
      <c r="B37" s="31" t="s">
        <v>74</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4.95" customHeight="1">
      <c r="A38" s="14" t="s">
        <v>73</v>
      </c>
      <c r="B38" s="31" t="s">
        <v>72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4.95" customHeight="1">
      <c r="A39" s="14" t="s">
        <v>71</v>
      </c>
      <c r="B39" s="31" t="s">
        <v>70</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4.95" customHeight="1">
      <c r="A40" s="14" t="s">
        <v>69</v>
      </c>
      <c r="B40" s="31" t="s">
        <v>68</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4.95" customHeight="1">
      <c r="A41" s="14" t="s">
        <v>67</v>
      </c>
      <c r="B41" s="31" t="s">
        <v>66</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4.95" customHeight="1">
      <c r="A42" s="14" t="s">
        <v>65</v>
      </c>
      <c r="B42" s="31" t="s">
        <v>64</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4.95" customHeight="1">
      <c r="A43" s="14" t="s">
        <v>63</v>
      </c>
      <c r="B43" s="31" t="s">
        <v>62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4.95" customHeight="1">
      <c r="A44" s="14" t="s">
        <v>61</v>
      </c>
      <c r="B44" s="31" t="s">
        <v>60</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4.95" customHeight="1">
      <c r="A45" s="14" t="s">
        <v>59</v>
      </c>
      <c r="B45" s="31" t="s">
        <v>58</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4.95" customHeight="1">
      <c r="A46" s="14" t="s">
        <v>57</v>
      </c>
      <c r="B46" s="31" t="s">
        <v>56</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4.95" customHeight="1">
      <c r="A47" s="14" t="s">
        <v>55</v>
      </c>
      <c r="B47" s="31" t="s">
        <v>54</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4.95" customHeight="1">
      <c r="B48" s="24" t="s">
        <v>53</v>
      </c>
    </row>
    <row r="49" spans="1:35" ht="14.95" customHeight="1">
      <c r="A49" s="14" t="s">
        <v>52</v>
      </c>
      <c r="B49" s="31" t="s">
        <v>51</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4.95" customHeight="1">
      <c r="B50" s="24" t="s">
        <v>50</v>
      </c>
    </row>
    <row r="51" spans="1:35" ht="14.95" customHeight="1">
      <c r="A51" s="14" t="s">
        <v>49</v>
      </c>
      <c r="B51" s="31" t="s">
        <v>48</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4.95" customHeight="1">
      <c r="A52" s="14" t="s">
        <v>47</v>
      </c>
      <c r="B52" s="31" t="s">
        <v>46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4.95" customHeight="1">
      <c r="B54" s="24" t="s">
        <v>45</v>
      </c>
    </row>
    <row r="55" spans="1:35" ht="14.95" customHeight="1">
      <c r="B55" s="24" t="s">
        <v>44</v>
      </c>
    </row>
    <row r="56" spans="1:35" ht="14.95" customHeight="1">
      <c r="A56" s="14" t="s">
        <v>43</v>
      </c>
      <c r="B56" s="31" t="s">
        <v>27</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4.95" customHeight="1">
      <c r="A57" s="14" t="s">
        <v>42</v>
      </c>
      <c r="B57" s="31" t="s">
        <v>25</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4.95" customHeight="1">
      <c r="A58" s="14" t="s">
        <v>41</v>
      </c>
      <c r="B58" s="31" t="s">
        <v>23</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4.95" customHeight="1">
      <c r="A59" s="14" t="s">
        <v>40</v>
      </c>
      <c r="B59" s="31" t="s">
        <v>21</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4.95" customHeight="1">
      <c r="A60" s="14" t="s">
        <v>39</v>
      </c>
      <c r="B60" s="31" t="s">
        <v>19</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4.95" customHeight="1">
      <c r="A61" s="14" t="s">
        <v>38</v>
      </c>
      <c r="B61" s="31" t="s">
        <v>17</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4.95" customHeight="1">
      <c r="A62" s="14" t="s">
        <v>37</v>
      </c>
      <c r="B62" s="31" t="s">
        <v>15</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4.95" customHeight="1">
      <c r="A63" s="14" t="s">
        <v>36</v>
      </c>
      <c r="B63" s="31" t="s">
        <v>13</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4.95" customHeight="1">
      <c r="A64" s="14" t="s">
        <v>35</v>
      </c>
      <c r="B64" s="31" t="s">
        <v>11</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4.95" customHeight="1">
      <c r="A65" s="14" t="s">
        <v>34</v>
      </c>
      <c r="B65" s="31" t="s">
        <v>9</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4.95" customHeight="1">
      <c r="A66" s="14" t="s">
        <v>33</v>
      </c>
      <c r="B66" s="31" t="s">
        <v>7</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4.95" customHeight="1">
      <c r="A67" s="14" t="s">
        <v>32</v>
      </c>
      <c r="B67" s="31" t="s">
        <v>5</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4.95" customHeight="1">
      <c r="A68" s="14" t="s">
        <v>31</v>
      </c>
      <c r="B68" s="31" t="s">
        <v>841</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4.95" customHeight="1">
      <c r="A69" s="14" t="s">
        <v>30</v>
      </c>
      <c r="B69" s="24" t="s">
        <v>2</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4.95" customHeight="1">
      <c r="B71" s="24" t="s">
        <v>29</v>
      </c>
    </row>
    <row r="72" spans="1:35" ht="14.95" customHeight="1">
      <c r="A72" s="14" t="s">
        <v>28</v>
      </c>
      <c r="B72" s="31" t="s">
        <v>27</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4.95" customHeight="1">
      <c r="A73" s="14" t="s">
        <v>26</v>
      </c>
      <c r="B73" s="31" t="s">
        <v>25</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4.95" customHeight="1">
      <c r="A74" s="14" t="s">
        <v>24</v>
      </c>
      <c r="B74" s="31" t="s">
        <v>23</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4.95" customHeight="1">
      <c r="A75" s="14" t="s">
        <v>22</v>
      </c>
      <c r="B75" s="31" t="s">
        <v>21</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4.95" customHeight="1">
      <c r="A76" s="14" t="s">
        <v>20</v>
      </c>
      <c r="B76" s="31" t="s">
        <v>19</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4.95" customHeight="1">
      <c r="A77" s="14" t="s">
        <v>18</v>
      </c>
      <c r="B77" s="31" t="s">
        <v>17</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4.95" customHeight="1">
      <c r="A78" s="14" t="s">
        <v>16</v>
      </c>
      <c r="B78" s="31" t="s">
        <v>15</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4.95" customHeight="1">
      <c r="A79" s="14" t="s">
        <v>14</v>
      </c>
      <c r="B79" s="31" t="s">
        <v>13</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4.95" customHeight="1">
      <c r="A80" s="14" t="s">
        <v>12</v>
      </c>
      <c r="B80" s="31" t="s">
        <v>11</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4.95" customHeight="1">
      <c r="A81" s="14" t="s">
        <v>10</v>
      </c>
      <c r="B81" s="31" t="s">
        <v>9</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4.95" customHeight="1">
      <c r="A82" s="14" t="s">
        <v>8</v>
      </c>
      <c r="B82" s="31" t="s">
        <v>7</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4.95" customHeight="1">
      <c r="A83" s="14" t="s">
        <v>6</v>
      </c>
      <c r="B83" s="31" t="s">
        <v>5</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4.95" customHeight="1">
      <c r="A84" s="14" t="s">
        <v>4</v>
      </c>
      <c r="B84" s="31" t="s">
        <v>841</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4.95" customHeight="1">
      <c r="A85" s="14" t="s">
        <v>3</v>
      </c>
      <c r="B85" s="24" t="s">
        <v>2</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4.95" customHeight="1" thickBot="1"/>
    <row r="87" spans="1:35" ht="14.95" customHeight="1">
      <c r="B87" s="128" t="s">
        <v>3045</v>
      </c>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c r="AA87" s="128"/>
      <c r="AB87" s="128"/>
      <c r="AC87" s="128"/>
      <c r="AD87" s="128"/>
      <c r="AE87" s="128"/>
      <c r="AF87" s="128"/>
      <c r="AG87" s="128"/>
      <c r="AH87" s="128"/>
      <c r="AI87" s="128"/>
    </row>
    <row r="88" spans="1:35" ht="14.95" customHeight="1">
      <c r="B88" s="15" t="s">
        <v>3046</v>
      </c>
    </row>
    <row r="89" spans="1:35" ht="14.95" customHeight="1">
      <c r="B89" s="15" t="s">
        <v>3047</v>
      </c>
    </row>
    <row r="90" spans="1:35" ht="14.95" customHeight="1">
      <c r="B90" s="15" t="s">
        <v>3048</v>
      </c>
    </row>
    <row r="91" spans="1:35" ht="14.95" customHeight="1">
      <c r="B91" s="15" t="s">
        <v>3049</v>
      </c>
    </row>
    <row r="92" spans="1:35" ht="14.95" customHeight="1">
      <c r="B92" s="15" t="s">
        <v>3050</v>
      </c>
    </row>
    <row r="93" spans="1:35" ht="14.95" customHeight="1">
      <c r="B93" s="15" t="s">
        <v>3051</v>
      </c>
    </row>
    <row r="94" spans="1:35" ht="14.95" customHeight="1">
      <c r="B94" s="15" t="s">
        <v>3052</v>
      </c>
    </row>
    <row r="95" spans="1:35" ht="14.95" customHeight="1">
      <c r="B95" s="15" t="s">
        <v>3053</v>
      </c>
    </row>
    <row r="96" spans="1:35" ht="14.95" customHeight="1">
      <c r="B96" s="15" t="s">
        <v>3054</v>
      </c>
    </row>
    <row r="97" spans="2:2" ht="14.95" customHeight="1">
      <c r="B97" s="15" t="s">
        <v>3055</v>
      </c>
    </row>
  </sheetData>
  <mergeCells count="1">
    <mergeCell ref="B87:AI87"/>
  </mergeCells>
  <phoneticPr fontId="5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69"/>
  <sheetViews>
    <sheetView workbookViewId="0"/>
  </sheetViews>
  <sheetFormatPr defaultColWidth="12.125" defaultRowHeight="14.95" customHeight="1"/>
  <cols>
    <col min="1" max="1" width="21.875" style="53" customWidth="1"/>
    <col min="2" max="4" width="9.125"/>
  </cols>
  <sheetData>
    <row r="1" spans="1:37" s="53" customFormat="1" ht="14.95" customHeight="1">
      <c r="A1" s="53" t="s">
        <v>1343</v>
      </c>
      <c r="F1" s="53">
        <v>2020</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row>
    <row r="10" spans="1:37" ht="14.95" customHeight="1">
      <c r="A10" s="109" t="s">
        <v>542</v>
      </c>
      <c r="B10" t="s">
        <v>1191</v>
      </c>
    </row>
    <row r="11" spans="1:37" ht="14.95" customHeight="1">
      <c r="B11" t="s">
        <v>1192</v>
      </c>
    </row>
    <row r="12" spans="1:37" ht="14.95" customHeight="1">
      <c r="B12" t="s">
        <v>1193</v>
      </c>
    </row>
    <row r="13" spans="1:37" ht="14.95" customHeight="1">
      <c r="B13" t="s">
        <v>1194</v>
      </c>
    </row>
    <row r="14" spans="1:37" ht="14.95" customHeight="1">
      <c r="C14" t="s">
        <v>1195</v>
      </c>
      <c r="D14" t="s">
        <v>1284</v>
      </c>
      <c r="E14" t="s">
        <v>1285</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1286</v>
      </c>
    </row>
    <row r="15" spans="1:37" ht="14.95" customHeight="1">
      <c r="B15" t="s">
        <v>45</v>
      </c>
      <c r="D15" t="s">
        <v>1287</v>
      </c>
    </row>
    <row r="16" spans="1:37" ht="14.95" customHeight="1">
      <c r="B16" t="s">
        <v>1196</v>
      </c>
      <c r="D16" t="s">
        <v>1288</v>
      </c>
    </row>
    <row r="17" spans="1:37" ht="14.95" customHeight="1">
      <c r="A17" s="109" t="s">
        <v>543</v>
      </c>
      <c r="B17" t="s">
        <v>1197</v>
      </c>
      <c r="C17" t="s">
        <v>1198</v>
      </c>
      <c r="D17" t="s">
        <v>1289</v>
      </c>
      <c r="E17" t="s">
        <v>1290</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108">
        <v>0</v>
      </c>
    </row>
    <row r="18" spans="1:37" ht="14.95" customHeight="1">
      <c r="A18" s="109" t="s">
        <v>544</v>
      </c>
      <c r="B18" t="s">
        <v>1199</v>
      </c>
      <c r="C18" t="s">
        <v>1200</v>
      </c>
      <c r="D18" t="s">
        <v>1291</v>
      </c>
      <c r="E18" t="s">
        <v>1290</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108">
        <v>-1.0999999999999999E-2</v>
      </c>
    </row>
    <row r="19" spans="1:37" ht="14.95" customHeight="1">
      <c r="A19" s="109" t="s">
        <v>545</v>
      </c>
      <c r="B19" t="s">
        <v>1201</v>
      </c>
      <c r="C19" t="s">
        <v>1202</v>
      </c>
      <c r="D19" t="s">
        <v>1292</v>
      </c>
      <c r="E19" t="s">
        <v>1290</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108">
        <v>6.0000000000000001E-3</v>
      </c>
    </row>
    <row r="20" spans="1:37" ht="14.95" customHeight="1">
      <c r="A20" s="109" t="s">
        <v>546</v>
      </c>
      <c r="B20" t="s">
        <v>1203</v>
      </c>
      <c r="C20" t="s">
        <v>1204</v>
      </c>
      <c r="D20" t="s">
        <v>1293</v>
      </c>
      <c r="E20" t="s">
        <v>1290</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108">
        <v>-1.0999999999999999E-2</v>
      </c>
    </row>
    <row r="21" spans="1:37" ht="14.95" customHeight="1">
      <c r="A21" s="109" t="s">
        <v>547</v>
      </c>
      <c r="B21" t="s">
        <v>1205</v>
      </c>
      <c r="C21" t="s">
        <v>1206</v>
      </c>
      <c r="D21" t="s">
        <v>1294</v>
      </c>
      <c r="E21" t="s">
        <v>1290</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108">
        <v>8.9999999999999993E-3</v>
      </c>
    </row>
    <row r="22" spans="1:37" ht="14.95" customHeight="1">
      <c r="A22" s="109" t="s">
        <v>548</v>
      </c>
      <c r="B22" t="s">
        <v>1207</v>
      </c>
      <c r="C22" t="s">
        <v>1208</v>
      </c>
      <c r="D22" t="s">
        <v>1295</v>
      </c>
      <c r="E22" t="s">
        <v>1290</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108">
        <v>0.02</v>
      </c>
    </row>
    <row r="23" spans="1:37" ht="14.95" customHeight="1">
      <c r="A23" s="109" t="s">
        <v>549</v>
      </c>
      <c r="B23" t="s">
        <v>1209</v>
      </c>
      <c r="C23" t="s">
        <v>1210</v>
      </c>
      <c r="D23" t="s">
        <v>1296</v>
      </c>
      <c r="E23" t="s">
        <v>1290</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108">
        <v>0.01</v>
      </c>
    </row>
    <row r="24" spans="1:37" ht="14.95" customHeight="1">
      <c r="A24" s="109" t="s">
        <v>550</v>
      </c>
      <c r="B24" t="s">
        <v>1211</v>
      </c>
      <c r="C24" t="s">
        <v>1212</v>
      </c>
      <c r="D24" t="s">
        <v>1297</v>
      </c>
      <c r="E24" t="s">
        <v>1290</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108">
        <v>2.1999999999999999E-2</v>
      </c>
    </row>
    <row r="25" spans="1:37" ht="14.95" customHeight="1">
      <c r="A25" s="109" t="s">
        <v>551</v>
      </c>
      <c r="B25" t="s">
        <v>1213</v>
      </c>
      <c r="C25" t="s">
        <v>1214</v>
      </c>
      <c r="D25" t="s">
        <v>1298</v>
      </c>
      <c r="E25" t="s">
        <v>1290</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108">
        <v>3.3000000000000002E-2</v>
      </c>
    </row>
    <row r="26" spans="1:37" ht="14.95" customHeight="1">
      <c r="A26" s="109" t="s">
        <v>552</v>
      </c>
      <c r="B26" t="s">
        <v>1215</v>
      </c>
      <c r="C26" t="s">
        <v>1216</v>
      </c>
      <c r="D26" t="s">
        <v>1299</v>
      </c>
      <c r="E26" t="s">
        <v>1290</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108">
        <v>5.0000000000000001E-3</v>
      </c>
    </row>
    <row r="27" spans="1:37" ht="14.95" customHeight="1">
      <c r="A27" s="109" t="s">
        <v>838</v>
      </c>
      <c r="B27" t="s">
        <v>1217</v>
      </c>
      <c r="C27" t="s">
        <v>1218</v>
      </c>
      <c r="D27" t="s">
        <v>1300</v>
      </c>
      <c r="E27" t="s">
        <v>1290</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108">
        <v>1.4999999999999999E-2</v>
      </c>
    </row>
    <row r="28" spans="1:37" ht="14.95" customHeight="1">
      <c r="A28" s="109" t="s">
        <v>839</v>
      </c>
      <c r="B28" t="s">
        <v>1219</v>
      </c>
      <c r="C28" t="s">
        <v>1220</v>
      </c>
      <c r="D28" t="s">
        <v>1301</v>
      </c>
      <c r="E28" t="s">
        <v>1290</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108">
        <v>1.4E-2</v>
      </c>
    </row>
    <row r="29" spans="1:37" ht="14.95" customHeight="1">
      <c r="A29" s="109" t="s">
        <v>553</v>
      </c>
      <c r="B29" t="s">
        <v>1221</v>
      </c>
      <c r="C29" t="s">
        <v>1222</v>
      </c>
      <c r="D29" t="s">
        <v>1302</v>
      </c>
      <c r="E29" t="s">
        <v>1290</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108">
        <v>1E-3</v>
      </c>
    </row>
    <row r="30" spans="1:37" ht="14.95" customHeight="1">
      <c r="B30" t="s">
        <v>1223</v>
      </c>
      <c r="D30" t="s">
        <v>1303</v>
      </c>
    </row>
    <row r="31" spans="1:37" ht="14.95" customHeight="1">
      <c r="A31" s="109" t="s">
        <v>554</v>
      </c>
      <c r="B31" t="s">
        <v>534</v>
      </c>
      <c r="C31" t="s">
        <v>1224</v>
      </c>
      <c r="D31" t="s">
        <v>1304</v>
      </c>
      <c r="E31" t="s">
        <v>1290</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108">
        <v>2.5999999999999999E-2</v>
      </c>
    </row>
    <row r="32" spans="1:37" ht="14.95" customHeight="1">
      <c r="A32" s="109" t="s">
        <v>555</v>
      </c>
      <c r="B32" t="s">
        <v>1225</v>
      </c>
      <c r="C32" t="s">
        <v>1226</v>
      </c>
      <c r="D32" t="s">
        <v>1305</v>
      </c>
      <c r="E32" t="s">
        <v>1290</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108">
        <v>2.3E-2</v>
      </c>
    </row>
    <row r="33" spans="1:37" ht="14.95" customHeight="1">
      <c r="A33" s="109" t="s">
        <v>556</v>
      </c>
      <c r="B33" t="s">
        <v>1227</v>
      </c>
      <c r="C33" t="s">
        <v>1228</v>
      </c>
      <c r="D33" t="s">
        <v>1306</v>
      </c>
      <c r="E33" t="s">
        <v>1290</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108">
        <v>2.1000000000000001E-2</v>
      </c>
    </row>
    <row r="34" spans="1:37" ht="14.95" customHeight="1">
      <c r="A34" s="109" t="s">
        <v>557</v>
      </c>
      <c r="B34" t="s">
        <v>1229</v>
      </c>
      <c r="C34" t="s">
        <v>1230</v>
      </c>
      <c r="D34" t="s">
        <v>1307</v>
      </c>
      <c r="E34" t="s">
        <v>1290</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108">
        <v>6.8000000000000005E-2</v>
      </c>
    </row>
    <row r="35" spans="1:37" ht="14.95" customHeight="1">
      <c r="A35" s="109" t="s">
        <v>558</v>
      </c>
      <c r="B35" t="s">
        <v>1231</v>
      </c>
      <c r="C35" t="s">
        <v>1232</v>
      </c>
      <c r="D35" t="s">
        <v>1308</v>
      </c>
      <c r="E35" t="s">
        <v>1290</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108">
        <v>0.01</v>
      </c>
    </row>
    <row r="36" spans="1:37" ht="14.95" customHeight="1">
      <c r="A36" s="109" t="s">
        <v>559</v>
      </c>
      <c r="B36" t="s">
        <v>1233</v>
      </c>
      <c r="C36" t="s">
        <v>1234</v>
      </c>
      <c r="D36" t="s">
        <v>1309</v>
      </c>
      <c r="E36" t="s">
        <v>1290</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108">
        <v>0</v>
      </c>
    </row>
    <row r="37" spans="1:37" ht="14.95" customHeight="1">
      <c r="A37" s="109" t="s">
        <v>560</v>
      </c>
      <c r="B37" t="s">
        <v>1235</v>
      </c>
      <c r="C37" t="s">
        <v>1236</v>
      </c>
      <c r="D37" t="s">
        <v>1310</v>
      </c>
      <c r="E37" t="s">
        <v>1290</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108">
        <v>1E-3</v>
      </c>
    </row>
    <row r="38" spans="1:37" ht="14.95" customHeight="1">
      <c r="A38" s="109" t="s">
        <v>561</v>
      </c>
      <c r="B38" t="s">
        <v>627</v>
      </c>
      <c r="C38" t="s">
        <v>1237</v>
      </c>
      <c r="D38" t="s">
        <v>1311</v>
      </c>
      <c r="E38" t="s">
        <v>1290</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108">
        <v>-1.4E-2</v>
      </c>
    </row>
    <row r="39" spans="1:37" ht="14.95" customHeight="1">
      <c r="A39" s="109" t="s">
        <v>562</v>
      </c>
      <c r="B39" t="s">
        <v>620</v>
      </c>
      <c r="C39" t="s">
        <v>1238</v>
      </c>
      <c r="D39" t="s">
        <v>1312</v>
      </c>
      <c r="E39" t="s">
        <v>1290</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108">
        <v>2E-3</v>
      </c>
    </row>
    <row r="40" spans="1:37" ht="14.95" customHeight="1">
      <c r="A40" s="109" t="s">
        <v>563</v>
      </c>
      <c r="B40" t="s">
        <v>1078</v>
      </c>
      <c r="C40" t="s">
        <v>1239</v>
      </c>
      <c r="D40" t="s">
        <v>1313</v>
      </c>
      <c r="E40" t="s">
        <v>1290</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108">
        <v>-3.0000000000000001E-3</v>
      </c>
    </row>
    <row r="41" spans="1:37" ht="14.95" customHeight="1">
      <c r="A41" s="109" t="s">
        <v>564</v>
      </c>
      <c r="B41" t="s">
        <v>529</v>
      </c>
      <c r="C41" t="s">
        <v>1240</v>
      </c>
      <c r="D41" t="s">
        <v>1314</v>
      </c>
      <c r="E41" t="s">
        <v>1290</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108">
        <v>4.0000000000000001E-3</v>
      </c>
    </row>
    <row r="42" spans="1:37" ht="14.95" customHeight="1">
      <c r="A42" s="109" t="s">
        <v>565</v>
      </c>
      <c r="B42" t="s">
        <v>1235</v>
      </c>
      <c r="C42" t="s">
        <v>1241</v>
      </c>
      <c r="D42" t="s">
        <v>1315</v>
      </c>
      <c r="E42" t="s">
        <v>1290</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108">
        <v>1E-3</v>
      </c>
    </row>
    <row r="43" spans="1:37" ht="14.95" customHeight="1">
      <c r="A43" s="109" t="s">
        <v>566</v>
      </c>
      <c r="B43" t="s">
        <v>1242</v>
      </c>
      <c r="C43" t="s">
        <v>1243</v>
      </c>
      <c r="D43" t="s">
        <v>1316</v>
      </c>
      <c r="E43" t="s">
        <v>1290</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108">
        <v>2.7E-2</v>
      </c>
    </row>
    <row r="44" spans="1:37" ht="14.95" customHeight="1">
      <c r="A44" s="109" t="s">
        <v>567</v>
      </c>
      <c r="B44" t="s">
        <v>1211</v>
      </c>
      <c r="C44" t="s">
        <v>1244</v>
      </c>
      <c r="D44" t="s">
        <v>1317</v>
      </c>
      <c r="E44" t="s">
        <v>1290</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108">
        <v>0.03</v>
      </c>
    </row>
    <row r="45" spans="1:37" ht="14.95" customHeight="1">
      <c r="A45" s="109" t="s">
        <v>568</v>
      </c>
      <c r="B45" t="s">
        <v>1209</v>
      </c>
      <c r="C45" t="s">
        <v>1245</v>
      </c>
      <c r="D45" t="s">
        <v>1318</v>
      </c>
      <c r="E45" t="s">
        <v>1290</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108">
        <v>2.5999999999999999E-2</v>
      </c>
    </row>
    <row r="46" spans="1:37" ht="14.95" customHeight="1">
      <c r="A46" s="109" t="s">
        <v>569</v>
      </c>
      <c r="B46" t="s">
        <v>1246</v>
      </c>
      <c r="C46" t="s">
        <v>1247</v>
      </c>
      <c r="D46" t="s">
        <v>1319</v>
      </c>
      <c r="E46" t="s">
        <v>1290</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108">
        <v>2.5000000000000001E-2</v>
      </c>
    </row>
    <row r="47" spans="1:37" ht="14.95" customHeight="1">
      <c r="A47" s="109" t="s">
        <v>570</v>
      </c>
      <c r="B47" t="s">
        <v>1082</v>
      </c>
      <c r="C47" t="s">
        <v>1248</v>
      </c>
      <c r="D47" t="s">
        <v>1320</v>
      </c>
      <c r="E47" t="s">
        <v>1290</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108">
        <v>1E-3</v>
      </c>
    </row>
    <row r="48" spans="1:37" ht="14.95" customHeight="1">
      <c r="A48" s="109" t="s">
        <v>571</v>
      </c>
      <c r="B48" t="s">
        <v>1084</v>
      </c>
      <c r="C48" t="s">
        <v>1249</v>
      </c>
      <c r="D48" t="s">
        <v>1321</v>
      </c>
      <c r="E48" t="s">
        <v>1290</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108">
        <v>4.0000000000000001E-3</v>
      </c>
    </row>
    <row r="49" spans="1:37" ht="14.95" customHeight="1">
      <c r="A49" s="109" t="s">
        <v>572</v>
      </c>
      <c r="B49" t="s">
        <v>1033</v>
      </c>
      <c r="C49" t="s">
        <v>1250</v>
      </c>
      <c r="D49" t="s">
        <v>1322</v>
      </c>
      <c r="E49" t="s">
        <v>1290</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108">
        <v>0</v>
      </c>
    </row>
    <row r="50" spans="1:37" ht="14.95" customHeight="1">
      <c r="A50" s="109" t="s">
        <v>573</v>
      </c>
      <c r="B50" t="s">
        <v>1251</v>
      </c>
      <c r="C50" t="s">
        <v>1252</v>
      </c>
      <c r="D50" t="s">
        <v>1323</v>
      </c>
      <c r="E50" t="s">
        <v>1290</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108">
        <v>0</v>
      </c>
    </row>
    <row r="51" spans="1:37" ht="14.95" customHeight="1">
      <c r="A51" s="109" t="s">
        <v>574</v>
      </c>
      <c r="B51" t="s">
        <v>1253</v>
      </c>
      <c r="C51" t="s">
        <v>1254</v>
      </c>
      <c r="D51" t="s">
        <v>1324</v>
      </c>
      <c r="E51" t="s">
        <v>1290</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108">
        <v>0</v>
      </c>
    </row>
    <row r="52" spans="1:37" ht="14.95" customHeight="1">
      <c r="A52" s="109" t="s">
        <v>575</v>
      </c>
      <c r="B52" t="s">
        <v>1255</v>
      </c>
      <c r="C52" t="s">
        <v>1256</v>
      </c>
      <c r="D52" t="s">
        <v>1325</v>
      </c>
      <c r="E52" t="s">
        <v>1290</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108">
        <v>0</v>
      </c>
    </row>
    <row r="53" spans="1:37" ht="14.95" customHeight="1">
      <c r="A53" s="109" t="s">
        <v>576</v>
      </c>
      <c r="B53" t="s">
        <v>577</v>
      </c>
      <c r="C53" t="s">
        <v>1257</v>
      </c>
      <c r="D53" t="s">
        <v>1326</v>
      </c>
      <c r="E53" t="s">
        <v>1290</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108">
        <v>5.0000000000000001E-3</v>
      </c>
    </row>
    <row r="54" spans="1:37" ht="14.95" customHeight="1">
      <c r="B54" t="s">
        <v>578</v>
      </c>
      <c r="D54" t="s">
        <v>1327</v>
      </c>
    </row>
    <row r="55" spans="1:37" ht="14.95" customHeight="1">
      <c r="A55" s="109" t="s">
        <v>579</v>
      </c>
      <c r="B55" t="s">
        <v>1258</v>
      </c>
      <c r="C55" t="s">
        <v>1259</v>
      </c>
      <c r="D55" t="s">
        <v>1328</v>
      </c>
      <c r="E55" t="s">
        <v>1290</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108">
        <v>0</v>
      </c>
    </row>
    <row r="56" spans="1:37" ht="14.95" customHeight="1">
      <c r="A56" s="109" t="s">
        <v>580</v>
      </c>
      <c r="B56" t="s">
        <v>1260</v>
      </c>
      <c r="C56" t="s">
        <v>1261</v>
      </c>
      <c r="D56" t="s">
        <v>1329</v>
      </c>
      <c r="E56" t="s">
        <v>1290</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108">
        <v>1.4999999999999999E-2</v>
      </c>
    </row>
    <row r="57" spans="1:37" ht="14.95" customHeight="1">
      <c r="A57" s="109" t="s">
        <v>581</v>
      </c>
      <c r="B57" t="s">
        <v>1262</v>
      </c>
      <c r="C57" t="s">
        <v>1263</v>
      </c>
      <c r="D57" t="s">
        <v>1330</v>
      </c>
      <c r="E57" t="s">
        <v>1290</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108">
        <v>2E-3</v>
      </c>
    </row>
    <row r="58" spans="1:37" ht="14.95" customHeight="1">
      <c r="A58" s="109" t="s">
        <v>582</v>
      </c>
      <c r="B58" t="s">
        <v>1264</v>
      </c>
      <c r="C58" t="s">
        <v>1265</v>
      </c>
      <c r="D58" t="s">
        <v>1331</v>
      </c>
      <c r="E58" t="s">
        <v>1290</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108">
        <v>2.3E-2</v>
      </c>
    </row>
    <row r="59" spans="1:37" ht="14.95" customHeight="1">
      <c r="A59" s="109" t="s">
        <v>583</v>
      </c>
      <c r="B59" t="s">
        <v>1253</v>
      </c>
      <c r="C59" t="s">
        <v>1266</v>
      </c>
      <c r="D59" t="s">
        <v>1332</v>
      </c>
      <c r="E59" t="s">
        <v>1290</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108">
        <v>5.0000000000000001E-3</v>
      </c>
    </row>
    <row r="60" spans="1:37" ht="14.95" customHeight="1">
      <c r="A60" s="109" t="s">
        <v>584</v>
      </c>
      <c r="B60" t="s">
        <v>1267</v>
      </c>
      <c r="C60" t="s">
        <v>1268</v>
      </c>
      <c r="D60" t="s">
        <v>1333</v>
      </c>
      <c r="E60" t="s">
        <v>1290</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108">
        <v>0</v>
      </c>
    </row>
    <row r="61" spans="1:37" ht="14.95" customHeight="1">
      <c r="A61" s="109" t="s">
        <v>585</v>
      </c>
      <c r="B61" t="s">
        <v>1269</v>
      </c>
      <c r="C61" t="s">
        <v>1270</v>
      </c>
      <c r="D61" t="s">
        <v>1334</v>
      </c>
      <c r="E61" t="s">
        <v>1290</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108">
        <v>2.7E-2</v>
      </c>
    </row>
    <row r="62" spans="1:37" ht="14.95" customHeight="1">
      <c r="A62" s="109" t="s">
        <v>586</v>
      </c>
      <c r="B62" t="s">
        <v>1082</v>
      </c>
      <c r="C62" t="s">
        <v>1271</v>
      </c>
      <c r="D62" t="s">
        <v>1335</v>
      </c>
      <c r="E62" t="s">
        <v>1290</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108">
        <v>1E-3</v>
      </c>
    </row>
    <row r="63" spans="1:37" ht="14.95" customHeight="1">
      <c r="A63" s="109" t="s">
        <v>587</v>
      </c>
      <c r="B63" t="s">
        <v>1272</v>
      </c>
      <c r="C63" t="s">
        <v>1273</v>
      </c>
      <c r="D63" t="s">
        <v>1336</v>
      </c>
      <c r="E63" t="s">
        <v>1290</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108">
        <v>4.0000000000000001E-3</v>
      </c>
    </row>
    <row r="64" spans="1:37" ht="14.95" customHeight="1">
      <c r="A64" s="109" t="s">
        <v>588</v>
      </c>
      <c r="B64" t="s">
        <v>1274</v>
      </c>
      <c r="C64" t="s">
        <v>1275</v>
      </c>
      <c r="D64" t="s">
        <v>1337</v>
      </c>
      <c r="E64" t="s">
        <v>1290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146</v>
      </c>
    </row>
    <row r="65" spans="1:37" ht="14.95" customHeight="1">
      <c r="A65" s="109" t="s">
        <v>589</v>
      </c>
      <c r="B65" t="s">
        <v>1276</v>
      </c>
      <c r="C65" t="s">
        <v>1277</v>
      </c>
      <c r="D65" t="s">
        <v>1338</v>
      </c>
      <c r="E65" t="s">
        <v>1290</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108">
        <v>8.3000000000000004E-2</v>
      </c>
    </row>
    <row r="66" spans="1:37" ht="14.95" customHeight="1">
      <c r="A66" s="109" t="s">
        <v>590</v>
      </c>
      <c r="B66" t="s">
        <v>1278</v>
      </c>
      <c r="C66" t="s">
        <v>1279</v>
      </c>
      <c r="D66" t="s">
        <v>1339</v>
      </c>
      <c r="E66" t="s">
        <v>1290</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108">
        <v>5.2999999999999999E-2</v>
      </c>
    </row>
    <row r="67" spans="1:37" ht="14.95" customHeight="1">
      <c r="A67" s="109" t="s">
        <v>591</v>
      </c>
      <c r="B67" t="s">
        <v>1280</v>
      </c>
      <c r="C67" t="s">
        <v>1281</v>
      </c>
      <c r="D67" t="s">
        <v>1340</v>
      </c>
      <c r="E67" t="s">
        <v>1290</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108">
        <v>3.7999999999999999E-2</v>
      </c>
    </row>
    <row r="68" spans="1:37" ht="14.95" customHeight="1">
      <c r="A68" s="109" t="s">
        <v>592</v>
      </c>
      <c r="B68" t="s">
        <v>1084</v>
      </c>
      <c r="C68" t="s">
        <v>1282</v>
      </c>
      <c r="D68" t="s">
        <v>1341</v>
      </c>
      <c r="E68" t="s">
        <v>1290</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108">
        <v>4.0000000000000001E-3</v>
      </c>
    </row>
    <row r="69" spans="1:37" ht="14.95" customHeight="1">
      <c r="A69" s="109" t="s">
        <v>593</v>
      </c>
      <c r="B69" t="s">
        <v>594</v>
      </c>
      <c r="C69" t="s">
        <v>1283</v>
      </c>
      <c r="D69" t="s">
        <v>1342</v>
      </c>
      <c r="E69" t="s">
        <v>1290</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108">
        <v>5.0000000000000001E-3</v>
      </c>
    </row>
  </sheetData>
  <phoneticPr fontId="59" type="noConversion"/>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L114"/>
  <sheetViews>
    <sheetView topLeftCell="A55" workbookViewId="0">
      <selection activeCell="A63" sqref="A63"/>
    </sheetView>
  </sheetViews>
  <sheetFormatPr defaultRowHeight="12.9"/>
  <cols>
    <col min="1" max="1" width="9.125"/>
    <col min="2" max="2" width="19.375" style="40" customWidth="1"/>
    <col min="4" max="4" width="43.875" customWidth="1"/>
  </cols>
  <sheetData>
    <row r="1" spans="2:38" s="53" customFormat="1" ht="14.95" customHeight="1">
      <c r="B1" s="40" t="s">
        <v>1343</v>
      </c>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2" spans="2:38" ht="14.95" customHeight="1"/>
    <row r="3" spans="2:38" ht="14.95" customHeight="1"/>
    <row r="4" spans="2:38" ht="14.95" customHeight="1"/>
    <row r="5" spans="2:38" ht="14.95" customHeight="1"/>
    <row r="6" spans="2:38" ht="14.95" customHeight="1"/>
    <row r="10" spans="2:38" ht="14.95" customHeight="1">
      <c r="B10" s="110" t="s">
        <v>987</v>
      </c>
      <c r="C10" t="s">
        <v>1344</v>
      </c>
    </row>
    <row r="11" spans="2:38" ht="14.95" customHeight="1">
      <c r="C11" t="s">
        <v>1345</v>
      </c>
    </row>
    <row r="12" spans="2:38" ht="14.95" customHeight="1">
      <c r="C12" t="s">
        <v>1346</v>
      </c>
    </row>
    <row r="13" spans="2:38" ht="14.95" customHeight="1">
      <c r="C13" t="s">
        <v>1194</v>
      </c>
    </row>
    <row r="14" spans="2:38" ht="14.95" customHeight="1">
      <c r="D14" t="s">
        <v>1195</v>
      </c>
      <c r="E14" t="s">
        <v>1284</v>
      </c>
      <c r="F14" t="s">
        <v>1285</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1286</v>
      </c>
    </row>
    <row r="15" spans="2:38" ht="14.95" customHeight="1">
      <c r="B15" s="110" t="s">
        <v>988</v>
      </c>
      <c r="C15" t="s">
        <v>989</v>
      </c>
      <c r="D15" t="s">
        <v>1361</v>
      </c>
      <c r="E15" t="s">
        <v>1362</v>
      </c>
      <c r="F15" t="s">
        <v>1290</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108">
        <v>0</v>
      </c>
    </row>
    <row r="16" spans="2:38" ht="14.95" customHeight="1">
      <c r="B16" s="110" t="s">
        <v>990</v>
      </c>
      <c r="C16" t="s">
        <v>1258</v>
      </c>
      <c r="D16" t="s">
        <v>1363</v>
      </c>
      <c r="E16" t="s">
        <v>1364</v>
      </c>
      <c r="F16" t="s">
        <v>1290</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108">
        <v>-1E-3</v>
      </c>
    </row>
    <row r="17" spans="2:38" ht="14.95" customHeight="1">
      <c r="B17" s="110" t="s">
        <v>991</v>
      </c>
      <c r="C17" t="s">
        <v>1260</v>
      </c>
      <c r="D17" t="s">
        <v>1365</v>
      </c>
      <c r="E17" t="s">
        <v>1366</v>
      </c>
      <c r="F17" t="s">
        <v>1290</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108">
        <v>4.0000000000000001E-3</v>
      </c>
    </row>
    <row r="18" spans="2:38" ht="14.95" customHeight="1">
      <c r="B18" s="110" t="s">
        <v>992</v>
      </c>
      <c r="C18" t="s">
        <v>1347</v>
      </c>
      <c r="D18" t="s">
        <v>1367</v>
      </c>
      <c r="E18" t="s">
        <v>1368</v>
      </c>
      <c r="F18" t="s">
        <v>1290</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108">
        <v>2.5000000000000001E-2</v>
      </c>
    </row>
    <row r="19" spans="2:38" ht="14.95" customHeight="1">
      <c r="B19" s="110" t="s">
        <v>993</v>
      </c>
      <c r="C19" t="s">
        <v>1278</v>
      </c>
      <c r="D19" t="s">
        <v>1369</v>
      </c>
      <c r="E19" t="s">
        <v>1370</v>
      </c>
      <c r="F19" t="s">
        <v>1290</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108">
        <v>-1E-3</v>
      </c>
    </row>
    <row r="20" spans="2:38" ht="14.95" customHeight="1">
      <c r="B20" s="110" t="s">
        <v>994</v>
      </c>
      <c r="C20" t="s">
        <v>1269</v>
      </c>
      <c r="D20" t="s">
        <v>1371</v>
      </c>
      <c r="E20" t="s">
        <v>1372</v>
      </c>
      <c r="F20" t="s">
        <v>1290</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108">
        <v>-7.0000000000000001E-3</v>
      </c>
    </row>
    <row r="21" spans="2:38" ht="14.95" customHeight="1">
      <c r="B21" s="110" t="s">
        <v>995</v>
      </c>
      <c r="C21" t="s">
        <v>1276</v>
      </c>
      <c r="D21" t="s">
        <v>1373</v>
      </c>
      <c r="E21" t="s">
        <v>1374</v>
      </c>
      <c r="F21" t="s">
        <v>1290</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108">
        <v>0.10100000000000001</v>
      </c>
    </row>
    <row r="22" spans="2:38" ht="14.95" customHeight="1">
      <c r="B22" s="110" t="s">
        <v>996</v>
      </c>
      <c r="C22" t="s">
        <v>1280</v>
      </c>
      <c r="D22" t="s">
        <v>1375</v>
      </c>
      <c r="E22" t="s">
        <v>1376</v>
      </c>
      <c r="F22" t="s">
        <v>1290</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108">
        <v>3.7999999999999999E-2</v>
      </c>
    </row>
    <row r="23" spans="2:38" ht="14.95" customHeight="1">
      <c r="B23" s="110" t="s">
        <v>997</v>
      </c>
      <c r="C23" t="s">
        <v>1205</v>
      </c>
      <c r="D23" t="s">
        <v>1377</v>
      </c>
      <c r="E23" t="s">
        <v>1378</v>
      </c>
      <c r="F23" t="s">
        <v>1290</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108">
        <v>8.9999999999999993E-3</v>
      </c>
    </row>
    <row r="24" spans="2:38" ht="14.95" customHeight="1">
      <c r="B24" s="110" t="s">
        <v>998</v>
      </c>
      <c r="C24" t="s">
        <v>1258</v>
      </c>
      <c r="D24" t="s">
        <v>1379</v>
      </c>
      <c r="E24" t="s">
        <v>1380</v>
      </c>
      <c r="F24" t="s">
        <v>1290</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108">
        <v>8.0000000000000002E-3</v>
      </c>
    </row>
    <row r="25" spans="2:38" ht="14.95" customHeight="1">
      <c r="B25" s="110" t="s">
        <v>999</v>
      </c>
      <c r="C25" t="s">
        <v>1260</v>
      </c>
      <c r="D25" t="s">
        <v>1381</v>
      </c>
      <c r="E25" t="s">
        <v>1382</v>
      </c>
      <c r="F25" t="s">
        <v>1290</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108">
        <v>4.7E-2</v>
      </c>
    </row>
    <row r="26" spans="2:38" ht="14.95" customHeight="1">
      <c r="B26" s="110" t="s">
        <v>1000</v>
      </c>
      <c r="C26" t="s">
        <v>1347</v>
      </c>
      <c r="D26" t="s">
        <v>1383</v>
      </c>
      <c r="E26" t="s">
        <v>1384</v>
      </c>
      <c r="F26" t="s">
        <v>1290</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108">
        <v>8.0000000000000002E-3</v>
      </c>
    </row>
    <row r="27" spans="2:38" ht="14.95" customHeight="1">
      <c r="B27" s="110" t="s">
        <v>1001</v>
      </c>
      <c r="C27" t="s">
        <v>1269</v>
      </c>
      <c r="D27" t="s">
        <v>1385</v>
      </c>
      <c r="E27" t="s">
        <v>1386</v>
      </c>
      <c r="F27" t="s">
        <v>1290</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108">
        <v>8.7999999999999995E-2</v>
      </c>
    </row>
    <row r="28" spans="2:38" ht="14.95" customHeight="1">
      <c r="B28" s="110" t="s">
        <v>1002</v>
      </c>
      <c r="C28" t="s">
        <v>1278</v>
      </c>
      <c r="D28" t="s">
        <v>1387</v>
      </c>
      <c r="E28" t="s">
        <v>1388</v>
      </c>
      <c r="F28" t="s">
        <v>1290</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108">
        <v>-1.2999999999999999E-2</v>
      </c>
    </row>
    <row r="29" spans="2:38" ht="14.95" customHeight="1">
      <c r="B29" s="110" t="s">
        <v>1003</v>
      </c>
      <c r="C29" t="s">
        <v>1276</v>
      </c>
      <c r="D29" t="s">
        <v>1389</v>
      </c>
      <c r="E29" t="s">
        <v>1390</v>
      </c>
      <c r="F29" t="s">
        <v>1290</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108">
        <v>0.115</v>
      </c>
    </row>
    <row r="30" spans="2:38" ht="14.95" customHeight="1">
      <c r="B30" s="110" t="s">
        <v>1004</v>
      </c>
      <c r="C30" t="s">
        <v>1280</v>
      </c>
      <c r="D30" t="s">
        <v>1391</v>
      </c>
      <c r="E30" t="s">
        <v>1392</v>
      </c>
      <c r="F30" t="s">
        <v>1290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146</v>
      </c>
    </row>
    <row r="31" spans="2:38" ht="14.95" customHeight="1">
      <c r="B31" s="110" t="s">
        <v>1005</v>
      </c>
      <c r="C31" t="s">
        <v>1215</v>
      </c>
      <c r="D31" t="s">
        <v>1393</v>
      </c>
      <c r="E31" t="s">
        <v>1394</v>
      </c>
      <c r="F31" t="s">
        <v>1290</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108">
        <v>5.0000000000000001E-3</v>
      </c>
    </row>
    <row r="32" spans="2:38" ht="14.95" customHeight="1">
      <c r="B32" s="110" t="s">
        <v>1006</v>
      </c>
      <c r="C32" t="s">
        <v>1348</v>
      </c>
      <c r="D32" t="s">
        <v>1395</v>
      </c>
      <c r="E32" t="s">
        <v>1396</v>
      </c>
      <c r="F32" t="s">
        <v>1290</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108">
        <v>1.7000000000000001E-2</v>
      </c>
    </row>
    <row r="33" spans="2:38" ht="14.95" customHeight="1">
      <c r="B33" s="110" t="s">
        <v>1007</v>
      </c>
      <c r="C33" t="s">
        <v>1347</v>
      </c>
      <c r="D33" t="s">
        <v>1397</v>
      </c>
      <c r="E33" t="s">
        <v>1398</v>
      </c>
      <c r="F33" t="s">
        <v>1290</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108">
        <v>3.0000000000000001E-3</v>
      </c>
    </row>
    <row r="34" spans="2:38" ht="14.95" customHeight="1">
      <c r="B34" s="110" t="s">
        <v>1008</v>
      </c>
      <c r="C34" t="s">
        <v>1278</v>
      </c>
      <c r="D34" t="s">
        <v>1399</v>
      </c>
      <c r="E34" t="s">
        <v>1400</v>
      </c>
      <c r="F34" t="s">
        <v>1290</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108">
        <v>2.1999999999999999E-2</v>
      </c>
    </row>
    <row r="35" spans="2:38" ht="14.95" customHeight="1">
      <c r="B35" s="110" t="s">
        <v>1009</v>
      </c>
      <c r="C35" t="s">
        <v>1269</v>
      </c>
      <c r="D35" t="s">
        <v>1401</v>
      </c>
      <c r="E35" t="s">
        <v>1402</v>
      </c>
      <c r="F35" t="s">
        <v>1290</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108">
        <v>4.4999999999999998E-2</v>
      </c>
    </row>
    <row r="36" spans="2:38" ht="14.95" customHeight="1">
      <c r="B36" s="110" t="s">
        <v>1010</v>
      </c>
      <c r="C36" t="s">
        <v>1260</v>
      </c>
      <c r="D36" t="s">
        <v>1403</v>
      </c>
      <c r="E36" t="s">
        <v>1404</v>
      </c>
      <c r="F36" t="s">
        <v>1290</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108">
        <v>6.7000000000000004E-2</v>
      </c>
    </row>
    <row r="37" spans="2:38" ht="14.95" customHeight="1">
      <c r="B37" s="110" t="s">
        <v>1011</v>
      </c>
      <c r="C37" t="s">
        <v>1276</v>
      </c>
      <c r="D37" t="s">
        <v>1405</v>
      </c>
      <c r="E37" t="s">
        <v>1406</v>
      </c>
      <c r="F37" t="s">
        <v>1290</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108">
        <v>0.123</v>
      </c>
    </row>
    <row r="38" spans="2:38" ht="14.95" customHeight="1">
      <c r="B38" s="110" t="s">
        <v>1012</v>
      </c>
      <c r="C38" t="s">
        <v>1280</v>
      </c>
      <c r="D38" t="s">
        <v>1407</v>
      </c>
      <c r="E38" t="s">
        <v>1408</v>
      </c>
      <c r="F38" t="s">
        <v>1290</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108">
        <v>0.13400000000000001</v>
      </c>
    </row>
    <row r="39" spans="2:38" ht="14.95" customHeight="1">
      <c r="B39" s="110" t="s">
        <v>1013</v>
      </c>
      <c r="C39" t="s">
        <v>1349</v>
      </c>
      <c r="D39" t="s">
        <v>1409</v>
      </c>
      <c r="E39" t="s">
        <v>1410</v>
      </c>
      <c r="F39" t="s">
        <v>1290</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108">
        <v>1E-3</v>
      </c>
    </row>
    <row r="40" spans="2:38" ht="14.95" customHeight="1">
      <c r="B40" s="110" t="s">
        <v>1014</v>
      </c>
      <c r="C40" t="s">
        <v>1347</v>
      </c>
      <c r="D40" t="s">
        <v>1411</v>
      </c>
      <c r="E40" t="s">
        <v>1412</v>
      </c>
      <c r="F40" t="s">
        <v>1290</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108">
        <v>-1.7000000000000001E-2</v>
      </c>
    </row>
    <row r="41" spans="2:38" ht="14.95" customHeight="1">
      <c r="B41" s="110" t="s">
        <v>1015</v>
      </c>
      <c r="C41" t="s">
        <v>1253</v>
      </c>
      <c r="D41" t="s">
        <v>1413</v>
      </c>
      <c r="E41" t="s">
        <v>1414</v>
      </c>
      <c r="F41" t="s">
        <v>1290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146</v>
      </c>
    </row>
    <row r="42" spans="2:38" ht="14.95" customHeight="1">
      <c r="B42" s="110" t="s">
        <v>1016</v>
      </c>
      <c r="C42" t="s">
        <v>1350</v>
      </c>
      <c r="D42" t="s">
        <v>1415</v>
      </c>
      <c r="E42" t="s">
        <v>1416</v>
      </c>
      <c r="F42" t="s">
        <v>1290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146</v>
      </c>
    </row>
    <row r="43" spans="2:38" ht="14.95" customHeight="1">
      <c r="B43" s="110" t="s">
        <v>1017</v>
      </c>
      <c r="C43" t="s">
        <v>1351</v>
      </c>
      <c r="D43" t="s">
        <v>1417</v>
      </c>
      <c r="E43" t="s">
        <v>1418</v>
      </c>
      <c r="F43" t="s">
        <v>1290</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108">
        <v>0.223</v>
      </c>
    </row>
    <row r="44" spans="2:38" ht="14.95" customHeight="1">
      <c r="B44" s="110" t="s">
        <v>1018</v>
      </c>
      <c r="C44" t="s">
        <v>627</v>
      </c>
      <c r="D44" t="s">
        <v>1419</v>
      </c>
      <c r="E44" t="s">
        <v>1420</v>
      </c>
      <c r="F44" t="s">
        <v>1290</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108">
        <v>-1.4E-2</v>
      </c>
    </row>
    <row r="45" spans="2:38" ht="14.95" customHeight="1">
      <c r="B45" s="110" t="s">
        <v>1019</v>
      </c>
      <c r="C45" t="s">
        <v>1347</v>
      </c>
      <c r="D45" t="s">
        <v>1421</v>
      </c>
      <c r="E45" t="s">
        <v>1422</v>
      </c>
      <c r="F45" t="s">
        <v>1290</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108">
        <v>-1.4E-2</v>
      </c>
    </row>
    <row r="46" spans="2:38" ht="14.95" customHeight="1">
      <c r="B46" s="110" t="s">
        <v>1020</v>
      </c>
      <c r="C46" t="s">
        <v>1352</v>
      </c>
      <c r="D46" t="s">
        <v>1423</v>
      </c>
      <c r="E46" t="s">
        <v>1424</v>
      </c>
      <c r="F46" t="s">
        <v>1290</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108">
        <v>-6.0999999999999999E-2</v>
      </c>
    </row>
    <row r="47" spans="2:38" ht="14.95" customHeight="1">
      <c r="B47" s="110" t="s">
        <v>1021</v>
      </c>
      <c r="C47" t="s">
        <v>1350</v>
      </c>
      <c r="D47" t="s">
        <v>1425</v>
      </c>
      <c r="E47" t="s">
        <v>1426</v>
      </c>
      <c r="F47" t="s">
        <v>1290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146</v>
      </c>
    </row>
    <row r="48" spans="2:38" ht="14.95" customHeight="1">
      <c r="B48" s="110" t="s">
        <v>1022</v>
      </c>
      <c r="C48" t="s">
        <v>1351</v>
      </c>
      <c r="D48" t="s">
        <v>1427</v>
      </c>
      <c r="E48" t="s">
        <v>1428</v>
      </c>
      <c r="F48" t="s">
        <v>1290</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108">
        <v>4.8000000000000001E-2</v>
      </c>
    </row>
    <row r="49" spans="2:38" ht="14.95" customHeight="1">
      <c r="B49" s="110" t="s">
        <v>1023</v>
      </c>
      <c r="C49" t="s">
        <v>620</v>
      </c>
      <c r="D49" t="s">
        <v>1429</v>
      </c>
      <c r="E49" t="s">
        <v>1430</v>
      </c>
      <c r="F49" t="s">
        <v>1290</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108">
        <v>2E-3</v>
      </c>
    </row>
    <row r="50" spans="2:38" ht="14.95" customHeight="1">
      <c r="B50" s="110" t="s">
        <v>1024</v>
      </c>
      <c r="C50" t="s">
        <v>1347</v>
      </c>
      <c r="D50" t="s">
        <v>1431</v>
      </c>
      <c r="E50" t="s">
        <v>1432</v>
      </c>
      <c r="F50" t="s">
        <v>1290</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108">
        <v>-0.01</v>
      </c>
    </row>
    <row r="51" spans="2:38" ht="14.95" customHeight="1">
      <c r="B51" s="110" t="s">
        <v>1025</v>
      </c>
      <c r="C51" t="s">
        <v>1352</v>
      </c>
      <c r="D51" t="s">
        <v>1433</v>
      </c>
      <c r="E51" t="s">
        <v>1434</v>
      </c>
      <c r="F51" t="s">
        <v>1290</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108">
        <v>5.0000000000000001E-3</v>
      </c>
    </row>
    <row r="52" spans="2:38" ht="14.95" customHeight="1">
      <c r="B52" s="110" t="s">
        <v>1026</v>
      </c>
      <c r="C52" t="s">
        <v>1350</v>
      </c>
      <c r="D52" t="s">
        <v>1435</v>
      </c>
      <c r="E52" t="s">
        <v>1436</v>
      </c>
      <c r="F52" t="s">
        <v>1290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146</v>
      </c>
    </row>
    <row r="53" spans="2:38" ht="14.95" customHeight="1">
      <c r="B53" s="110" t="s">
        <v>1027</v>
      </c>
      <c r="C53" t="s">
        <v>1351</v>
      </c>
      <c r="D53" t="s">
        <v>1437</v>
      </c>
      <c r="E53" t="s">
        <v>1438</v>
      </c>
      <c r="F53" t="s">
        <v>1290</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108">
        <v>6.0999999999999999E-2</v>
      </c>
    </row>
    <row r="54" spans="2:38" ht="14.95" customHeight="1">
      <c r="B54" s="110" t="s">
        <v>1028</v>
      </c>
      <c r="C54" t="s">
        <v>1029</v>
      </c>
      <c r="D54" t="s">
        <v>1439</v>
      </c>
      <c r="E54" t="s">
        <v>1440</v>
      </c>
      <c r="F54" t="s">
        <v>1290</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108">
        <v>2.5999999999999999E-2</v>
      </c>
    </row>
    <row r="55" spans="2:38" ht="14.95" customHeight="1">
      <c r="B55" s="110" t="s">
        <v>1030</v>
      </c>
      <c r="C55" t="s">
        <v>1353</v>
      </c>
      <c r="D55" t="s">
        <v>1441</v>
      </c>
      <c r="E55" t="s">
        <v>1442</v>
      </c>
      <c r="F55" t="s">
        <v>1290</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108">
        <v>2.7E-2</v>
      </c>
    </row>
    <row r="56" spans="2:38" ht="14.95" customHeight="1">
      <c r="B56" s="110" t="s">
        <v>1031</v>
      </c>
      <c r="C56" t="s">
        <v>1267</v>
      </c>
      <c r="D56" t="s">
        <v>1443</v>
      </c>
      <c r="E56" t="s">
        <v>1444</v>
      </c>
      <c r="F56" t="s">
        <v>1290</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108">
        <v>0</v>
      </c>
    </row>
    <row r="57" spans="2:38" ht="14.95" customHeight="1">
      <c r="B57" s="110" t="s">
        <v>1032</v>
      </c>
      <c r="C57" t="s">
        <v>1033</v>
      </c>
      <c r="D57" t="s">
        <v>1445</v>
      </c>
      <c r="E57" t="s">
        <v>1446</v>
      </c>
      <c r="F57" t="s">
        <v>1290</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108">
        <v>0</v>
      </c>
    </row>
    <row r="58" spans="2:38" ht="14.95" customHeight="1">
      <c r="B58" s="110" t="s">
        <v>1034</v>
      </c>
      <c r="C58" t="s">
        <v>1251</v>
      </c>
      <c r="D58" t="s">
        <v>1447</v>
      </c>
      <c r="E58" t="s">
        <v>1448</v>
      </c>
      <c r="F58" t="s">
        <v>1290</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108">
        <v>0</v>
      </c>
    </row>
    <row r="59" spans="2:38" ht="14.95" customHeight="1">
      <c r="B59" s="110" t="s">
        <v>1035</v>
      </c>
      <c r="C59" t="s">
        <v>1253</v>
      </c>
      <c r="D59" t="s">
        <v>1449</v>
      </c>
      <c r="E59" t="s">
        <v>1450</v>
      </c>
      <c r="F59" t="s">
        <v>1290</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108">
        <v>0</v>
      </c>
    </row>
    <row r="60" spans="2:38" ht="14.95" customHeight="1">
      <c r="B60" s="110" t="s">
        <v>1036</v>
      </c>
      <c r="C60" t="s">
        <v>1255</v>
      </c>
      <c r="D60" t="s">
        <v>1451</v>
      </c>
      <c r="E60" t="s">
        <v>1452</v>
      </c>
      <c r="F60" t="s">
        <v>1290</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108">
        <v>0</v>
      </c>
    </row>
    <row r="61" spans="2:38" ht="14.95" customHeight="1">
      <c r="B61" s="110" t="s">
        <v>1037</v>
      </c>
      <c r="C61" t="s">
        <v>1038</v>
      </c>
      <c r="D61" t="s">
        <v>1453</v>
      </c>
      <c r="E61" t="s">
        <v>1454</v>
      </c>
      <c r="F61" t="s">
        <v>1290</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108">
        <v>1.9E-2</v>
      </c>
    </row>
    <row r="62" spans="2:38" ht="14.95" customHeight="1">
      <c r="B62" s="110" t="s">
        <v>1039</v>
      </c>
      <c r="C62" t="s">
        <v>1354</v>
      </c>
      <c r="D62" t="s">
        <v>1455</v>
      </c>
      <c r="E62" t="s">
        <v>1456</v>
      </c>
      <c r="F62" t="s">
        <v>1290</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108">
        <v>0.01</v>
      </c>
    </row>
    <row r="63" spans="2:38" ht="14.95" customHeight="1">
      <c r="B63" s="110" t="s">
        <v>1040</v>
      </c>
      <c r="C63" t="s">
        <v>1348</v>
      </c>
      <c r="D63" t="s">
        <v>1457</v>
      </c>
      <c r="E63" t="s">
        <v>1458</v>
      </c>
      <c r="F63" t="s">
        <v>1290</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108">
        <v>1.0999999999999999E-2</v>
      </c>
    </row>
    <row r="64" spans="2:38" ht="14.95" customHeight="1">
      <c r="B64" s="110" t="s">
        <v>1041</v>
      </c>
      <c r="C64" t="s">
        <v>1260</v>
      </c>
      <c r="D64" t="s">
        <v>1459</v>
      </c>
      <c r="E64" t="s">
        <v>1460</v>
      </c>
      <c r="F64" t="s">
        <v>1290</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108">
        <v>3.0000000000000001E-3</v>
      </c>
    </row>
    <row r="65" spans="2:38" ht="14.95" customHeight="1">
      <c r="B65" s="110" t="s">
        <v>1042</v>
      </c>
      <c r="C65" t="s">
        <v>1347</v>
      </c>
      <c r="D65" t="s">
        <v>1461</v>
      </c>
      <c r="E65" t="s">
        <v>1462</v>
      </c>
      <c r="F65" t="s">
        <v>1290</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108">
        <v>5.0000000000000001E-3</v>
      </c>
    </row>
    <row r="66" spans="2:38" ht="14.95" customHeight="1">
      <c r="B66" s="110" t="s">
        <v>1043</v>
      </c>
      <c r="C66" t="s">
        <v>1278</v>
      </c>
      <c r="D66" t="s">
        <v>1463</v>
      </c>
      <c r="E66" t="s">
        <v>1464</v>
      </c>
      <c r="F66" t="s">
        <v>1290</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108">
        <v>0.01</v>
      </c>
    </row>
    <row r="67" spans="2:38" ht="14.95" customHeight="1">
      <c r="B67" s="110" t="s">
        <v>1044</v>
      </c>
      <c r="C67" t="s">
        <v>1269</v>
      </c>
      <c r="D67" t="s">
        <v>1465</v>
      </c>
      <c r="E67" t="s">
        <v>1466</v>
      </c>
      <c r="F67" t="s">
        <v>1290</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108">
        <v>1.6E-2</v>
      </c>
    </row>
    <row r="68" spans="2:38" ht="14.95" customHeight="1">
      <c r="B68" s="110" t="s">
        <v>1045</v>
      </c>
      <c r="C68" t="s">
        <v>1276</v>
      </c>
      <c r="D68" t="s">
        <v>1467</v>
      </c>
      <c r="E68" t="s">
        <v>1468</v>
      </c>
      <c r="F68" t="s">
        <v>1290</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108">
        <v>0.106</v>
      </c>
    </row>
    <row r="69" spans="2:38" ht="14.95" customHeight="1">
      <c r="B69" s="110" t="s">
        <v>1046</v>
      </c>
      <c r="C69" t="s">
        <v>1280</v>
      </c>
      <c r="D69" t="s">
        <v>1469</v>
      </c>
      <c r="E69" t="s">
        <v>1470</v>
      </c>
      <c r="F69" t="s">
        <v>1290</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108">
        <v>1.2E-2</v>
      </c>
    </row>
    <row r="70" spans="2:38" ht="14.95" customHeight="1">
      <c r="B70" s="110" t="s">
        <v>1047</v>
      </c>
      <c r="C70" t="s">
        <v>1355</v>
      </c>
      <c r="D70" t="s">
        <v>1471</v>
      </c>
      <c r="E70" t="s">
        <v>1472</v>
      </c>
      <c r="F70" t="s">
        <v>1290</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108">
        <v>2.1999999999999999E-2</v>
      </c>
    </row>
    <row r="71" spans="2:38" ht="14.95" customHeight="1">
      <c r="B71" s="110" t="s">
        <v>1048</v>
      </c>
      <c r="C71" t="s">
        <v>1348</v>
      </c>
      <c r="D71" t="s">
        <v>1473</v>
      </c>
      <c r="E71" t="s">
        <v>1474</v>
      </c>
      <c r="F71" t="s">
        <v>1290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146</v>
      </c>
    </row>
    <row r="72" spans="2:38" ht="14.95" customHeight="1">
      <c r="B72" s="110" t="s">
        <v>1049</v>
      </c>
      <c r="C72" t="s">
        <v>1260</v>
      </c>
      <c r="D72" t="s">
        <v>1475</v>
      </c>
      <c r="E72" t="s">
        <v>1476</v>
      </c>
      <c r="F72" t="s">
        <v>1290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146</v>
      </c>
    </row>
    <row r="73" spans="2:38" ht="14.95" customHeight="1">
      <c r="B73" s="110" t="s">
        <v>1050</v>
      </c>
      <c r="C73" t="s">
        <v>1347</v>
      </c>
      <c r="D73" t="s">
        <v>1477</v>
      </c>
      <c r="E73" t="s">
        <v>1478</v>
      </c>
      <c r="F73" t="s">
        <v>1290</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108">
        <v>2.1999999999999999E-2</v>
      </c>
    </row>
    <row r="74" spans="2:38" ht="14.95" customHeight="1">
      <c r="B74" s="110" t="s">
        <v>1051</v>
      </c>
      <c r="C74" t="s">
        <v>1278</v>
      </c>
      <c r="D74" t="s">
        <v>1479</v>
      </c>
      <c r="E74" t="s">
        <v>1480</v>
      </c>
      <c r="F74" t="s">
        <v>1290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146</v>
      </c>
    </row>
    <row r="75" spans="2:38" ht="14.95" customHeight="1">
      <c r="B75" s="110" t="s">
        <v>1052</v>
      </c>
      <c r="C75" t="s">
        <v>1269</v>
      </c>
      <c r="D75" t="s">
        <v>1481</v>
      </c>
      <c r="E75" t="s">
        <v>1482</v>
      </c>
      <c r="F75" t="s">
        <v>1290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146</v>
      </c>
    </row>
    <row r="76" spans="2:38" ht="14.95" customHeight="1">
      <c r="B76" s="110" t="s">
        <v>1053</v>
      </c>
      <c r="C76" t="s">
        <v>1276</v>
      </c>
      <c r="D76" t="s">
        <v>1483</v>
      </c>
      <c r="E76" t="s">
        <v>1484</v>
      </c>
      <c r="F76" t="s">
        <v>1290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146</v>
      </c>
    </row>
    <row r="77" spans="2:38" ht="14.95" customHeight="1">
      <c r="B77" s="110" t="s">
        <v>1054</v>
      </c>
      <c r="C77" t="s">
        <v>1280</v>
      </c>
      <c r="D77" t="s">
        <v>1485</v>
      </c>
      <c r="E77" t="s">
        <v>1486</v>
      </c>
      <c r="F77" t="s">
        <v>1290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146</v>
      </c>
    </row>
    <row r="78" spans="2:38" ht="14.95" customHeight="1">
      <c r="B78" s="110" t="s">
        <v>1055</v>
      </c>
      <c r="C78" t="s">
        <v>1356</v>
      </c>
      <c r="D78" t="s">
        <v>1487</v>
      </c>
      <c r="E78" t="s">
        <v>1488</v>
      </c>
      <c r="F78" t="s">
        <v>1290</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108">
        <v>3.3000000000000002E-2</v>
      </c>
    </row>
    <row r="79" spans="2:38" ht="14.95" customHeight="1">
      <c r="B79" s="110" t="s">
        <v>1056</v>
      </c>
      <c r="C79" t="s">
        <v>1348</v>
      </c>
      <c r="D79" t="s">
        <v>1489</v>
      </c>
      <c r="E79" t="s">
        <v>1490</v>
      </c>
      <c r="F79" t="s">
        <v>1290</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108">
        <v>3.3000000000000002E-2</v>
      </c>
    </row>
    <row r="80" spans="2:38" ht="14.95" customHeight="1">
      <c r="B80" s="110" t="s">
        <v>1057</v>
      </c>
      <c r="C80" t="s">
        <v>1260</v>
      </c>
      <c r="D80" t="s">
        <v>1491</v>
      </c>
      <c r="E80" t="s">
        <v>1492</v>
      </c>
      <c r="F80" t="s">
        <v>1290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2:38" ht="14.95" customHeight="1">
      <c r="B81" s="110" t="s">
        <v>1058</v>
      </c>
      <c r="C81" t="s">
        <v>1347</v>
      </c>
      <c r="D81" t="s">
        <v>1493</v>
      </c>
      <c r="E81" t="s">
        <v>1494</v>
      </c>
      <c r="F81" t="s">
        <v>1290</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108">
        <v>3.3000000000000002E-2</v>
      </c>
    </row>
    <row r="82" spans="2:38" ht="14.95" customHeight="1">
      <c r="B82" s="110" t="s">
        <v>1059</v>
      </c>
      <c r="C82" t="s">
        <v>1278</v>
      </c>
      <c r="D82" t="s">
        <v>1495</v>
      </c>
      <c r="E82" t="s">
        <v>1496</v>
      </c>
      <c r="F82" t="s">
        <v>1290</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108">
        <v>0.05</v>
      </c>
    </row>
    <row r="83" spans="2:38" ht="14.95" customHeight="1">
      <c r="B83" s="110" t="s">
        <v>1060</v>
      </c>
      <c r="C83" t="s">
        <v>1269</v>
      </c>
      <c r="D83" t="s">
        <v>1497</v>
      </c>
      <c r="E83" t="s">
        <v>1498</v>
      </c>
      <c r="F83" t="s">
        <v>1290</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108">
        <v>3.3000000000000002E-2</v>
      </c>
    </row>
    <row r="84" spans="2:38" ht="14.95" customHeight="1">
      <c r="B84" s="110" t="s">
        <v>1061</v>
      </c>
      <c r="C84" t="s">
        <v>1276</v>
      </c>
      <c r="D84" t="s">
        <v>1499</v>
      </c>
      <c r="E84" t="s">
        <v>1500</v>
      </c>
      <c r="F84" t="s">
        <v>1290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146</v>
      </c>
    </row>
    <row r="85" spans="2:38" ht="14.95" customHeight="1">
      <c r="B85" s="110" t="s">
        <v>1062</v>
      </c>
      <c r="C85" t="s">
        <v>1280</v>
      </c>
      <c r="D85" t="s">
        <v>1501</v>
      </c>
      <c r="E85" t="s">
        <v>1502</v>
      </c>
      <c r="F85" t="s">
        <v>1290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146</v>
      </c>
    </row>
    <row r="86" spans="2:38" ht="14.95" customHeight="1">
      <c r="B86" s="110" t="s">
        <v>1063</v>
      </c>
      <c r="C86" t="s">
        <v>1064</v>
      </c>
      <c r="D86" t="s">
        <v>1503</v>
      </c>
      <c r="E86" t="s">
        <v>1504</v>
      </c>
      <c r="F86" t="s">
        <v>1290</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108">
        <v>2.7E-2</v>
      </c>
    </row>
    <row r="87" spans="2:38" ht="14.95" customHeight="1">
      <c r="B87" s="110" t="s">
        <v>1065</v>
      </c>
      <c r="C87" t="s">
        <v>1357</v>
      </c>
      <c r="D87" t="s">
        <v>1505</v>
      </c>
      <c r="E87" t="s">
        <v>1506</v>
      </c>
      <c r="F87" t="s">
        <v>1290</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108">
        <v>0.03</v>
      </c>
    </row>
    <row r="88" spans="2:38" ht="14.95" customHeight="1">
      <c r="B88" s="110" t="s">
        <v>1066</v>
      </c>
      <c r="C88" t="s">
        <v>1276</v>
      </c>
      <c r="D88" t="s">
        <v>1507</v>
      </c>
      <c r="E88" t="s">
        <v>1508</v>
      </c>
      <c r="F88" t="s">
        <v>1290</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108">
        <v>0.03</v>
      </c>
    </row>
    <row r="89" spans="2:38" ht="14.95" customHeight="1">
      <c r="B89" s="110" t="s">
        <v>1067</v>
      </c>
      <c r="C89" t="s">
        <v>1262</v>
      </c>
      <c r="D89" t="s">
        <v>1509</v>
      </c>
      <c r="E89" t="s">
        <v>1510</v>
      </c>
      <c r="F89" t="s">
        <v>1290</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108">
        <v>0.03</v>
      </c>
    </row>
    <row r="90" spans="2:38" ht="14.95" customHeight="1">
      <c r="B90" s="110" t="s">
        <v>1068</v>
      </c>
      <c r="C90" t="s">
        <v>1350</v>
      </c>
      <c r="D90" t="s">
        <v>1511</v>
      </c>
      <c r="E90" t="s">
        <v>1512</v>
      </c>
      <c r="F90" t="s">
        <v>1290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146</v>
      </c>
    </row>
    <row r="91" spans="2:38" ht="14.95" customHeight="1">
      <c r="B91" s="110" t="s">
        <v>1069</v>
      </c>
      <c r="C91" t="s">
        <v>1351</v>
      </c>
      <c r="D91" t="s">
        <v>1513</v>
      </c>
      <c r="E91" t="s">
        <v>1514</v>
      </c>
      <c r="F91" t="s">
        <v>1290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146</v>
      </c>
    </row>
    <row r="92" spans="2:38" ht="14.95" customHeight="1">
      <c r="B92" s="110" t="s">
        <v>1070</v>
      </c>
      <c r="C92" t="s">
        <v>1358</v>
      </c>
      <c r="D92" t="s">
        <v>1515</v>
      </c>
      <c r="E92" t="s">
        <v>1516</v>
      </c>
      <c r="F92" t="s">
        <v>1290</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108">
        <v>2.5999999999999999E-2</v>
      </c>
    </row>
    <row r="93" spans="2:38" ht="14.95" customHeight="1">
      <c r="B93" s="110" t="s">
        <v>1071</v>
      </c>
      <c r="C93" t="s">
        <v>1276</v>
      </c>
      <c r="D93" t="s">
        <v>1517</v>
      </c>
      <c r="E93" t="s">
        <v>1518</v>
      </c>
      <c r="F93" t="s">
        <v>1290</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108">
        <v>2.5999999999999999E-2</v>
      </c>
    </row>
    <row r="94" spans="2:38" ht="14.95" customHeight="1">
      <c r="B94" s="110" t="s">
        <v>1072</v>
      </c>
      <c r="C94" t="s">
        <v>1359</v>
      </c>
      <c r="D94" t="s">
        <v>1519</v>
      </c>
      <c r="E94" t="s">
        <v>1520</v>
      </c>
      <c r="F94" t="s">
        <v>1290</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108">
        <v>2.5000000000000001E-2</v>
      </c>
    </row>
    <row r="95" spans="2:38" ht="14.95" customHeight="1">
      <c r="B95" s="110" t="s">
        <v>1073</v>
      </c>
      <c r="C95" t="s">
        <v>1276</v>
      </c>
      <c r="D95" t="s">
        <v>1521</v>
      </c>
      <c r="E95" t="s">
        <v>1522</v>
      </c>
      <c r="F95" t="s">
        <v>1290</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108">
        <v>2.5000000000000001E-2</v>
      </c>
    </row>
    <row r="96" spans="2:38" ht="14.95" customHeight="1">
      <c r="B96" s="110" t="s">
        <v>1074</v>
      </c>
      <c r="C96" t="s">
        <v>1262</v>
      </c>
      <c r="D96" t="s">
        <v>1523</v>
      </c>
      <c r="E96" t="s">
        <v>1524</v>
      </c>
      <c r="F96" t="s">
        <v>1290</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108">
        <v>2.5999999999999999E-2</v>
      </c>
    </row>
    <row r="97" spans="2:38" ht="14.95" customHeight="1">
      <c r="B97" s="110" t="s">
        <v>1075</v>
      </c>
      <c r="C97" t="s">
        <v>1350</v>
      </c>
      <c r="D97" t="s">
        <v>1525</v>
      </c>
      <c r="E97" t="s">
        <v>1526</v>
      </c>
      <c r="F97" t="s">
        <v>1290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146</v>
      </c>
    </row>
    <row r="98" spans="2:38" ht="14.95" customHeight="1">
      <c r="B98" s="110" t="s">
        <v>1076</v>
      </c>
      <c r="C98" t="s">
        <v>1351</v>
      </c>
      <c r="D98" t="s">
        <v>1527</v>
      </c>
      <c r="E98" t="s">
        <v>1528</v>
      </c>
      <c r="F98" t="s">
        <v>1290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146</v>
      </c>
    </row>
    <row r="99" spans="2:38" ht="14.95" customHeight="1">
      <c r="B99" s="110" t="s">
        <v>1077</v>
      </c>
      <c r="C99" t="s">
        <v>1078</v>
      </c>
      <c r="D99" t="s">
        <v>1529</v>
      </c>
      <c r="E99" t="s">
        <v>1530</v>
      </c>
      <c r="F99" t="s">
        <v>1290</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108">
        <v>-3.0000000000000001E-3</v>
      </c>
    </row>
    <row r="100" spans="2:38" ht="14.95" customHeight="1">
      <c r="B100" s="110" t="s">
        <v>1079</v>
      </c>
      <c r="C100" t="s">
        <v>1360</v>
      </c>
      <c r="D100" t="s">
        <v>1531</v>
      </c>
      <c r="E100" t="s">
        <v>1532</v>
      </c>
      <c r="F100" t="s">
        <v>1290</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108">
        <v>-5.0000000000000001E-3</v>
      </c>
    </row>
    <row r="101" spans="2:38" ht="14.95" customHeight="1">
      <c r="B101" s="110" t="s">
        <v>1080</v>
      </c>
      <c r="C101" t="s">
        <v>1347</v>
      </c>
      <c r="D101" t="s">
        <v>1533</v>
      </c>
      <c r="E101" t="s">
        <v>1534</v>
      </c>
      <c r="F101" t="s">
        <v>1290</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108">
        <v>3.0000000000000001E-3</v>
      </c>
    </row>
    <row r="102" spans="2:38" ht="14.95" customHeight="1">
      <c r="B102" s="110" t="s">
        <v>1081</v>
      </c>
      <c r="C102" t="s">
        <v>1082</v>
      </c>
      <c r="D102" t="s">
        <v>1535</v>
      </c>
      <c r="E102" t="s">
        <v>1536</v>
      </c>
      <c r="F102" t="s">
        <v>1290</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108">
        <v>1E-3</v>
      </c>
    </row>
    <row r="103" spans="2:38" ht="14.95" customHeight="1">
      <c r="B103" s="110" t="s">
        <v>1083</v>
      </c>
      <c r="C103" t="s">
        <v>1084</v>
      </c>
      <c r="D103" t="s">
        <v>1282</v>
      </c>
      <c r="E103" t="s">
        <v>1537</v>
      </c>
      <c r="F103" t="s">
        <v>1290</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108">
        <v>4.0000000000000001E-3</v>
      </c>
    </row>
    <row r="104" spans="2:38" ht="14.95" customHeight="1">
      <c r="B104" s="110" t="s">
        <v>1085</v>
      </c>
      <c r="C104" t="s">
        <v>594</v>
      </c>
      <c r="D104" t="s">
        <v>1538</v>
      </c>
      <c r="E104" t="s">
        <v>1539</v>
      </c>
      <c r="F104" t="s">
        <v>1290</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108">
        <v>5.0000000000000001E-3</v>
      </c>
    </row>
    <row r="105" spans="2:38" ht="14.95" customHeight="1"/>
    <row r="106" spans="2:38" ht="14.95" customHeight="1"/>
    <row r="107" spans="2:38" ht="14.95" customHeight="1"/>
    <row r="108" spans="2:38" ht="14.95" customHeight="1"/>
    <row r="109" spans="2:38" ht="14.95" customHeight="1"/>
    <row r="110" spans="2:38" ht="14.95" customHeight="1"/>
    <row r="111" spans="2:38" ht="14.95" customHeight="1"/>
    <row r="112" spans="2:38" ht="14.95" customHeight="1"/>
    <row r="113" ht="14.95" customHeight="1"/>
    <row r="114" ht="14.95" customHeight="1"/>
  </sheetData>
  <phoneticPr fontId="5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104"/>
  <sheetViews>
    <sheetView topLeftCell="A43" workbookViewId="0">
      <selection activeCell="A22" sqref="A1:B1048576"/>
    </sheetView>
  </sheetViews>
  <sheetFormatPr defaultRowHeight="12.9"/>
  <cols>
    <col min="1" max="1" width="19.5" customWidth="1"/>
    <col min="2" max="2" width="19.375" style="40" customWidth="1"/>
    <col min="3" max="3" width="25" customWidth="1"/>
  </cols>
  <sheetData>
    <row r="1" spans="1:38" s="53" customFormat="1" ht="14.95" customHeight="1">
      <c r="A1"/>
      <c r="B1" s="40" t="s">
        <v>1343</v>
      </c>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2" spans="1:38" ht="14.95" customHeight="1"/>
    <row r="3" spans="1:38" ht="14.95" customHeight="1"/>
    <row r="4" spans="1:38" ht="14.95" customHeight="1"/>
    <row r="5" spans="1:38" ht="14.95" customHeight="1"/>
    <row r="6" spans="1:38" ht="14.95" customHeight="1"/>
    <row r="7" spans="1:38" ht="14.95" customHeight="1"/>
    <row r="8" spans="1:38" ht="14.95" customHeight="1"/>
    <row r="9" spans="1:38" ht="14.95" customHeight="1"/>
    <row r="10" spans="1:38" ht="14.95" customHeight="1">
      <c r="B10" s="110" t="s">
        <v>911</v>
      </c>
      <c r="C10" t="s">
        <v>1540</v>
      </c>
    </row>
    <row r="11" spans="1:38" ht="14.95" customHeight="1">
      <c r="C11" t="s">
        <v>1541</v>
      </c>
    </row>
    <row r="12" spans="1:38" ht="14.95" customHeight="1">
      <c r="C12" t="s">
        <v>1542</v>
      </c>
    </row>
    <row r="13" spans="1:38" ht="14.95" customHeight="1">
      <c r="C13" t="s">
        <v>1194</v>
      </c>
    </row>
    <row r="14" spans="1:38" ht="14.95" customHeight="1">
      <c r="D14" t="s">
        <v>1195</v>
      </c>
      <c r="E14" t="s">
        <v>1284</v>
      </c>
      <c r="F14" t="s">
        <v>1285</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1286</v>
      </c>
    </row>
    <row r="15" spans="1:38" ht="14.95" customHeight="1">
      <c r="B15" s="110"/>
      <c r="C15" t="s">
        <v>1543</v>
      </c>
      <c r="E15" t="s">
        <v>1580</v>
      </c>
    </row>
    <row r="16" spans="1:38" ht="14.95" customHeight="1">
      <c r="B16" s="110"/>
      <c r="C16" t="s">
        <v>1544</v>
      </c>
      <c r="E16" t="s">
        <v>1581</v>
      </c>
    </row>
    <row r="17" spans="1:38" s="36" customFormat="1" ht="14.95" customHeight="1">
      <c r="A17" s="114" t="s">
        <v>114</v>
      </c>
      <c r="B17" s="110" t="s">
        <v>912</v>
      </c>
      <c r="C17" t="s">
        <v>1545</v>
      </c>
      <c r="D17" t="s">
        <v>1582</v>
      </c>
      <c r="E17" t="s">
        <v>1583</v>
      </c>
      <c r="F17" t="s">
        <v>1584</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108">
        <v>-1E-3</v>
      </c>
    </row>
    <row r="18" spans="1:38" ht="14.95" customHeight="1">
      <c r="A18" s="114" t="s">
        <v>115</v>
      </c>
      <c r="B18" s="110" t="s">
        <v>913</v>
      </c>
      <c r="C18" t="s">
        <v>1546</v>
      </c>
      <c r="D18" t="s">
        <v>1585</v>
      </c>
      <c r="E18" t="s">
        <v>1586</v>
      </c>
      <c r="F18" t="s">
        <v>1584</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108">
        <v>-8.9999999999999993E-3</v>
      </c>
    </row>
    <row r="19" spans="1:38" ht="14.95" customHeight="1">
      <c r="A19" s="114"/>
      <c r="B19" s="110" t="s">
        <v>914</v>
      </c>
      <c r="C19" t="s">
        <v>1547</v>
      </c>
      <c r="D19" t="s">
        <v>1587</v>
      </c>
      <c r="E19" t="s">
        <v>1588</v>
      </c>
      <c r="F19" t="s">
        <v>1584</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108">
        <v>-1E-3</v>
      </c>
    </row>
    <row r="20" spans="1:38" ht="14.95" customHeight="1">
      <c r="A20" s="114"/>
      <c r="B20" s="110"/>
      <c r="C20" t="s">
        <v>1548</v>
      </c>
      <c r="E20" t="s">
        <v>1589</v>
      </c>
    </row>
    <row r="21" spans="1:38" ht="14.95" customHeight="1">
      <c r="A21" s="114" t="s">
        <v>114</v>
      </c>
      <c r="B21" s="110" t="s">
        <v>915</v>
      </c>
      <c r="C21" t="s">
        <v>1549</v>
      </c>
      <c r="D21" t="s">
        <v>1590</v>
      </c>
      <c r="E21" t="s">
        <v>1591</v>
      </c>
      <c r="F21" t="s">
        <v>1584</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108">
        <v>2E-3</v>
      </c>
    </row>
    <row r="22" spans="1:38" ht="14.95" customHeight="1">
      <c r="A22" s="114" t="s">
        <v>112</v>
      </c>
      <c r="B22" s="110" t="s">
        <v>916</v>
      </c>
      <c r="C22" t="s">
        <v>1550</v>
      </c>
      <c r="D22" t="s">
        <v>1592</v>
      </c>
      <c r="E22" t="s">
        <v>1593</v>
      </c>
      <c r="F22" t="s">
        <v>1584</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108">
        <v>0.02</v>
      </c>
    </row>
    <row r="23" spans="1:38" ht="14.95" customHeight="1">
      <c r="A23" s="114" t="s">
        <v>112</v>
      </c>
      <c r="B23" s="110" t="s">
        <v>917</v>
      </c>
      <c r="C23" t="s">
        <v>1551</v>
      </c>
      <c r="D23" t="s">
        <v>1594</v>
      </c>
      <c r="E23" t="s">
        <v>1595</v>
      </c>
      <c r="F23" t="s">
        <v>1584</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108">
        <v>4.9000000000000002E-2</v>
      </c>
    </row>
    <row r="24" spans="1:38" ht="14.95" customHeight="1">
      <c r="A24" s="114" t="s">
        <v>112</v>
      </c>
      <c r="B24" s="110" t="s">
        <v>918</v>
      </c>
      <c r="C24" t="s">
        <v>1552</v>
      </c>
      <c r="D24" t="s">
        <v>1596</v>
      </c>
      <c r="E24" t="s">
        <v>1597</v>
      </c>
      <c r="F24" t="s">
        <v>1584</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108">
        <v>7.5999999999999998E-2</v>
      </c>
    </row>
    <row r="25" spans="1:38" ht="14.95" customHeight="1">
      <c r="A25" s="114" t="s">
        <v>116</v>
      </c>
      <c r="B25" s="110" t="s">
        <v>919</v>
      </c>
      <c r="C25" t="s">
        <v>1553</v>
      </c>
      <c r="D25" t="s">
        <v>1598</v>
      </c>
      <c r="E25" t="s">
        <v>1599</v>
      </c>
      <c r="F25" t="s">
        <v>1584</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108">
        <v>3.4000000000000002E-2</v>
      </c>
    </row>
    <row r="26" spans="1:38" ht="14.95" customHeight="1">
      <c r="A26" s="114" t="s">
        <v>116</v>
      </c>
      <c r="B26" s="110" t="s">
        <v>920</v>
      </c>
      <c r="C26" t="s">
        <v>1554</v>
      </c>
      <c r="D26" t="s">
        <v>1600</v>
      </c>
      <c r="E26" t="s">
        <v>1601</v>
      </c>
      <c r="F26" t="s">
        <v>1584</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108">
        <v>1.0999999999999999E-2</v>
      </c>
    </row>
    <row r="27" spans="1:38" ht="14.95" customHeight="1">
      <c r="A27" s="114" t="s">
        <v>115</v>
      </c>
      <c r="B27" s="110" t="s">
        <v>921</v>
      </c>
      <c r="C27" t="s">
        <v>1555</v>
      </c>
      <c r="D27" t="s">
        <v>1602</v>
      </c>
      <c r="E27" t="s">
        <v>1603</v>
      </c>
      <c r="F27" t="s">
        <v>1584</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146</v>
      </c>
    </row>
    <row r="28" spans="1:38" ht="14.95" customHeight="1">
      <c r="A28" s="114" t="s">
        <v>114</v>
      </c>
      <c r="B28" s="110" t="s">
        <v>922</v>
      </c>
      <c r="C28" t="s">
        <v>1556</v>
      </c>
      <c r="D28" t="s">
        <v>1604</v>
      </c>
      <c r="E28" t="s">
        <v>1605</v>
      </c>
      <c r="F28" t="s">
        <v>1584</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108">
        <v>4.9000000000000002E-2</v>
      </c>
    </row>
    <row r="29" spans="1:38" ht="14.95" customHeight="1">
      <c r="A29" s="114" t="s">
        <v>113</v>
      </c>
      <c r="B29" s="110" t="s">
        <v>923</v>
      </c>
      <c r="C29" t="s">
        <v>1557</v>
      </c>
      <c r="D29" t="s">
        <v>1606</v>
      </c>
      <c r="E29" t="s">
        <v>1607</v>
      </c>
      <c r="F29" t="s">
        <v>1584</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108">
        <v>1.2E-2</v>
      </c>
    </row>
    <row r="30" spans="1:38" ht="14.95" customHeight="1">
      <c r="A30" s="114" t="s">
        <v>113</v>
      </c>
      <c r="B30" s="110" t="s">
        <v>924</v>
      </c>
      <c r="C30" t="s">
        <v>1558</v>
      </c>
      <c r="D30" t="s">
        <v>1608</v>
      </c>
      <c r="E30" t="s">
        <v>1609</v>
      </c>
      <c r="F30" t="s">
        <v>1584</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108">
        <v>5.0000000000000001E-3</v>
      </c>
    </row>
    <row r="31" spans="1:38" ht="14.95" customHeight="1">
      <c r="A31" s="114" t="s">
        <v>853</v>
      </c>
      <c r="B31" s="110" t="s">
        <v>925</v>
      </c>
      <c r="C31" t="s">
        <v>1559</v>
      </c>
      <c r="D31" t="s">
        <v>1610</v>
      </c>
      <c r="E31" t="s">
        <v>1611</v>
      </c>
      <c r="F31" t="s">
        <v>1584</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108">
        <v>8.0000000000000002E-3</v>
      </c>
    </row>
    <row r="32" spans="1:38" ht="14.95" customHeight="1">
      <c r="A32" s="114" t="s">
        <v>853</v>
      </c>
      <c r="B32" s="110" t="s">
        <v>926</v>
      </c>
      <c r="C32" t="s">
        <v>1560</v>
      </c>
      <c r="D32" t="s">
        <v>1610</v>
      </c>
      <c r="E32" t="s">
        <v>1612</v>
      </c>
      <c r="F32" t="s">
        <v>1584</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108">
        <v>5.0000000000000001E-3</v>
      </c>
    </row>
    <row r="33" spans="1:38" ht="14.95" customHeight="1">
      <c r="A33" s="114" t="s">
        <v>854</v>
      </c>
      <c r="B33" s="110" t="s">
        <v>927</v>
      </c>
      <c r="C33" t="s">
        <v>1561</v>
      </c>
      <c r="D33" t="s">
        <v>1613</v>
      </c>
      <c r="E33" t="s">
        <v>1614</v>
      </c>
      <c r="F33" t="s">
        <v>1584</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146</v>
      </c>
    </row>
    <row r="34" spans="1:38" ht="14.95" customHeight="1">
      <c r="A34" s="114" t="s">
        <v>854</v>
      </c>
      <c r="B34" s="110" t="s">
        <v>928</v>
      </c>
      <c r="C34" t="s">
        <v>1562</v>
      </c>
      <c r="D34" t="s">
        <v>1615</v>
      </c>
      <c r="E34" t="s">
        <v>1616</v>
      </c>
      <c r="F34" t="s">
        <v>1584</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108">
        <v>6.8000000000000005E-2</v>
      </c>
    </row>
    <row r="35" spans="1:38" ht="14.95" customHeight="1">
      <c r="A35" s="114"/>
      <c r="B35" s="110" t="s">
        <v>929</v>
      </c>
      <c r="C35" t="s">
        <v>1563</v>
      </c>
      <c r="D35" t="s">
        <v>1617</v>
      </c>
      <c r="E35" t="s">
        <v>1618</v>
      </c>
      <c r="F35" t="s">
        <v>1584</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108">
        <v>4.9000000000000002E-2</v>
      </c>
    </row>
    <row r="36" spans="1:38" ht="14.95" customHeight="1">
      <c r="A36" s="114"/>
      <c r="B36" s="110" t="s">
        <v>930</v>
      </c>
      <c r="C36" t="s">
        <v>931</v>
      </c>
      <c r="D36" t="s">
        <v>1619</v>
      </c>
      <c r="E36" t="s">
        <v>1620</v>
      </c>
      <c r="F36" t="s">
        <v>1621</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108">
        <v>4.2999999999999997E-2</v>
      </c>
    </row>
    <row r="37" spans="1:38" ht="14.95" customHeight="1">
      <c r="A37" s="114"/>
      <c r="B37" s="110" t="s">
        <v>932</v>
      </c>
      <c r="C37" t="s">
        <v>933</v>
      </c>
      <c r="D37" t="s">
        <v>1622</v>
      </c>
      <c r="E37" t="s">
        <v>1623</v>
      </c>
      <c r="F37" t="s">
        <v>1584</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108">
        <v>6.0000000000000001E-3</v>
      </c>
    </row>
    <row r="38" spans="1:38" ht="14.95" customHeight="1">
      <c r="A38" s="114"/>
      <c r="B38" s="110"/>
      <c r="C38" t="s">
        <v>1564</v>
      </c>
      <c r="E38" t="s">
        <v>1624</v>
      </c>
    </row>
    <row r="39" spans="1:38" ht="14.95" customHeight="1">
      <c r="A39" s="114"/>
      <c r="B39" s="110"/>
      <c r="C39" t="s">
        <v>1565</v>
      </c>
      <c r="E39" t="s">
        <v>1625</v>
      </c>
    </row>
    <row r="40" spans="1:38" s="36" customFormat="1" ht="14.95" customHeight="1">
      <c r="A40" s="114" t="s">
        <v>114</v>
      </c>
      <c r="B40" s="110" t="s">
        <v>934</v>
      </c>
      <c r="C40" t="s">
        <v>1545</v>
      </c>
      <c r="D40" t="s">
        <v>1626</v>
      </c>
      <c r="E40" t="s">
        <v>1627</v>
      </c>
      <c r="F40" t="s">
        <v>1584</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108">
        <v>3.0000000000000001E-3</v>
      </c>
    </row>
    <row r="41" spans="1:38" ht="14.95" customHeight="1">
      <c r="A41" s="114" t="s">
        <v>115</v>
      </c>
      <c r="B41" s="110" t="s">
        <v>935</v>
      </c>
      <c r="C41" t="s">
        <v>1546</v>
      </c>
      <c r="D41" t="s">
        <v>1628</v>
      </c>
      <c r="E41" t="s">
        <v>1629</v>
      </c>
      <c r="F41" t="s">
        <v>1584</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108">
        <v>3.1E-2</v>
      </c>
    </row>
    <row r="42" spans="1:38" ht="14.95" customHeight="1">
      <c r="A42" s="114"/>
      <c r="B42" s="110" t="s">
        <v>936</v>
      </c>
      <c r="C42" t="s">
        <v>1566</v>
      </c>
      <c r="D42" t="s">
        <v>1630</v>
      </c>
      <c r="E42" t="s">
        <v>1631</v>
      </c>
      <c r="F42" t="s">
        <v>1584</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108">
        <v>3.0000000000000001E-3</v>
      </c>
    </row>
    <row r="43" spans="1:38" ht="14.95" customHeight="1">
      <c r="A43" s="114"/>
      <c r="B43" s="110"/>
      <c r="C43" t="s">
        <v>1567</v>
      </c>
      <c r="E43" t="s">
        <v>1632</v>
      </c>
    </row>
    <row r="44" spans="1:38" ht="14.95" customHeight="1">
      <c r="A44" s="114" t="s">
        <v>114</v>
      </c>
      <c r="B44" s="110" t="s">
        <v>937</v>
      </c>
      <c r="C44" t="s">
        <v>1549</v>
      </c>
      <c r="D44" t="s">
        <v>1633</v>
      </c>
      <c r="E44" t="s">
        <v>1634</v>
      </c>
      <c r="F44" t="s">
        <v>1584</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108">
        <v>1E-3</v>
      </c>
    </row>
    <row r="45" spans="1:38" ht="14.95" customHeight="1">
      <c r="A45" s="114" t="s">
        <v>112</v>
      </c>
      <c r="B45" s="110" t="s">
        <v>938</v>
      </c>
      <c r="C45" t="s">
        <v>1550</v>
      </c>
      <c r="D45" t="s">
        <v>1635</v>
      </c>
      <c r="E45" t="s">
        <v>1636</v>
      </c>
      <c r="F45" t="s">
        <v>1584</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ht="14.95" customHeight="1">
      <c r="A46" s="114" t="s">
        <v>112</v>
      </c>
      <c r="B46" s="110" t="s">
        <v>939</v>
      </c>
      <c r="C46" t="s">
        <v>1551</v>
      </c>
      <c r="D46" t="s">
        <v>1637</v>
      </c>
      <c r="E46" t="s">
        <v>1638</v>
      </c>
      <c r="F46" t="s">
        <v>1584</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108">
        <v>8.8999999999999996E-2</v>
      </c>
    </row>
    <row r="47" spans="1:38" ht="14.95" customHeight="1">
      <c r="A47" s="114" t="s">
        <v>112</v>
      </c>
      <c r="B47" s="110" t="s">
        <v>940</v>
      </c>
      <c r="C47" t="s">
        <v>1552</v>
      </c>
      <c r="D47" t="s">
        <v>1639</v>
      </c>
      <c r="E47" t="s">
        <v>1640</v>
      </c>
      <c r="F47" t="s">
        <v>1584</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108">
        <v>9.7000000000000003E-2</v>
      </c>
    </row>
    <row r="48" spans="1:38" ht="14.95" customHeight="1">
      <c r="A48" s="114" t="s">
        <v>116</v>
      </c>
      <c r="B48" s="110" t="s">
        <v>941</v>
      </c>
      <c r="C48" t="s">
        <v>1553</v>
      </c>
      <c r="D48" t="s">
        <v>1641</v>
      </c>
      <c r="E48" t="s">
        <v>1642</v>
      </c>
      <c r="F48" t="s">
        <v>1584</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108">
        <v>9.2999999999999999E-2</v>
      </c>
    </row>
    <row r="49" spans="1:38" ht="14.95" customHeight="1">
      <c r="A49" s="114" t="s">
        <v>116</v>
      </c>
      <c r="B49" s="110" t="s">
        <v>942</v>
      </c>
      <c r="C49" t="s">
        <v>1554</v>
      </c>
      <c r="D49" t="s">
        <v>1643</v>
      </c>
      <c r="E49" t="s">
        <v>1644</v>
      </c>
      <c r="F49" t="s">
        <v>1584</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108">
        <v>7.0000000000000007E-2</v>
      </c>
    </row>
    <row r="50" spans="1:38" ht="14.95" customHeight="1">
      <c r="A50" s="114" t="s">
        <v>115</v>
      </c>
      <c r="B50" s="110" t="s">
        <v>943</v>
      </c>
      <c r="C50" t="s">
        <v>1555</v>
      </c>
      <c r="D50" t="s">
        <v>1645</v>
      </c>
      <c r="E50" t="s">
        <v>1646</v>
      </c>
      <c r="F50" t="s">
        <v>1584</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146</v>
      </c>
    </row>
    <row r="51" spans="1:38" ht="14.95" customHeight="1">
      <c r="A51" s="114" t="s">
        <v>114</v>
      </c>
      <c r="B51" s="110" t="s">
        <v>944</v>
      </c>
      <c r="C51" t="s">
        <v>1556</v>
      </c>
      <c r="D51" t="s">
        <v>1647</v>
      </c>
      <c r="E51" t="s">
        <v>1648</v>
      </c>
      <c r="F51" t="s">
        <v>1584</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108">
        <v>3.9E-2</v>
      </c>
    </row>
    <row r="52" spans="1:38" ht="14.95" customHeight="1">
      <c r="A52" s="114" t="s">
        <v>113</v>
      </c>
      <c r="B52" s="110" t="s">
        <v>945</v>
      </c>
      <c r="C52" t="s">
        <v>1557</v>
      </c>
      <c r="D52" t="s">
        <v>1649</v>
      </c>
      <c r="E52" t="s">
        <v>1650</v>
      </c>
      <c r="F52" t="s">
        <v>1584</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108">
        <v>1.2E-2</v>
      </c>
    </row>
    <row r="53" spans="1:38" ht="14.95" customHeight="1">
      <c r="A53" s="114" t="s">
        <v>113</v>
      </c>
      <c r="B53" s="110" t="s">
        <v>946</v>
      </c>
      <c r="C53" t="s">
        <v>1558</v>
      </c>
      <c r="D53" t="s">
        <v>1651</v>
      </c>
      <c r="E53" t="s">
        <v>1652</v>
      </c>
      <c r="F53" t="s">
        <v>1584</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108">
        <v>7.0000000000000001E-3</v>
      </c>
    </row>
    <row r="54" spans="1:38" ht="14.95" customHeight="1">
      <c r="A54" s="114" t="s">
        <v>853</v>
      </c>
      <c r="B54" s="110" t="s">
        <v>947</v>
      </c>
      <c r="C54" t="s">
        <v>1559</v>
      </c>
      <c r="D54" t="s">
        <v>1653</v>
      </c>
      <c r="E54" t="s">
        <v>1654</v>
      </c>
      <c r="F54" t="s">
        <v>1584</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108">
        <v>2.3E-2</v>
      </c>
    </row>
    <row r="55" spans="1:38" ht="14.95" customHeight="1">
      <c r="A55" s="114" t="s">
        <v>853</v>
      </c>
      <c r="B55" s="110" t="s">
        <v>948</v>
      </c>
      <c r="C55" t="s">
        <v>1560</v>
      </c>
      <c r="D55" t="s">
        <v>1655</v>
      </c>
      <c r="E55" t="s">
        <v>1656</v>
      </c>
      <c r="F55" t="s">
        <v>1584</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108">
        <v>7.0000000000000001E-3</v>
      </c>
    </row>
    <row r="56" spans="1:38" ht="14.95" customHeight="1">
      <c r="A56" s="114" t="s">
        <v>854</v>
      </c>
      <c r="B56" s="110" t="s">
        <v>949</v>
      </c>
      <c r="C56" t="s">
        <v>1561</v>
      </c>
      <c r="D56" t="s">
        <v>1657</v>
      </c>
      <c r="E56" t="s">
        <v>1658</v>
      </c>
      <c r="F56" t="s">
        <v>1584</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146</v>
      </c>
    </row>
    <row r="57" spans="1:38" ht="14.95" customHeight="1">
      <c r="A57" s="114" t="s">
        <v>854</v>
      </c>
      <c r="B57" s="110" t="s">
        <v>950</v>
      </c>
      <c r="C57" t="s">
        <v>1562</v>
      </c>
      <c r="D57" t="s">
        <v>1659</v>
      </c>
      <c r="E57" t="s">
        <v>1660</v>
      </c>
      <c r="F57" t="s">
        <v>1584</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108">
        <v>0.14599999999999999</v>
      </c>
    </row>
    <row r="58" spans="1:38" ht="14.95" customHeight="1">
      <c r="A58" s="114"/>
      <c r="B58" s="110" t="s">
        <v>951</v>
      </c>
      <c r="C58" t="s">
        <v>1568</v>
      </c>
      <c r="D58" t="s">
        <v>1661</v>
      </c>
      <c r="E58" t="s">
        <v>1662</v>
      </c>
      <c r="F58" t="s">
        <v>1584</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108">
        <v>2.8000000000000001E-2</v>
      </c>
    </row>
    <row r="59" spans="1:38" ht="14.95" customHeight="1">
      <c r="B59" s="110" t="s">
        <v>952</v>
      </c>
      <c r="C59" t="s">
        <v>953</v>
      </c>
      <c r="D59" t="s">
        <v>1663</v>
      </c>
      <c r="E59" t="s">
        <v>1664</v>
      </c>
      <c r="F59" t="s">
        <v>1621</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108">
        <v>0.02</v>
      </c>
    </row>
    <row r="60" spans="1:38" ht="14.95" customHeight="1">
      <c r="B60" s="110" t="s">
        <v>954</v>
      </c>
      <c r="C60" t="s">
        <v>955</v>
      </c>
      <c r="D60" t="s">
        <v>1665</v>
      </c>
      <c r="E60" t="s">
        <v>1666</v>
      </c>
      <c r="F60" t="s">
        <v>1584</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108">
        <v>7.0000000000000001E-3</v>
      </c>
    </row>
    <row r="61" spans="1:38" ht="14.95" customHeight="1">
      <c r="B61" s="110" t="s">
        <v>956</v>
      </c>
      <c r="C61" t="s">
        <v>957</v>
      </c>
      <c r="D61" t="s">
        <v>1667</v>
      </c>
      <c r="E61" t="s">
        <v>1668</v>
      </c>
      <c r="F61" t="s">
        <v>1621</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108">
        <v>2.8000000000000001E-2</v>
      </c>
    </row>
    <row r="62" spans="1:38" ht="14.95" customHeight="1">
      <c r="B62" s="110" t="s">
        <v>958</v>
      </c>
      <c r="C62" t="s">
        <v>959</v>
      </c>
      <c r="D62" t="s">
        <v>1669</v>
      </c>
      <c r="E62" t="s">
        <v>1670</v>
      </c>
      <c r="F62" t="s">
        <v>1584</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108">
        <v>3.1E-2</v>
      </c>
    </row>
    <row r="63" spans="1:38" ht="14.95" customHeight="1">
      <c r="B63" s="110" t="s">
        <v>960</v>
      </c>
      <c r="C63" t="s">
        <v>961</v>
      </c>
      <c r="D63" t="s">
        <v>1671</v>
      </c>
      <c r="E63" t="s">
        <v>1672</v>
      </c>
      <c r="F63" t="s">
        <v>1584</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146</v>
      </c>
    </row>
    <row r="64" spans="1:38" ht="14.95" customHeight="1">
      <c r="B64" s="110"/>
      <c r="C64" t="s">
        <v>1569</v>
      </c>
      <c r="D64" t="s">
        <v>1673</v>
      </c>
      <c r="F64" t="s">
        <v>1674</v>
      </c>
    </row>
    <row r="65" spans="2:38" ht="14.95" customHeight="1">
      <c r="B65" s="110" t="s">
        <v>962</v>
      </c>
      <c r="C65" t="s">
        <v>1570</v>
      </c>
      <c r="D65" t="s">
        <v>1675</v>
      </c>
      <c r="E65" t="s">
        <v>1676</v>
      </c>
      <c r="F65" t="s">
        <v>1584</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108">
        <v>1E-3</v>
      </c>
    </row>
    <row r="66" spans="2:38" ht="14.95" customHeight="1">
      <c r="B66" s="110" t="s">
        <v>963</v>
      </c>
      <c r="C66" t="s">
        <v>1571</v>
      </c>
      <c r="D66" t="s">
        <v>1677</v>
      </c>
      <c r="E66" t="s">
        <v>1678</v>
      </c>
      <c r="F66" t="s">
        <v>1584</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108">
        <v>3.1E-2</v>
      </c>
    </row>
    <row r="67" spans="2:38" ht="14.95" customHeight="1">
      <c r="B67" s="110" t="s">
        <v>964</v>
      </c>
      <c r="C67" t="s">
        <v>1572</v>
      </c>
      <c r="D67" t="s">
        <v>1679</v>
      </c>
      <c r="E67" t="s">
        <v>1680</v>
      </c>
      <c r="F67" t="s">
        <v>1584</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108">
        <v>2E-3</v>
      </c>
    </row>
    <row r="68" spans="2:38" ht="14.95" customHeight="1">
      <c r="B68" s="110" t="s">
        <v>965</v>
      </c>
      <c r="C68" t="s">
        <v>1573</v>
      </c>
      <c r="D68" t="s">
        <v>1681</v>
      </c>
      <c r="E68" t="s">
        <v>1682</v>
      </c>
      <c r="F68" t="s">
        <v>1584</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108">
        <v>7.5999999999999998E-2</v>
      </c>
    </row>
    <row r="69" spans="2:38" ht="14.95" customHeight="1">
      <c r="B69" s="110" t="s">
        <v>966</v>
      </c>
      <c r="C69" t="s">
        <v>1574</v>
      </c>
      <c r="D69" t="s">
        <v>1683</v>
      </c>
      <c r="E69" t="s">
        <v>1684</v>
      </c>
      <c r="F69" t="s">
        <v>1584</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108">
        <v>5.8000000000000003E-2</v>
      </c>
    </row>
    <row r="70" spans="2:38" ht="14.95" customHeight="1">
      <c r="B70" s="110" t="s">
        <v>967</v>
      </c>
      <c r="C70" t="s">
        <v>1575</v>
      </c>
      <c r="D70" t="s">
        <v>1685</v>
      </c>
      <c r="E70" t="s">
        <v>1686</v>
      </c>
      <c r="F70" t="s">
        <v>1584</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108">
        <v>4.2999999999999997E-2</v>
      </c>
    </row>
    <row r="71" spans="2:38" ht="14.95" customHeight="1">
      <c r="B71" s="110" t="s">
        <v>968</v>
      </c>
      <c r="C71" t="s">
        <v>1576</v>
      </c>
      <c r="D71" t="s">
        <v>1687</v>
      </c>
      <c r="E71" t="s">
        <v>1688</v>
      </c>
      <c r="F71" t="s">
        <v>1584</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108">
        <v>8.9999999999999993E-3</v>
      </c>
    </row>
    <row r="72" spans="2:38" ht="14.95" customHeight="1">
      <c r="B72" s="110" t="s">
        <v>969</v>
      </c>
      <c r="C72" t="s">
        <v>1577</v>
      </c>
      <c r="D72" t="s">
        <v>1689</v>
      </c>
      <c r="E72" t="s">
        <v>1690</v>
      </c>
      <c r="F72" t="s">
        <v>1584</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108">
        <v>7.3999999999999996E-2</v>
      </c>
    </row>
    <row r="73" spans="2:38" ht="14.95" customHeight="1">
      <c r="B73" s="110" t="s">
        <v>970</v>
      </c>
      <c r="C73" t="s">
        <v>971</v>
      </c>
      <c r="D73" t="s">
        <v>1691</v>
      </c>
      <c r="E73" t="s">
        <v>1692</v>
      </c>
      <c r="F73" t="s">
        <v>1584</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108">
        <v>7.0000000000000001E-3</v>
      </c>
    </row>
    <row r="74" spans="2:38" ht="14.95" customHeight="1">
      <c r="B74" s="110" t="s">
        <v>972</v>
      </c>
      <c r="C74" t="s">
        <v>1578</v>
      </c>
      <c r="D74" t="s">
        <v>1693</v>
      </c>
      <c r="E74" t="s">
        <v>1694</v>
      </c>
      <c r="F74" t="s">
        <v>1584</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108">
        <v>1.6E-2</v>
      </c>
    </row>
    <row r="75" spans="2:38" ht="14.95" customHeight="1">
      <c r="B75" s="110" t="s">
        <v>973</v>
      </c>
      <c r="C75" t="s">
        <v>1579</v>
      </c>
      <c r="D75" t="s">
        <v>1695</v>
      </c>
      <c r="E75" t="s">
        <v>1696</v>
      </c>
      <c r="F75" t="s">
        <v>1584</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146</v>
      </c>
    </row>
    <row r="76" spans="2:38" ht="14.95" customHeight="1">
      <c r="B76" s="110" t="s">
        <v>974</v>
      </c>
      <c r="C76" t="s">
        <v>975</v>
      </c>
      <c r="D76" t="s">
        <v>1697</v>
      </c>
      <c r="E76" t="s">
        <v>1698</v>
      </c>
      <c r="F76" t="s">
        <v>1584</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108">
        <v>2.1999999999999999E-2</v>
      </c>
    </row>
    <row r="77" spans="2:38" ht="14.95" customHeight="1">
      <c r="B77" s="110"/>
    </row>
    <row r="78" spans="2:38" ht="14.95" customHeight="1">
      <c r="B78" s="110"/>
    </row>
    <row r="79" spans="2:38" ht="14.95" customHeight="1">
      <c r="B79" s="110"/>
    </row>
    <row r="80" spans="2:38" ht="14.95" customHeight="1">
      <c r="B80" s="110"/>
    </row>
    <row r="81" spans="2:2" ht="14.95" customHeight="1">
      <c r="B81" s="110"/>
    </row>
    <row r="82" spans="2:2" ht="14.95" customHeight="1">
      <c r="B82" s="110"/>
    </row>
    <row r="83" spans="2:2" ht="14.95" customHeight="1">
      <c r="B83" s="110"/>
    </row>
    <row r="84" spans="2:2" ht="14.95" customHeight="1">
      <c r="B84" s="110"/>
    </row>
    <row r="85" spans="2:2" ht="14.95" customHeight="1">
      <c r="B85" s="110"/>
    </row>
    <row r="86" spans="2:2" ht="14.95" customHeight="1">
      <c r="B86" s="110"/>
    </row>
    <row r="87" spans="2:2" ht="14.95" customHeight="1">
      <c r="B87" s="110"/>
    </row>
    <row r="88" spans="2:2" ht="14.95" customHeight="1">
      <c r="B88" s="110"/>
    </row>
    <row r="89" spans="2:2" ht="14.95" customHeight="1">
      <c r="B89" s="110"/>
    </row>
    <row r="90" spans="2:2" ht="14.95" customHeight="1">
      <c r="B90" s="110"/>
    </row>
    <row r="91" spans="2:2" ht="13.6">
      <c r="B91" s="110"/>
    </row>
    <row r="92" spans="2:2" ht="13.6">
      <c r="B92" s="110"/>
    </row>
    <row r="93" spans="2:2" ht="13.6">
      <c r="B93" s="110"/>
    </row>
    <row r="94" spans="2:2" ht="13.6">
      <c r="B94" s="110"/>
    </row>
    <row r="95" spans="2:2" ht="13.6">
      <c r="B95" s="110"/>
    </row>
    <row r="96" spans="2:2" ht="13.6">
      <c r="B96" s="110"/>
    </row>
    <row r="97" spans="2:2" ht="13.6">
      <c r="B97" s="110"/>
    </row>
    <row r="98" spans="2:2" ht="13.6">
      <c r="B98" s="110"/>
    </row>
    <row r="99" spans="2:2" ht="13.6">
      <c r="B99" s="110"/>
    </row>
    <row r="100" spans="2:2" ht="13.6">
      <c r="B100" s="110"/>
    </row>
    <row r="101" spans="2:2" ht="13.6">
      <c r="B101" s="110"/>
    </row>
    <row r="102" spans="2:2" ht="13.6">
      <c r="B102" s="110"/>
    </row>
    <row r="103" spans="2:2" ht="13.6">
      <c r="B103" s="110"/>
    </row>
    <row r="104" spans="2:2" ht="13.6">
      <c r="B104" s="110"/>
    </row>
  </sheetData>
  <phoneticPr fontId="5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104"/>
  <sheetViews>
    <sheetView workbookViewId="0">
      <selection activeCell="A17" sqref="A17:C54"/>
    </sheetView>
  </sheetViews>
  <sheetFormatPr defaultColWidth="9" defaultRowHeight="14.95" customHeight="1"/>
  <cols>
    <col min="1" max="1" width="25.75" style="19" customWidth="1"/>
    <col min="2" max="2" width="19.375" style="40" customWidth="1"/>
    <col min="3" max="3" width="29.75" customWidth="1"/>
    <col min="4" max="4" width="22.75" customWidth="1"/>
    <col min="5" max="5" width="9.125"/>
    <col min="39" max="16384" width="9" style="19"/>
  </cols>
  <sheetData>
    <row r="1" spans="1:38" s="53" customFormat="1" ht="14.95" customHeight="1">
      <c r="A1"/>
      <c r="B1" s="40" t="s">
        <v>1343</v>
      </c>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10" spans="1:38" ht="14.95" customHeight="1">
      <c r="B10" s="110" t="s">
        <v>868</v>
      </c>
      <c r="C10" t="s">
        <v>1699</v>
      </c>
    </row>
    <row r="11" spans="1:38" ht="14.95" customHeight="1">
      <c r="C11" t="s">
        <v>1700</v>
      </c>
    </row>
    <row r="12" spans="1:38" ht="14.95" customHeight="1">
      <c r="C12" t="s">
        <v>1701</v>
      </c>
    </row>
    <row r="13" spans="1:38" ht="14.95" customHeight="1">
      <c r="C13" t="s">
        <v>1194</v>
      </c>
    </row>
    <row r="14" spans="1:38" ht="14.95" customHeight="1">
      <c r="D14" t="s">
        <v>1195</v>
      </c>
      <c r="E14" t="s">
        <v>1284</v>
      </c>
      <c r="F14" t="s">
        <v>1285</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1286</v>
      </c>
    </row>
    <row r="15" spans="1:38" ht="14.95" customHeight="1">
      <c r="B15" s="110"/>
      <c r="C15" t="s">
        <v>1702</v>
      </c>
      <c r="E15" t="s">
        <v>1710</v>
      </c>
    </row>
    <row r="16" spans="1:38" ht="14.95" customHeight="1">
      <c r="B16" s="110"/>
      <c r="C16" t="s">
        <v>1544</v>
      </c>
      <c r="E16" t="s">
        <v>1711</v>
      </c>
    </row>
    <row r="17" spans="1:38" s="38" customFormat="1" ht="14.95" customHeight="1">
      <c r="A17" s="114" t="s">
        <v>114</v>
      </c>
      <c r="B17" s="110" t="s">
        <v>870</v>
      </c>
      <c r="C17" t="s">
        <v>1545</v>
      </c>
      <c r="D17" t="s">
        <v>1712</v>
      </c>
      <c r="E17" t="s">
        <v>1713</v>
      </c>
      <c r="F17" t="s">
        <v>1714</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108">
        <v>3.0000000000000001E-3</v>
      </c>
    </row>
    <row r="18" spans="1:38" ht="14.95" customHeight="1">
      <c r="A18" s="114" t="s">
        <v>115</v>
      </c>
      <c r="B18" s="110" t="s">
        <v>871</v>
      </c>
      <c r="C18" t="s">
        <v>1546</v>
      </c>
      <c r="D18" t="s">
        <v>1715</v>
      </c>
      <c r="E18" t="s">
        <v>1716</v>
      </c>
      <c r="F18" t="s">
        <v>1714</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108">
        <v>1E-3</v>
      </c>
    </row>
    <row r="19" spans="1:38" ht="14.95" customHeight="1">
      <c r="A19" s="114"/>
      <c r="B19" s="110"/>
      <c r="C19" t="s">
        <v>1548</v>
      </c>
      <c r="E19" t="s">
        <v>1717</v>
      </c>
    </row>
    <row r="20" spans="1:38" ht="14.95" customHeight="1">
      <c r="A20" s="114" t="s">
        <v>114</v>
      </c>
      <c r="B20" s="110" t="s">
        <v>872</v>
      </c>
      <c r="C20" t="s">
        <v>1549</v>
      </c>
      <c r="D20" t="s">
        <v>1718</v>
      </c>
      <c r="E20" t="s">
        <v>1719</v>
      </c>
      <c r="F20" t="s">
        <v>1714</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108">
        <v>3.0000000000000001E-3</v>
      </c>
    </row>
    <row r="21" spans="1:38" ht="14.95" customHeight="1">
      <c r="A21" s="114" t="s">
        <v>112</v>
      </c>
      <c r="B21" s="110" t="s">
        <v>873</v>
      </c>
      <c r="C21" t="s">
        <v>1550</v>
      </c>
      <c r="D21" t="s">
        <v>1720</v>
      </c>
      <c r="E21" t="s">
        <v>1721</v>
      </c>
      <c r="F21" t="s">
        <v>1714</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108">
        <v>0</v>
      </c>
    </row>
    <row r="22" spans="1:38" ht="14.95" customHeight="1">
      <c r="A22" s="114" t="s">
        <v>112</v>
      </c>
      <c r="B22" s="110" t="s">
        <v>874</v>
      </c>
      <c r="C22" t="s">
        <v>1551</v>
      </c>
      <c r="D22" t="s">
        <v>1722</v>
      </c>
      <c r="E22" t="s">
        <v>1723</v>
      </c>
      <c r="F22" t="s">
        <v>1714</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108">
        <v>0</v>
      </c>
    </row>
    <row r="23" spans="1:38" ht="14.95" customHeight="1">
      <c r="A23" s="114" t="s">
        <v>112</v>
      </c>
      <c r="B23" s="110" t="s">
        <v>875</v>
      </c>
      <c r="C23" t="s">
        <v>1552</v>
      </c>
      <c r="D23" t="s">
        <v>1724</v>
      </c>
      <c r="E23" t="s">
        <v>1725</v>
      </c>
      <c r="F23" t="s">
        <v>1714</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108">
        <v>0</v>
      </c>
    </row>
    <row r="24" spans="1:38" ht="14.95" customHeight="1">
      <c r="A24" s="114" t="s">
        <v>116</v>
      </c>
      <c r="B24" s="110" t="s">
        <v>876</v>
      </c>
      <c r="C24" t="s">
        <v>1553</v>
      </c>
      <c r="D24" t="s">
        <v>1726</v>
      </c>
      <c r="E24" t="s">
        <v>1727</v>
      </c>
      <c r="F24" t="s">
        <v>1714</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108">
        <v>3.0000000000000001E-3</v>
      </c>
    </row>
    <row r="25" spans="1:38" ht="14.95" customHeight="1">
      <c r="A25" s="114" t="s">
        <v>116</v>
      </c>
      <c r="B25" s="110" t="s">
        <v>877</v>
      </c>
      <c r="C25" t="s">
        <v>1554</v>
      </c>
      <c r="D25" t="s">
        <v>1728</v>
      </c>
      <c r="E25" t="s">
        <v>1729</v>
      </c>
      <c r="F25" t="s">
        <v>1714</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108">
        <v>2E-3</v>
      </c>
    </row>
    <row r="26" spans="1:38" ht="14.95" customHeight="1">
      <c r="A26" s="114" t="s">
        <v>115</v>
      </c>
      <c r="B26" s="110" t="s">
        <v>878</v>
      </c>
      <c r="C26" t="s">
        <v>1555</v>
      </c>
      <c r="D26" t="s">
        <v>1730</v>
      </c>
      <c r="E26" t="s">
        <v>1731</v>
      </c>
      <c r="F26" t="s">
        <v>1714</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146</v>
      </c>
    </row>
    <row r="27" spans="1:38" ht="14.95" customHeight="1">
      <c r="A27" s="114" t="s">
        <v>114</v>
      </c>
      <c r="B27" s="110" t="s">
        <v>879</v>
      </c>
      <c r="C27" t="s">
        <v>1556</v>
      </c>
      <c r="D27" t="s">
        <v>1732</v>
      </c>
      <c r="E27" t="s">
        <v>1733</v>
      </c>
      <c r="F27" t="s">
        <v>1714</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108">
        <v>3.0000000000000001E-3</v>
      </c>
    </row>
    <row r="28" spans="1:38" ht="14.95" customHeight="1">
      <c r="A28" s="114" t="s">
        <v>113</v>
      </c>
      <c r="B28" s="110" t="s">
        <v>880</v>
      </c>
      <c r="C28" t="s">
        <v>1557</v>
      </c>
      <c r="D28" t="s">
        <v>1734</v>
      </c>
      <c r="E28" t="s">
        <v>1735</v>
      </c>
      <c r="F28" t="s">
        <v>1714</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108">
        <v>3.0000000000000001E-3</v>
      </c>
    </row>
    <row r="29" spans="1:38" ht="14.95" customHeight="1">
      <c r="A29" s="114" t="s">
        <v>113</v>
      </c>
      <c r="B29" s="110" t="s">
        <v>881</v>
      </c>
      <c r="C29" t="s">
        <v>1558</v>
      </c>
      <c r="D29" t="s">
        <v>1736</v>
      </c>
      <c r="E29" t="s">
        <v>1737</v>
      </c>
      <c r="F29" t="s">
        <v>1714</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108">
        <v>3.0000000000000001E-3</v>
      </c>
    </row>
    <row r="30" spans="1:38" ht="14.95" customHeight="1">
      <c r="A30" s="114" t="s">
        <v>853</v>
      </c>
      <c r="B30" s="110" t="s">
        <v>882</v>
      </c>
      <c r="C30" t="s">
        <v>1559</v>
      </c>
      <c r="D30" t="s">
        <v>1738</v>
      </c>
      <c r="E30" t="s">
        <v>1739</v>
      </c>
      <c r="F30" t="s">
        <v>1714</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108">
        <v>3.0000000000000001E-3</v>
      </c>
    </row>
    <row r="31" spans="1:38" ht="14.95" customHeight="1">
      <c r="A31" s="114" t="s">
        <v>853</v>
      </c>
      <c r="B31" s="110" t="s">
        <v>883</v>
      </c>
      <c r="C31" t="s">
        <v>1560</v>
      </c>
      <c r="D31" t="s">
        <v>1740</v>
      </c>
      <c r="E31" t="s">
        <v>1741</v>
      </c>
      <c r="F31" t="s">
        <v>1714</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108">
        <v>3.0000000000000001E-3</v>
      </c>
    </row>
    <row r="32" spans="1:38" ht="14.95" customHeight="1">
      <c r="A32" s="114" t="s">
        <v>854</v>
      </c>
      <c r="B32" s="110" t="s">
        <v>884</v>
      </c>
      <c r="C32" t="s">
        <v>1561</v>
      </c>
      <c r="D32" t="s">
        <v>1742</v>
      </c>
      <c r="E32" t="s">
        <v>1743</v>
      </c>
      <c r="F32" t="s">
        <v>1714</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146</v>
      </c>
    </row>
    <row r="33" spans="1:38" ht="14.95" customHeight="1">
      <c r="A33" s="114" t="s">
        <v>854</v>
      </c>
      <c r="B33" s="110" t="s">
        <v>885</v>
      </c>
      <c r="C33" t="s">
        <v>1562</v>
      </c>
      <c r="D33" t="s">
        <v>1744</v>
      </c>
      <c r="E33" t="s">
        <v>1745</v>
      </c>
      <c r="F33" t="s">
        <v>1714</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108">
        <v>1E-3</v>
      </c>
    </row>
    <row r="34" spans="1:38" ht="14.95" customHeight="1">
      <c r="A34" s="114"/>
      <c r="B34" s="110" t="s">
        <v>886</v>
      </c>
      <c r="C34" t="s">
        <v>1703</v>
      </c>
      <c r="D34" t="s">
        <v>1746</v>
      </c>
      <c r="E34" t="s">
        <v>1747</v>
      </c>
      <c r="F34" t="s">
        <v>1714</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108">
        <v>7.0000000000000001E-3</v>
      </c>
    </row>
    <row r="35" spans="1:38" ht="14.95" customHeight="1">
      <c r="A35" s="114"/>
      <c r="B35" s="110"/>
      <c r="C35" t="s">
        <v>1704</v>
      </c>
      <c r="E35" t="s">
        <v>1748</v>
      </c>
    </row>
    <row r="36" spans="1:38" ht="14.95" customHeight="1">
      <c r="A36" s="114"/>
      <c r="B36" s="110"/>
      <c r="C36" t="s">
        <v>1565</v>
      </c>
      <c r="E36" t="s">
        <v>1749</v>
      </c>
    </row>
    <row r="37" spans="1:38" s="38" customFormat="1" ht="14.95" customHeight="1">
      <c r="A37" s="114" t="s">
        <v>114</v>
      </c>
      <c r="B37" s="110" t="s">
        <v>887</v>
      </c>
      <c r="C37" t="s">
        <v>1545</v>
      </c>
      <c r="D37" t="s">
        <v>1750</v>
      </c>
      <c r="E37" t="s">
        <v>1751</v>
      </c>
      <c r="F37" t="s">
        <v>1714</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108">
        <v>2E-3</v>
      </c>
    </row>
    <row r="38" spans="1:38" ht="14.95" customHeight="1">
      <c r="A38" s="114" t="s">
        <v>115</v>
      </c>
      <c r="B38" s="110" t="s">
        <v>888</v>
      </c>
      <c r="C38" t="s">
        <v>1546</v>
      </c>
      <c r="D38" t="s">
        <v>1752</v>
      </c>
      <c r="E38" t="s">
        <v>1753</v>
      </c>
      <c r="F38" t="s">
        <v>1714</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108">
        <v>1E-3</v>
      </c>
    </row>
    <row r="39" spans="1:38" ht="14.95" customHeight="1">
      <c r="A39" s="114"/>
      <c r="B39" s="110"/>
      <c r="C39" t="s">
        <v>1567</v>
      </c>
      <c r="E39" t="s">
        <v>1754</v>
      </c>
    </row>
    <row r="40" spans="1:38" ht="14.95" customHeight="1">
      <c r="A40" s="114" t="s">
        <v>114</v>
      </c>
      <c r="B40" s="110" t="s">
        <v>889</v>
      </c>
      <c r="C40" t="s">
        <v>1549</v>
      </c>
      <c r="D40" t="s">
        <v>1755</v>
      </c>
      <c r="E40" t="s">
        <v>1756</v>
      </c>
      <c r="F40" t="s">
        <v>1714</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108">
        <v>2E-3</v>
      </c>
    </row>
    <row r="41" spans="1:38" ht="14.95" customHeight="1">
      <c r="A41" s="114" t="s">
        <v>112</v>
      </c>
      <c r="B41" s="110" t="s">
        <v>890</v>
      </c>
      <c r="C41" t="s">
        <v>1550</v>
      </c>
      <c r="D41" t="s">
        <v>1757</v>
      </c>
      <c r="E41" t="s">
        <v>1758</v>
      </c>
      <c r="F41" t="s">
        <v>1714</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146</v>
      </c>
    </row>
    <row r="42" spans="1:38" ht="14.95" customHeight="1">
      <c r="A42" s="114" t="s">
        <v>112</v>
      </c>
      <c r="B42" s="110" t="s">
        <v>891</v>
      </c>
      <c r="C42" t="s">
        <v>1551</v>
      </c>
      <c r="D42" t="s">
        <v>1759</v>
      </c>
      <c r="E42" t="s">
        <v>1760</v>
      </c>
      <c r="F42" t="s">
        <v>1714</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108">
        <v>-2E-3</v>
      </c>
    </row>
    <row r="43" spans="1:38" ht="14.95" customHeight="1">
      <c r="A43" s="114" t="s">
        <v>112</v>
      </c>
      <c r="B43" s="110" t="s">
        <v>892</v>
      </c>
      <c r="C43" t="s">
        <v>1552</v>
      </c>
      <c r="D43" t="s">
        <v>1761</v>
      </c>
      <c r="E43" t="s">
        <v>1762</v>
      </c>
      <c r="F43" t="s">
        <v>1714</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108">
        <v>-1E-3</v>
      </c>
    </row>
    <row r="44" spans="1:38" ht="14.95" customHeight="1">
      <c r="A44" s="114" t="s">
        <v>116</v>
      </c>
      <c r="B44" s="110" t="s">
        <v>893</v>
      </c>
      <c r="C44" t="s">
        <v>1553</v>
      </c>
      <c r="D44" t="s">
        <v>1763</v>
      </c>
      <c r="E44" t="s">
        <v>1764</v>
      </c>
      <c r="F44" t="s">
        <v>1714</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108">
        <v>2E-3</v>
      </c>
    </row>
    <row r="45" spans="1:38" ht="14.95" customHeight="1">
      <c r="A45" s="114" t="s">
        <v>116</v>
      </c>
      <c r="B45" s="110" t="s">
        <v>894</v>
      </c>
      <c r="C45" t="s">
        <v>1554</v>
      </c>
      <c r="D45" t="s">
        <v>1765</v>
      </c>
      <c r="E45" t="s">
        <v>1766</v>
      </c>
      <c r="F45" t="s">
        <v>1714</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108">
        <v>8.0000000000000002E-3</v>
      </c>
    </row>
    <row r="46" spans="1:38" ht="14.95" customHeight="1">
      <c r="A46" s="114" t="s">
        <v>115</v>
      </c>
      <c r="B46" s="110" t="s">
        <v>895</v>
      </c>
      <c r="C46" t="s">
        <v>1555</v>
      </c>
      <c r="D46" t="s">
        <v>1767</v>
      </c>
      <c r="E46" t="s">
        <v>1768</v>
      </c>
      <c r="F46" t="s">
        <v>1714</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146</v>
      </c>
    </row>
    <row r="47" spans="1:38" ht="14.95" customHeight="1">
      <c r="A47" s="114" t="s">
        <v>114</v>
      </c>
      <c r="B47" s="110" t="s">
        <v>896</v>
      </c>
      <c r="C47" t="s">
        <v>1556</v>
      </c>
      <c r="D47" t="s">
        <v>1769</v>
      </c>
      <c r="E47" t="s">
        <v>1770</v>
      </c>
      <c r="F47" t="s">
        <v>1714</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108">
        <v>3.0000000000000001E-3</v>
      </c>
    </row>
    <row r="48" spans="1:38" ht="14.95" customHeight="1">
      <c r="A48" s="114" t="s">
        <v>113</v>
      </c>
      <c r="B48" s="110" t="s">
        <v>897</v>
      </c>
      <c r="C48" t="s">
        <v>1557</v>
      </c>
      <c r="D48" t="s">
        <v>1771</v>
      </c>
      <c r="E48" t="s">
        <v>1772</v>
      </c>
      <c r="F48" t="s">
        <v>1714</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108">
        <v>2E-3</v>
      </c>
    </row>
    <row r="49" spans="1:38" ht="14.95" customHeight="1">
      <c r="A49" s="114" t="s">
        <v>113</v>
      </c>
      <c r="B49" s="110" t="s">
        <v>898</v>
      </c>
      <c r="C49" t="s">
        <v>1558</v>
      </c>
      <c r="D49" t="s">
        <v>1773</v>
      </c>
      <c r="E49" t="s">
        <v>1774</v>
      </c>
      <c r="F49" t="s">
        <v>1714</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108">
        <v>2E-3</v>
      </c>
    </row>
    <row r="50" spans="1:38" ht="14.95" customHeight="1">
      <c r="A50" s="114" t="s">
        <v>853</v>
      </c>
      <c r="B50" s="110" t="s">
        <v>899</v>
      </c>
      <c r="C50" t="s">
        <v>1559</v>
      </c>
      <c r="D50" t="s">
        <v>1775</v>
      </c>
      <c r="E50" t="s">
        <v>1776</v>
      </c>
      <c r="F50" t="s">
        <v>1714</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108">
        <v>2E-3</v>
      </c>
    </row>
    <row r="51" spans="1:38" ht="14.95" customHeight="1">
      <c r="A51" s="114" t="s">
        <v>853</v>
      </c>
      <c r="B51" s="110" t="s">
        <v>900</v>
      </c>
      <c r="C51" t="s">
        <v>1560</v>
      </c>
      <c r="D51" t="s">
        <v>1777</v>
      </c>
      <c r="E51" t="s">
        <v>1778</v>
      </c>
      <c r="F51" t="s">
        <v>1714</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108">
        <v>2E-3</v>
      </c>
    </row>
    <row r="52" spans="1:38" ht="14.95" customHeight="1">
      <c r="A52" s="114" t="s">
        <v>854</v>
      </c>
      <c r="B52" s="110" t="s">
        <v>901</v>
      </c>
      <c r="C52" t="s">
        <v>1561</v>
      </c>
      <c r="D52" t="s">
        <v>1779</v>
      </c>
      <c r="E52" t="s">
        <v>1780</v>
      </c>
      <c r="F52" t="s">
        <v>1714</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146</v>
      </c>
    </row>
    <row r="53" spans="1:38" ht="14.95" customHeight="1">
      <c r="A53" s="114" t="s">
        <v>854</v>
      </c>
      <c r="B53" s="110" t="s">
        <v>902</v>
      </c>
      <c r="C53" t="s">
        <v>1562</v>
      </c>
      <c r="D53" t="s">
        <v>1781</v>
      </c>
      <c r="E53" t="s">
        <v>1782</v>
      </c>
      <c r="F53" t="s">
        <v>1714</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108">
        <v>3.0000000000000001E-3</v>
      </c>
    </row>
    <row r="54" spans="1:38" ht="14.95" customHeight="1">
      <c r="A54" s="114"/>
      <c r="B54" s="110" t="s">
        <v>903</v>
      </c>
      <c r="C54" t="s">
        <v>1705</v>
      </c>
      <c r="D54" t="s">
        <v>1783</v>
      </c>
      <c r="E54" t="s">
        <v>1784</v>
      </c>
      <c r="F54" t="s">
        <v>1714</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108">
        <v>5.0000000000000001E-3</v>
      </c>
    </row>
    <row r="55" spans="1:38" ht="14.95" customHeight="1">
      <c r="B55" s="110" t="s">
        <v>904</v>
      </c>
      <c r="C55" t="s">
        <v>905</v>
      </c>
      <c r="D55" t="s">
        <v>1785</v>
      </c>
      <c r="E55" t="s">
        <v>1786</v>
      </c>
      <c r="F55" t="s">
        <v>1714</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108">
        <v>5.0000000000000001E-3</v>
      </c>
    </row>
    <row r="56" spans="1:38" ht="14.95" customHeight="1">
      <c r="B56" s="110" t="s">
        <v>906</v>
      </c>
      <c r="C56" t="s">
        <v>1706</v>
      </c>
      <c r="D56" t="s">
        <v>1787</v>
      </c>
      <c r="E56" t="s">
        <v>1788</v>
      </c>
      <c r="F56" t="s">
        <v>1714</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108">
        <v>1.0999999999999999E-2</v>
      </c>
    </row>
    <row r="57" spans="1:38" ht="14.95" customHeight="1">
      <c r="B57" s="110" t="s">
        <v>907</v>
      </c>
      <c r="C57" t="s">
        <v>1707</v>
      </c>
      <c r="D57" t="s">
        <v>1789</v>
      </c>
      <c r="E57" t="s">
        <v>1790</v>
      </c>
      <c r="F57" t="s">
        <v>1714</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108">
        <v>0.01</v>
      </c>
    </row>
    <row r="58" spans="1:38" ht="14.95" customHeight="1">
      <c r="B58" s="110" t="s">
        <v>908</v>
      </c>
      <c r="C58" t="s">
        <v>1708</v>
      </c>
      <c r="D58" t="s">
        <v>1791</v>
      </c>
      <c r="E58" t="s">
        <v>1792</v>
      </c>
      <c r="F58" t="s">
        <v>1714</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108">
        <v>8.9999999999999993E-3</v>
      </c>
    </row>
    <row r="59" spans="1:38" ht="14.95" customHeight="1">
      <c r="B59" s="110" t="s">
        <v>909</v>
      </c>
      <c r="C59" t="s">
        <v>1709</v>
      </c>
      <c r="D59" t="s">
        <v>1793</v>
      </c>
      <c r="E59" t="s">
        <v>1794</v>
      </c>
      <c r="F59" t="s">
        <v>1714</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108">
        <v>4.0000000000000001E-3</v>
      </c>
    </row>
    <row r="60" spans="1:38" ht="14.95" customHeight="1">
      <c r="B60" s="110" t="s">
        <v>910</v>
      </c>
      <c r="C60" t="s">
        <v>1708</v>
      </c>
      <c r="D60" t="s">
        <v>1795</v>
      </c>
      <c r="E60" t="s">
        <v>1796</v>
      </c>
      <c r="F60" t="s">
        <v>1714</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108">
        <v>8.9999999999999993E-3</v>
      </c>
    </row>
    <row r="61" spans="1:38" ht="14.95" customHeight="1">
      <c r="B61" s="110"/>
    </row>
    <row r="62" spans="1:38" ht="14.95" customHeight="1">
      <c r="B62" s="110"/>
    </row>
    <row r="63" spans="1:38" ht="14.95" customHeight="1">
      <c r="B63" s="110"/>
    </row>
    <row r="64" spans="1:38" ht="14.95" customHeight="1">
      <c r="B64" s="110"/>
    </row>
    <row r="65" spans="2:2" ht="14.95" customHeight="1">
      <c r="B65" s="110"/>
    </row>
    <row r="66" spans="2:2" ht="14.95" customHeight="1">
      <c r="B66" s="110"/>
    </row>
    <row r="67" spans="2:2" ht="14.95" customHeight="1">
      <c r="B67" s="110"/>
    </row>
    <row r="68" spans="2:2" ht="14.95" customHeight="1">
      <c r="B68" s="110"/>
    </row>
    <row r="69" spans="2:2" ht="14.95" customHeight="1">
      <c r="B69" s="110"/>
    </row>
    <row r="70" spans="2:2" ht="14.95" customHeight="1">
      <c r="B70" s="110"/>
    </row>
    <row r="71" spans="2:2" ht="14.95" customHeight="1">
      <c r="B71" s="110"/>
    </row>
    <row r="72" spans="2:2" ht="14.95" customHeight="1">
      <c r="B72" s="110"/>
    </row>
    <row r="73" spans="2:2" ht="14.95" customHeight="1">
      <c r="B73" s="110"/>
    </row>
    <row r="74" spans="2:2" ht="14.95" customHeight="1">
      <c r="B74" s="110"/>
    </row>
    <row r="75" spans="2:2" ht="14.95" customHeight="1">
      <c r="B75" s="110"/>
    </row>
    <row r="76" spans="2:2" ht="14.95" customHeight="1">
      <c r="B76" s="110"/>
    </row>
    <row r="77" spans="2:2" ht="14.95" customHeight="1">
      <c r="B77" s="110"/>
    </row>
    <row r="78" spans="2:2" ht="14.95" customHeight="1">
      <c r="B78" s="110"/>
    </row>
    <row r="79" spans="2:2" ht="14.95" customHeight="1">
      <c r="B79" s="110"/>
    </row>
    <row r="80" spans="2:2" ht="14.95" customHeight="1">
      <c r="B80" s="110"/>
    </row>
    <row r="81" spans="2:2" ht="14.95" customHeight="1">
      <c r="B81" s="110"/>
    </row>
    <row r="82" spans="2:2" ht="14.95" customHeight="1">
      <c r="B82" s="110"/>
    </row>
    <row r="83" spans="2:2" ht="14.95" customHeight="1">
      <c r="B83" s="110"/>
    </row>
    <row r="84" spans="2:2" ht="14.95" customHeight="1">
      <c r="B84" s="110"/>
    </row>
    <row r="85" spans="2:2" ht="14.95" customHeight="1">
      <c r="B85" s="110"/>
    </row>
    <row r="86" spans="2:2" ht="14.95" customHeight="1">
      <c r="B86" s="110"/>
    </row>
    <row r="87" spans="2:2" ht="14.95" customHeight="1">
      <c r="B87" s="110"/>
    </row>
    <row r="88" spans="2:2" ht="14.95" customHeight="1">
      <c r="B88" s="110"/>
    </row>
    <row r="89" spans="2:2" ht="14.95" customHeight="1">
      <c r="B89" s="110"/>
    </row>
    <row r="90" spans="2:2" ht="14.95" customHeight="1">
      <c r="B90" s="110"/>
    </row>
    <row r="91" spans="2:2" ht="14.95" customHeight="1">
      <c r="B91" s="110"/>
    </row>
    <row r="92" spans="2:2" ht="14.95" customHeight="1">
      <c r="B92" s="110"/>
    </row>
    <row r="93" spans="2:2" ht="14.95" customHeight="1">
      <c r="B93" s="110"/>
    </row>
    <row r="94" spans="2:2" ht="14.95" customHeight="1">
      <c r="B94" s="110"/>
    </row>
    <row r="95" spans="2:2" ht="14.95" customHeight="1">
      <c r="B95" s="110"/>
    </row>
    <row r="96" spans="2:2" ht="14.95" customHeight="1">
      <c r="B96" s="110"/>
    </row>
    <row r="97" spans="2:2" ht="14.95" customHeight="1">
      <c r="B97" s="110"/>
    </row>
    <row r="98" spans="2:2" ht="14.95" customHeight="1">
      <c r="B98" s="110"/>
    </row>
    <row r="99" spans="2:2" ht="14.95" customHeight="1">
      <c r="B99" s="110"/>
    </row>
    <row r="100" spans="2:2" ht="14.95" customHeight="1">
      <c r="B100" s="110"/>
    </row>
    <row r="101" spans="2:2" ht="14.95" customHeight="1">
      <c r="B101" s="110"/>
    </row>
    <row r="102" spans="2:2" ht="14.95" customHeight="1">
      <c r="B102" s="110"/>
    </row>
    <row r="103" spans="2:2" ht="14.95" customHeight="1">
      <c r="B103" s="110"/>
    </row>
    <row r="104" spans="2:2" ht="14.95" customHeight="1">
      <c r="B104" s="110"/>
    </row>
  </sheetData>
  <phoneticPr fontId="59" type="noConversion"/>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7"/>
  <sheetViews>
    <sheetView workbookViewId="0">
      <selection activeCell="D12" sqref="D12"/>
    </sheetView>
  </sheetViews>
  <sheetFormatPr defaultColWidth="9.125" defaultRowHeight="12.9"/>
  <sheetData>
    <row r="1" spans="1:11">
      <c r="A1" t="s">
        <v>3359</v>
      </c>
    </row>
    <row r="2" spans="1:11">
      <c r="A2" t="s">
        <v>3360</v>
      </c>
    </row>
    <row r="3" spans="1:11">
      <c r="A3" t="s">
        <v>3361</v>
      </c>
    </row>
    <row r="4" spans="1:11">
      <c r="A4" t="s">
        <v>1194</v>
      </c>
    </row>
    <row r="5" spans="1:11" s="123" customFormat="1">
      <c r="A5" t="s">
        <v>3348</v>
      </c>
      <c r="B5" t="s">
        <v>3349</v>
      </c>
      <c r="C5" t="s">
        <v>3350</v>
      </c>
      <c r="D5" t="s">
        <v>3351</v>
      </c>
      <c r="E5" t="s">
        <v>3352</v>
      </c>
      <c r="F5" t="s">
        <v>3353</v>
      </c>
      <c r="G5" t="s">
        <v>3354</v>
      </c>
      <c r="H5" t="s">
        <v>3355</v>
      </c>
      <c r="I5" t="s">
        <v>3356</v>
      </c>
      <c r="J5" t="s">
        <v>3357</v>
      </c>
      <c r="K5" t="s">
        <v>3358</v>
      </c>
    </row>
    <row r="6" spans="1:11">
      <c r="A6">
        <v>2050</v>
      </c>
      <c r="B6">
        <v>41.234305999999997</v>
      </c>
      <c r="C6">
        <v>303.525238</v>
      </c>
      <c r="D6">
        <v>2.627345</v>
      </c>
      <c r="E6">
        <v>0.502718</v>
      </c>
      <c r="F6">
        <v>611.61779799999999</v>
      </c>
      <c r="G6">
        <v>2.8294320000000002</v>
      </c>
      <c r="H6">
        <v>3.0396559999999999</v>
      </c>
      <c r="I6">
        <v>3.2382460000000002</v>
      </c>
      <c r="J6">
        <v>0</v>
      </c>
      <c r="K6">
        <v>968.61480700000004</v>
      </c>
    </row>
    <row r="7" spans="1:11">
      <c r="A7">
        <v>2049</v>
      </c>
      <c r="B7">
        <v>52.488135999999997</v>
      </c>
      <c r="C7">
        <v>312.71551499999998</v>
      </c>
      <c r="D7">
        <v>2.5694270000000001</v>
      </c>
      <c r="E7">
        <v>0.50015699999999996</v>
      </c>
      <c r="F7">
        <v>598.50061000000005</v>
      </c>
      <c r="G7">
        <v>2.7670599999999999</v>
      </c>
      <c r="H7">
        <v>2.9726509999999999</v>
      </c>
      <c r="I7">
        <v>3.1668630000000002</v>
      </c>
      <c r="J7">
        <v>0</v>
      </c>
      <c r="K7">
        <v>975.68035899999995</v>
      </c>
    </row>
    <row r="8" spans="1:11">
      <c r="A8">
        <v>2048</v>
      </c>
      <c r="B8">
        <v>65.500670999999997</v>
      </c>
      <c r="C8">
        <v>319.407623</v>
      </c>
      <c r="D8">
        <v>2.509144</v>
      </c>
      <c r="E8">
        <v>0.49745099999999998</v>
      </c>
      <c r="F8">
        <v>584.76025400000003</v>
      </c>
      <c r="G8">
        <v>2.7021389999999998</v>
      </c>
      <c r="H8">
        <v>2.9029069999999999</v>
      </c>
      <c r="I8">
        <v>3.092562</v>
      </c>
      <c r="J8">
        <v>0</v>
      </c>
      <c r="K8">
        <v>981.37280299999998</v>
      </c>
    </row>
    <row r="9" spans="1:11">
      <c r="A9">
        <v>2047</v>
      </c>
      <c r="B9">
        <v>78.435828999999998</v>
      </c>
      <c r="C9">
        <v>321.22879</v>
      </c>
      <c r="D9">
        <v>2.4222769999999998</v>
      </c>
      <c r="E9">
        <v>0.49229899999999999</v>
      </c>
      <c r="F9">
        <v>564.84399399999995</v>
      </c>
      <c r="G9">
        <v>2.6085910000000001</v>
      </c>
      <c r="H9">
        <v>2.8024079999999998</v>
      </c>
      <c r="I9">
        <v>2.9854980000000002</v>
      </c>
      <c r="J9">
        <v>0</v>
      </c>
      <c r="K9">
        <v>975.81964100000005</v>
      </c>
    </row>
    <row r="10" spans="1:11">
      <c r="A10">
        <v>2046</v>
      </c>
      <c r="B10">
        <v>91.947372000000001</v>
      </c>
      <c r="C10">
        <v>326.26950099999999</v>
      </c>
      <c r="D10">
        <v>2.3632219999999999</v>
      </c>
      <c r="E10">
        <v>0.49283300000000002</v>
      </c>
      <c r="F10">
        <v>551.32525599999997</v>
      </c>
      <c r="G10">
        <v>2.544994</v>
      </c>
      <c r="H10">
        <v>2.734086</v>
      </c>
      <c r="I10">
        <v>2.912712</v>
      </c>
      <c r="J10">
        <v>0</v>
      </c>
      <c r="K10">
        <v>980.589966</v>
      </c>
    </row>
    <row r="11" spans="1:11">
      <c r="A11">
        <v>2045</v>
      </c>
      <c r="B11">
        <v>105.51058999999999</v>
      </c>
      <c r="C11">
        <v>330.60977200000002</v>
      </c>
      <c r="D11">
        <v>2.302584</v>
      </c>
      <c r="E11">
        <v>0.49298900000000001</v>
      </c>
      <c r="F11">
        <v>537.19427499999995</v>
      </c>
      <c r="G11">
        <v>2.479692</v>
      </c>
      <c r="H11">
        <v>2.663932</v>
      </c>
      <c r="I11">
        <v>2.8379750000000001</v>
      </c>
      <c r="J11">
        <v>0</v>
      </c>
      <c r="K11">
        <v>984.091858</v>
      </c>
    </row>
    <row r="12" spans="1:11">
      <c r="A12">
        <v>2044</v>
      </c>
      <c r="B12">
        <v>117.87550400000001</v>
      </c>
      <c r="C12">
        <v>330.536743</v>
      </c>
      <c r="D12">
        <v>2.2174510000000001</v>
      </c>
      <c r="E12">
        <v>0.48947099999999999</v>
      </c>
      <c r="F12">
        <v>517.332581</v>
      </c>
      <c r="G12">
        <v>2.38801</v>
      </c>
      <c r="H12">
        <v>2.5654379999999999</v>
      </c>
      <c r="I12">
        <v>2.7330459999999999</v>
      </c>
      <c r="J12">
        <v>0</v>
      </c>
      <c r="K12">
        <v>976.13824499999998</v>
      </c>
    </row>
    <row r="13" spans="1:11">
      <c r="A13">
        <v>2043</v>
      </c>
      <c r="B13">
        <v>131.30926500000001</v>
      </c>
      <c r="C13">
        <v>332.91735799999998</v>
      </c>
      <c r="D13">
        <v>2.1549939999999999</v>
      </c>
      <c r="E13">
        <v>0.49047299999999999</v>
      </c>
      <c r="F13">
        <v>502.76123000000001</v>
      </c>
      <c r="G13">
        <v>2.3207490000000002</v>
      </c>
      <c r="H13">
        <v>2.493179</v>
      </c>
      <c r="I13">
        <v>2.656066</v>
      </c>
      <c r="J13">
        <v>0</v>
      </c>
      <c r="K13">
        <v>977.10333300000002</v>
      </c>
    </row>
    <row r="14" spans="1:11">
      <c r="A14">
        <v>2042</v>
      </c>
      <c r="B14">
        <v>144.83325199999999</v>
      </c>
      <c r="C14">
        <v>335.44134500000001</v>
      </c>
      <c r="D14">
        <v>2.0971380000000002</v>
      </c>
      <c r="E14">
        <v>0.49220199999999997</v>
      </c>
      <c r="F14">
        <v>489.26348899999999</v>
      </c>
      <c r="G14">
        <v>2.2584430000000002</v>
      </c>
      <c r="H14">
        <v>2.4262440000000001</v>
      </c>
      <c r="I14">
        <v>2.5847579999999999</v>
      </c>
      <c r="J14">
        <v>0</v>
      </c>
      <c r="K14">
        <v>979.39685099999997</v>
      </c>
    </row>
    <row r="15" spans="1:11">
      <c r="A15">
        <v>2041</v>
      </c>
      <c r="B15">
        <v>158.02543600000001</v>
      </c>
      <c r="C15">
        <v>336.600525</v>
      </c>
      <c r="D15">
        <v>2.0353520000000001</v>
      </c>
      <c r="E15">
        <v>0.49284299999999998</v>
      </c>
      <c r="F15">
        <v>474.84887700000002</v>
      </c>
      <c r="G15">
        <v>2.1919050000000002</v>
      </c>
      <c r="H15">
        <v>2.3547630000000002</v>
      </c>
      <c r="I15">
        <v>2.5086059999999999</v>
      </c>
      <c r="J15">
        <v>0</v>
      </c>
      <c r="K15">
        <v>979.05828899999995</v>
      </c>
    </row>
    <row r="16" spans="1:11">
      <c r="A16">
        <v>2040</v>
      </c>
      <c r="B16">
        <v>171.80561800000001</v>
      </c>
      <c r="C16">
        <v>337.33624300000002</v>
      </c>
      <c r="D16">
        <v>1.977708</v>
      </c>
      <c r="E16">
        <v>0.49430800000000003</v>
      </c>
      <c r="F16">
        <v>461.40045199999997</v>
      </c>
      <c r="G16">
        <v>2.1298270000000001</v>
      </c>
      <c r="H16">
        <v>2.2880720000000001</v>
      </c>
      <c r="I16">
        <v>2.4375589999999998</v>
      </c>
      <c r="J16">
        <v>0</v>
      </c>
      <c r="K16">
        <v>979.86975099999995</v>
      </c>
    </row>
    <row r="17" spans="1:11">
      <c r="A17">
        <v>2039</v>
      </c>
      <c r="B17">
        <v>186.04432700000001</v>
      </c>
      <c r="C17">
        <v>337.47348</v>
      </c>
      <c r="D17">
        <v>1.9226080000000001</v>
      </c>
      <c r="E17">
        <v>0.496506</v>
      </c>
      <c r="F17">
        <v>448.545502</v>
      </c>
      <c r="G17">
        <v>2.0704880000000001</v>
      </c>
      <c r="H17">
        <v>2.2243240000000002</v>
      </c>
      <c r="I17">
        <v>2.3696470000000001</v>
      </c>
      <c r="J17">
        <v>0</v>
      </c>
      <c r="K17">
        <v>981.14685099999997</v>
      </c>
    </row>
    <row r="18" spans="1:11">
      <c r="A18">
        <v>2038</v>
      </c>
      <c r="B18">
        <v>199.508972</v>
      </c>
      <c r="C18">
        <v>336.64590500000003</v>
      </c>
      <c r="D18">
        <v>1.86426</v>
      </c>
      <c r="E18">
        <v>0.49760399999999999</v>
      </c>
      <c r="F18">
        <v>434.93289199999998</v>
      </c>
      <c r="G18">
        <v>2.0076529999999999</v>
      </c>
      <c r="H18">
        <v>2.1568200000000002</v>
      </c>
      <c r="I18">
        <v>2.2977319999999999</v>
      </c>
      <c r="J18">
        <v>0</v>
      </c>
      <c r="K18">
        <v>979.91186500000003</v>
      </c>
    </row>
    <row r="19" spans="1:11">
      <c r="A19">
        <v>2037</v>
      </c>
      <c r="B19">
        <v>210.32974200000001</v>
      </c>
      <c r="C19">
        <v>337.62747200000001</v>
      </c>
      <c r="D19">
        <v>1.8063149999999999</v>
      </c>
      <c r="E19">
        <v>0.498529</v>
      </c>
      <c r="F19">
        <v>421.41424599999999</v>
      </c>
      <c r="G19">
        <v>1.9452510000000001</v>
      </c>
      <c r="H19">
        <v>2.089782</v>
      </c>
      <c r="I19">
        <v>2.2263130000000002</v>
      </c>
      <c r="J19">
        <v>0</v>
      </c>
      <c r="K19">
        <v>977.93768299999999</v>
      </c>
    </row>
    <row r="20" spans="1:11">
      <c r="A20">
        <v>2036</v>
      </c>
      <c r="B20">
        <v>218.55239900000001</v>
      </c>
      <c r="C20">
        <v>344.63082900000001</v>
      </c>
      <c r="D20">
        <v>1.7622119999999999</v>
      </c>
      <c r="E20">
        <v>0.50331899999999996</v>
      </c>
      <c r="F20">
        <v>411.125092</v>
      </c>
      <c r="G20">
        <v>1.897756</v>
      </c>
      <c r="H20">
        <v>2.0387580000000001</v>
      </c>
      <c r="I20">
        <v>2.1719560000000002</v>
      </c>
      <c r="J20">
        <v>0</v>
      </c>
      <c r="K20">
        <v>982.68225099999995</v>
      </c>
    </row>
    <row r="21" spans="1:11">
      <c r="A21">
        <v>2035</v>
      </c>
      <c r="B21">
        <v>228.78547699999999</v>
      </c>
      <c r="C21">
        <v>348.27847300000002</v>
      </c>
      <c r="D21">
        <v>1.7158800000000001</v>
      </c>
      <c r="E21">
        <v>0.50743000000000005</v>
      </c>
      <c r="F21">
        <v>400.31573500000002</v>
      </c>
      <c r="G21">
        <v>1.8478600000000001</v>
      </c>
      <c r="H21">
        <v>1.985155</v>
      </c>
      <c r="I21">
        <v>2.1148509999999998</v>
      </c>
      <c r="J21">
        <v>0</v>
      </c>
      <c r="K21">
        <v>985.55090299999995</v>
      </c>
    </row>
    <row r="22" spans="1:11">
      <c r="A22">
        <v>2034</v>
      </c>
      <c r="B22">
        <v>236.77565000000001</v>
      </c>
      <c r="C22">
        <v>349.21078499999999</v>
      </c>
      <c r="D22">
        <v>1.657538</v>
      </c>
      <c r="E22">
        <v>0.50814300000000001</v>
      </c>
      <c r="F22">
        <v>386.70461999999998</v>
      </c>
      <c r="G22">
        <v>1.785031</v>
      </c>
      <c r="H22">
        <v>1.9176569999999999</v>
      </c>
      <c r="I22">
        <v>2.0429439999999999</v>
      </c>
      <c r="J22">
        <v>0</v>
      </c>
      <c r="K22">
        <v>980.60241699999995</v>
      </c>
    </row>
    <row r="23" spans="1:11">
      <c r="A23">
        <v>2033</v>
      </c>
      <c r="B23">
        <v>244.811722</v>
      </c>
      <c r="C23">
        <v>351.04898100000003</v>
      </c>
      <c r="D23">
        <v>1.604949</v>
      </c>
      <c r="E23">
        <v>0.51067099999999999</v>
      </c>
      <c r="F23">
        <v>374.43545499999999</v>
      </c>
      <c r="G23">
        <v>1.728396</v>
      </c>
      <c r="H23">
        <v>1.8568150000000001</v>
      </c>
      <c r="I23">
        <v>1.9781260000000001</v>
      </c>
      <c r="J23">
        <v>0</v>
      </c>
      <c r="K23">
        <v>977.975098</v>
      </c>
    </row>
    <row r="24" spans="1:11">
      <c r="A24">
        <v>2032</v>
      </c>
      <c r="B24">
        <v>250.27235400000001</v>
      </c>
      <c r="C24">
        <v>355.40701300000001</v>
      </c>
      <c r="D24">
        <v>1.5548869999999999</v>
      </c>
      <c r="E24">
        <v>0.51392700000000002</v>
      </c>
      <c r="F24">
        <v>362.756012</v>
      </c>
      <c r="G24">
        <v>1.6744840000000001</v>
      </c>
      <c r="H24">
        <v>1.798897</v>
      </c>
      <c r="I24">
        <v>1.9164239999999999</v>
      </c>
      <c r="J24">
        <v>0</v>
      </c>
      <c r="K24">
        <v>975.89404300000001</v>
      </c>
    </row>
    <row r="25" spans="1:11">
      <c r="A25">
        <v>2031</v>
      </c>
      <c r="B25">
        <v>256.645355</v>
      </c>
      <c r="C25">
        <v>357.63510100000002</v>
      </c>
      <c r="D25">
        <v>1.5043040000000001</v>
      </c>
      <c r="E25">
        <v>0.51693299999999998</v>
      </c>
      <c r="F25">
        <v>350.95504799999998</v>
      </c>
      <c r="G25">
        <v>1.6200110000000001</v>
      </c>
      <c r="H25">
        <v>1.7403770000000001</v>
      </c>
      <c r="I25">
        <v>1.8540810000000001</v>
      </c>
      <c r="J25">
        <v>0</v>
      </c>
      <c r="K25">
        <v>972.47125200000005</v>
      </c>
    </row>
    <row r="26" spans="1:11">
      <c r="A26">
        <v>2030</v>
      </c>
      <c r="B26">
        <v>262.66973899999999</v>
      </c>
      <c r="C26">
        <v>360.65728799999999</v>
      </c>
      <c r="D26">
        <v>1.4582569999999999</v>
      </c>
      <c r="E26">
        <v>0.52147699999999997</v>
      </c>
      <c r="F26">
        <v>340.62298600000003</v>
      </c>
      <c r="G26">
        <v>1.570422</v>
      </c>
      <c r="H26">
        <v>1.687103</v>
      </c>
      <c r="I26">
        <v>1.797326</v>
      </c>
      <c r="J26">
        <v>0</v>
      </c>
      <c r="K26">
        <v>970.98468000000003</v>
      </c>
    </row>
    <row r="27" spans="1:11">
      <c r="A27">
        <v>2029</v>
      </c>
      <c r="B27">
        <v>270.68841600000002</v>
      </c>
      <c r="C27">
        <v>369.00195300000001</v>
      </c>
      <c r="D27">
        <v>1.430736</v>
      </c>
      <c r="E27">
        <v>0.53297399999999995</v>
      </c>
      <c r="F27">
        <v>334.625854</v>
      </c>
      <c r="G27">
        <v>1.5407839999999999</v>
      </c>
      <c r="H27">
        <v>1.6552629999999999</v>
      </c>
      <c r="I27">
        <v>1.763406</v>
      </c>
      <c r="J27">
        <v>0</v>
      </c>
      <c r="K27">
        <v>981.23956299999998</v>
      </c>
    </row>
    <row r="28" spans="1:11">
      <c r="A28">
        <v>2028</v>
      </c>
      <c r="B28">
        <v>271.92001299999998</v>
      </c>
      <c r="C28">
        <v>367.16564899999997</v>
      </c>
      <c r="D28">
        <v>1.367756</v>
      </c>
      <c r="E28">
        <v>0.53148200000000001</v>
      </c>
      <c r="F28">
        <v>320.46148699999998</v>
      </c>
      <c r="G28">
        <v>1.47296</v>
      </c>
      <c r="H28">
        <v>1.5824</v>
      </c>
      <c r="I28">
        <v>1.685783</v>
      </c>
      <c r="J28">
        <v>0</v>
      </c>
      <c r="K28">
        <v>966.18756099999996</v>
      </c>
    </row>
    <row r="29" spans="1:11">
      <c r="A29">
        <v>2027</v>
      </c>
      <c r="B29">
        <v>269.96063199999998</v>
      </c>
      <c r="C29">
        <v>368.80770899999999</v>
      </c>
      <c r="D29">
        <v>1.310783</v>
      </c>
      <c r="E29">
        <v>0.53358700000000003</v>
      </c>
      <c r="F29">
        <v>308.562927</v>
      </c>
      <c r="G29">
        <v>1.4116040000000001</v>
      </c>
      <c r="H29">
        <v>1.5164850000000001</v>
      </c>
      <c r="I29">
        <v>1.6155619999999999</v>
      </c>
      <c r="J29">
        <v>0</v>
      </c>
      <c r="K29">
        <v>953.71936000000005</v>
      </c>
    </row>
    <row r="30" spans="1:11">
      <c r="A30">
        <v>2026</v>
      </c>
      <c r="B30">
        <v>273.16470299999997</v>
      </c>
      <c r="C30">
        <v>377.43167099999999</v>
      </c>
      <c r="D30">
        <v>1.2895080000000001</v>
      </c>
      <c r="E30">
        <v>0.55846799999999996</v>
      </c>
      <c r="F30">
        <v>309.47274800000002</v>
      </c>
      <c r="G30">
        <v>1.388693</v>
      </c>
      <c r="H30">
        <v>1.4918720000000001</v>
      </c>
      <c r="I30">
        <v>1.58934</v>
      </c>
      <c r="J30">
        <v>0</v>
      </c>
      <c r="K30">
        <v>966.38690199999996</v>
      </c>
    </row>
    <row r="31" spans="1:11">
      <c r="A31">
        <v>2025</v>
      </c>
      <c r="B31">
        <v>268.64215100000001</v>
      </c>
      <c r="C31">
        <v>378.94164999999998</v>
      </c>
      <c r="D31">
        <v>1.2498549999999999</v>
      </c>
      <c r="E31">
        <v>0.58546100000000001</v>
      </c>
      <c r="F31">
        <v>311.01882899999998</v>
      </c>
      <c r="G31">
        <v>1.34599</v>
      </c>
      <c r="H31">
        <v>1.4459960000000001</v>
      </c>
      <c r="I31">
        <v>1.5404679999999999</v>
      </c>
      <c r="J31">
        <v>0</v>
      </c>
      <c r="K31">
        <v>964.77038600000003</v>
      </c>
    </row>
    <row r="32" spans="1:11">
      <c r="A32">
        <v>2024</v>
      </c>
      <c r="B32">
        <v>256.30319200000002</v>
      </c>
      <c r="C32">
        <v>370.47814899999997</v>
      </c>
      <c r="D32">
        <v>1.18303</v>
      </c>
      <c r="E32">
        <v>0.60292599999999996</v>
      </c>
      <c r="F32">
        <v>307.91522200000003</v>
      </c>
      <c r="G32">
        <v>1.274025</v>
      </c>
      <c r="H32">
        <v>1.368684</v>
      </c>
      <c r="I32">
        <v>1.458105</v>
      </c>
      <c r="J32">
        <v>0</v>
      </c>
      <c r="K32">
        <v>940.58337400000005</v>
      </c>
    </row>
    <row r="33" spans="1:11">
      <c r="A33">
        <v>2023</v>
      </c>
      <c r="B33">
        <v>241.69340500000001</v>
      </c>
      <c r="C33">
        <v>356.18954500000001</v>
      </c>
      <c r="D33">
        <v>1.107456</v>
      </c>
      <c r="E33">
        <v>0.61705100000000002</v>
      </c>
      <c r="F33">
        <v>303.46545400000002</v>
      </c>
      <c r="G33">
        <v>1.1926380000000001</v>
      </c>
      <c r="H33">
        <v>1.28125</v>
      </c>
      <c r="I33">
        <v>1.3649579999999999</v>
      </c>
      <c r="J33">
        <v>0</v>
      </c>
      <c r="K33">
        <v>906.911743</v>
      </c>
    </row>
    <row r="34" spans="1:11">
      <c r="A34">
        <v>2022</v>
      </c>
      <c r="B34">
        <v>229.101303</v>
      </c>
      <c r="C34">
        <v>341.420502</v>
      </c>
      <c r="D34">
        <v>1.0420659999999999</v>
      </c>
      <c r="E34">
        <v>0.63706600000000002</v>
      </c>
      <c r="F34">
        <v>303.149292</v>
      </c>
      <c r="G34">
        <v>1.124236</v>
      </c>
      <c r="H34">
        <v>1.2055990000000001</v>
      </c>
      <c r="I34">
        <v>1.2843640000000001</v>
      </c>
      <c r="J34">
        <v>0</v>
      </c>
      <c r="K34">
        <v>878.96453899999995</v>
      </c>
    </row>
    <row r="35" spans="1:11">
      <c r="A35">
        <v>2021</v>
      </c>
      <c r="B35">
        <v>209.25556900000001</v>
      </c>
      <c r="C35">
        <v>316.24591099999998</v>
      </c>
      <c r="D35">
        <v>0.94705799999999996</v>
      </c>
      <c r="E35">
        <v>0.63694700000000004</v>
      </c>
      <c r="F35">
        <v>292.40875199999999</v>
      </c>
      <c r="G35">
        <v>1.0340469999999999</v>
      </c>
      <c r="H35">
        <v>1.0956809999999999</v>
      </c>
      <c r="I35">
        <v>1.167265</v>
      </c>
      <c r="J35">
        <v>0</v>
      </c>
      <c r="K35">
        <v>822.79125999999997</v>
      </c>
    </row>
    <row r="36" spans="1:11">
      <c r="A36">
        <v>2020</v>
      </c>
      <c r="B36">
        <v>180.749008</v>
      </c>
      <c r="C36">
        <v>276.82663000000002</v>
      </c>
      <c r="D36">
        <v>0.81437199999999998</v>
      </c>
      <c r="E36">
        <v>0.60410600000000003</v>
      </c>
      <c r="F36">
        <v>266.90481599999998</v>
      </c>
      <c r="G36">
        <v>0.89579500000000001</v>
      </c>
      <c r="H36">
        <v>0.94217200000000001</v>
      </c>
      <c r="I36">
        <v>1.003727</v>
      </c>
      <c r="J36">
        <v>0</v>
      </c>
      <c r="K36">
        <v>728.74066200000004</v>
      </c>
    </row>
    <row r="37" spans="1:11">
      <c r="A37">
        <v>2019</v>
      </c>
    </row>
  </sheetData>
  <phoneticPr fontId="5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195"/>
  <sheetViews>
    <sheetView topLeftCell="A19" workbookViewId="0"/>
  </sheetViews>
  <sheetFormatPr defaultRowHeight="14.95" customHeight="1"/>
  <cols>
    <col min="1" max="1" width="19.375" style="40" customWidth="1"/>
  </cols>
  <sheetData>
    <row r="1" spans="1:39" ht="14.95" customHeight="1" thickBot="1">
      <c r="A1" s="40" t="s">
        <v>1343</v>
      </c>
      <c r="B1" s="53"/>
      <c r="C1" s="53"/>
      <c r="D1" s="53"/>
      <c r="E1" s="53"/>
      <c r="F1" s="53">
        <v>2020</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c r="AL1" s="21"/>
    </row>
    <row r="2" spans="1:39" ht="14.95" customHeight="1" thickTop="1"/>
    <row r="10" spans="1:39" ht="14.95" customHeight="1">
      <c r="A10" s="110" t="s">
        <v>290</v>
      </c>
      <c r="B10" t="s">
        <v>1797</v>
      </c>
    </row>
    <row r="11" spans="1:39" ht="14.95" customHeight="1">
      <c r="B11" t="s">
        <v>1798</v>
      </c>
    </row>
    <row r="12" spans="1:39" ht="14.95" customHeight="1">
      <c r="B12" t="s">
        <v>1799</v>
      </c>
      <c r="AL12" s="5"/>
      <c r="AM12" s="5"/>
    </row>
    <row r="13" spans="1:39" ht="14.95" customHeight="1" thickBot="1">
      <c r="B13" t="s">
        <v>1194</v>
      </c>
      <c r="AL13" s="21"/>
      <c r="AM13" s="21"/>
    </row>
    <row r="14" spans="1:39" ht="14.95" customHeight="1" thickTop="1">
      <c r="C14" t="s">
        <v>1195</v>
      </c>
      <c r="D14" t="s">
        <v>1284</v>
      </c>
      <c r="E14" t="s">
        <v>1285</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1286</v>
      </c>
    </row>
    <row r="15" spans="1:39" ht="14.95" customHeight="1">
      <c r="A15" s="110" t="s">
        <v>289</v>
      </c>
      <c r="B15" t="s">
        <v>288</v>
      </c>
      <c r="C15" t="s">
        <v>1839</v>
      </c>
      <c r="D15" t="s">
        <v>1840</v>
      </c>
      <c r="E15" t="s">
        <v>1841</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108">
        <v>2.1000000000000001E-2</v>
      </c>
      <c r="AL15" s="33"/>
      <c r="AM15" s="30"/>
    </row>
    <row r="16" spans="1:39" ht="14.95" customHeight="1">
      <c r="A16" s="110"/>
      <c r="B16" t="s">
        <v>287</v>
      </c>
      <c r="D16" t="s">
        <v>1842</v>
      </c>
    </row>
    <row r="17" spans="1:39" ht="14.95" customHeight="1">
      <c r="A17" s="110" t="s">
        <v>286</v>
      </c>
      <c r="B17" t="s">
        <v>1800</v>
      </c>
      <c r="C17" t="s">
        <v>1843</v>
      </c>
      <c r="D17" t="s">
        <v>1844</v>
      </c>
      <c r="E17" t="s">
        <v>1845</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108">
        <v>1.4999999999999999E-2</v>
      </c>
      <c r="AL17" s="27"/>
      <c r="AM17" s="26"/>
    </row>
    <row r="18" spans="1:39" ht="14.95" customHeight="1">
      <c r="A18" s="110" t="s">
        <v>285</v>
      </c>
      <c r="B18" t="s">
        <v>1801</v>
      </c>
      <c r="C18" t="s">
        <v>1846</v>
      </c>
      <c r="D18" t="s">
        <v>1847</v>
      </c>
      <c r="E18" t="s">
        <v>1845</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108">
        <v>1.6E-2</v>
      </c>
      <c r="AL18" s="27"/>
      <c r="AM18" s="26"/>
    </row>
    <row r="19" spans="1:39" ht="14.95" customHeight="1">
      <c r="A19" s="110" t="s">
        <v>284</v>
      </c>
      <c r="B19" t="s">
        <v>1802</v>
      </c>
      <c r="C19" t="s">
        <v>1848</v>
      </c>
      <c r="D19" t="s">
        <v>1849</v>
      </c>
      <c r="E19" t="s">
        <v>1845</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108">
        <v>1.6E-2</v>
      </c>
      <c r="AL19" s="27"/>
      <c r="AM19" s="26"/>
    </row>
    <row r="20" spans="1:39" ht="14.95" customHeight="1">
      <c r="A20" s="110"/>
      <c r="B20" t="s">
        <v>283</v>
      </c>
      <c r="D20" t="s">
        <v>1850</v>
      </c>
    </row>
    <row r="21" spans="1:39" ht="14.95" customHeight="1">
      <c r="A21" s="110" t="s">
        <v>282</v>
      </c>
      <c r="B21" t="s">
        <v>1803</v>
      </c>
      <c r="C21" t="s">
        <v>1851</v>
      </c>
      <c r="D21" t="s">
        <v>1852</v>
      </c>
      <c r="E21" t="s">
        <v>1853</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108">
        <v>1.4E-2</v>
      </c>
      <c r="AL21" s="28"/>
      <c r="AM21" s="26"/>
    </row>
    <row r="22" spans="1:39" ht="14.95" customHeight="1">
      <c r="A22" s="110" t="s">
        <v>281</v>
      </c>
      <c r="B22" t="s">
        <v>1804</v>
      </c>
      <c r="C22" t="s">
        <v>1854</v>
      </c>
      <c r="D22" t="s">
        <v>1855</v>
      </c>
      <c r="E22" t="s">
        <v>1853</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108">
        <v>7.0000000000000001E-3</v>
      </c>
      <c r="AL22" s="28"/>
      <c r="AM22" s="26"/>
    </row>
    <row r="23" spans="1:39" ht="14.95" customHeight="1">
      <c r="A23" s="110"/>
      <c r="B23" t="s">
        <v>280</v>
      </c>
      <c r="D23" t="s">
        <v>1856</v>
      </c>
    </row>
    <row r="24" spans="1:39" ht="14.95" customHeight="1">
      <c r="A24" s="110"/>
      <c r="B24" t="s">
        <v>1805</v>
      </c>
      <c r="D24" t="s">
        <v>1857</v>
      </c>
    </row>
    <row r="25" spans="1:39" ht="14.95" customHeight="1">
      <c r="A25" s="110" t="s">
        <v>279</v>
      </c>
      <c r="B25" t="s">
        <v>1806</v>
      </c>
      <c r="C25" t="s">
        <v>1858</v>
      </c>
      <c r="D25" t="s">
        <v>1859</v>
      </c>
      <c r="E25" t="s">
        <v>1860</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108">
        <v>5.0000000000000001E-3</v>
      </c>
      <c r="AL25" s="25"/>
      <c r="AM25" s="26"/>
    </row>
    <row r="26" spans="1:39" ht="14.95" customHeight="1">
      <c r="A26" s="110" t="s">
        <v>278</v>
      </c>
      <c r="B26" t="s">
        <v>1807</v>
      </c>
      <c r="C26" t="s">
        <v>1861</v>
      </c>
      <c r="D26" t="s">
        <v>1862</v>
      </c>
      <c r="E26" t="s">
        <v>1860</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108">
        <v>8.0000000000000002E-3</v>
      </c>
      <c r="AL26" s="25"/>
      <c r="AM26" s="26"/>
    </row>
    <row r="27" spans="1:39" ht="14.95" customHeight="1">
      <c r="A27" s="110" t="s">
        <v>277</v>
      </c>
      <c r="B27" t="s">
        <v>1808</v>
      </c>
      <c r="C27" t="s">
        <v>1863</v>
      </c>
      <c r="D27" t="s">
        <v>1864</v>
      </c>
      <c r="E27" t="s">
        <v>1860</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108">
        <v>6.0000000000000001E-3</v>
      </c>
      <c r="AL27" s="25"/>
      <c r="AM27" s="26"/>
    </row>
    <row r="28" spans="1:39" ht="14.95" customHeight="1">
      <c r="A28" s="110" t="s">
        <v>276</v>
      </c>
      <c r="B28" t="s">
        <v>1809</v>
      </c>
      <c r="C28" t="s">
        <v>1865</v>
      </c>
      <c r="D28" t="s">
        <v>1866</v>
      </c>
      <c r="E28" t="s">
        <v>1860</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108">
        <v>4.0000000000000001E-3</v>
      </c>
      <c r="AL28" s="25"/>
      <c r="AM28" s="26"/>
    </row>
    <row r="29" spans="1:39" ht="14.95" customHeight="1">
      <c r="A29" s="110" t="s">
        <v>275</v>
      </c>
      <c r="B29" t="s">
        <v>1810</v>
      </c>
      <c r="C29" t="s">
        <v>1867</v>
      </c>
      <c r="D29" t="s">
        <v>1868</v>
      </c>
      <c r="E29" t="s">
        <v>1860</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108">
        <v>1E-3</v>
      </c>
      <c r="AL29" s="25"/>
      <c r="AM29" s="26"/>
    </row>
    <row r="30" spans="1:39" ht="14.95" customHeight="1">
      <c r="A30" s="110" t="s">
        <v>274</v>
      </c>
      <c r="B30" t="s">
        <v>1811</v>
      </c>
      <c r="C30" t="s">
        <v>1869</v>
      </c>
      <c r="D30" t="s">
        <v>1870</v>
      </c>
      <c r="E30" t="s">
        <v>1860</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108">
        <v>2.1000000000000001E-2</v>
      </c>
      <c r="AL30" s="25"/>
      <c r="AM30" s="26"/>
    </row>
    <row r="31" spans="1:39" ht="14.95" customHeight="1">
      <c r="A31" s="110" t="s">
        <v>273</v>
      </c>
      <c r="B31" t="s">
        <v>1812</v>
      </c>
      <c r="C31" t="s">
        <v>1871</v>
      </c>
      <c r="D31" t="s">
        <v>1872</v>
      </c>
      <c r="E31" t="s">
        <v>1860</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108">
        <v>1.2999999999999999E-2</v>
      </c>
      <c r="AL31" s="25"/>
      <c r="AM31" s="26"/>
    </row>
    <row r="32" spans="1:39" ht="14.95" customHeight="1">
      <c r="A32" s="110" t="s">
        <v>272</v>
      </c>
      <c r="B32" t="s">
        <v>1813</v>
      </c>
      <c r="C32" t="s">
        <v>1873</v>
      </c>
      <c r="D32" t="s">
        <v>1874</v>
      </c>
      <c r="E32" t="s">
        <v>1860</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108">
        <v>1E-3</v>
      </c>
      <c r="AL32" s="25"/>
      <c r="AM32" s="26"/>
    </row>
    <row r="33" spans="1:39" ht="14.95" customHeight="1">
      <c r="A33" s="110" t="s">
        <v>271</v>
      </c>
      <c r="B33" t="s">
        <v>1814</v>
      </c>
      <c r="C33" t="s">
        <v>1875</v>
      </c>
      <c r="D33" t="s">
        <v>1876</v>
      </c>
      <c r="E33" t="s">
        <v>1860</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108">
        <v>-1E-3</v>
      </c>
      <c r="AL33" s="25"/>
      <c r="AM33" s="26"/>
    </row>
    <row r="34" spans="1:39" ht="14.95" customHeight="1">
      <c r="A34" s="110" t="s">
        <v>270</v>
      </c>
      <c r="B34" t="s">
        <v>1815</v>
      </c>
      <c r="C34" t="s">
        <v>1877</v>
      </c>
      <c r="D34" t="s">
        <v>1878</v>
      </c>
      <c r="E34" t="s">
        <v>1860</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108">
        <v>-4.0000000000000001E-3</v>
      </c>
      <c r="AL34" s="25"/>
      <c r="AM34" s="26"/>
    </row>
    <row r="35" spans="1:39" ht="14.95" customHeight="1">
      <c r="A35" s="110" t="s">
        <v>269</v>
      </c>
      <c r="B35" t="s">
        <v>1816</v>
      </c>
      <c r="C35" t="s">
        <v>1879</v>
      </c>
      <c r="D35" t="s">
        <v>1880</v>
      </c>
      <c r="E35" t="s">
        <v>1860</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108">
        <v>5.0000000000000001E-3</v>
      </c>
      <c r="AL35" s="25"/>
      <c r="AM35" s="26"/>
    </row>
    <row r="36" spans="1:39" ht="14.95" customHeight="1">
      <c r="A36" s="110" t="s">
        <v>268</v>
      </c>
      <c r="B36" t="s">
        <v>1817</v>
      </c>
      <c r="C36" t="s">
        <v>1881</v>
      </c>
      <c r="D36" t="s">
        <v>1882</v>
      </c>
      <c r="E36" t="s">
        <v>1860</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108">
        <v>7.0000000000000001E-3</v>
      </c>
      <c r="AL36" s="25"/>
      <c r="AM36" s="26"/>
    </row>
    <row r="37" spans="1:39" ht="14.95" customHeight="1">
      <c r="A37" s="110" t="s">
        <v>267</v>
      </c>
      <c r="B37" t="s">
        <v>1818</v>
      </c>
      <c r="C37" t="s">
        <v>1883</v>
      </c>
      <c r="D37" t="s">
        <v>1884</v>
      </c>
      <c r="E37" t="s">
        <v>1860</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108">
        <v>1.2E-2</v>
      </c>
      <c r="AL37" s="25"/>
      <c r="AM37" s="26"/>
    </row>
    <row r="38" spans="1:39" ht="14.95" customHeight="1">
      <c r="A38" s="110"/>
      <c r="B38" t="s">
        <v>266</v>
      </c>
      <c r="D38" t="s">
        <v>1885</v>
      </c>
    </row>
    <row r="39" spans="1:39" ht="14.95" customHeight="1">
      <c r="A39" s="110"/>
      <c r="B39" t="s">
        <v>1819</v>
      </c>
      <c r="D39" t="s">
        <v>1886</v>
      </c>
    </row>
    <row r="40" spans="1:39" ht="14.95" customHeight="1">
      <c r="A40" s="110"/>
      <c r="B40" t="s">
        <v>1800</v>
      </c>
      <c r="D40" t="s">
        <v>1887</v>
      </c>
    </row>
    <row r="41" spans="1:39" ht="14.95" customHeight="1">
      <c r="A41" s="110" t="s">
        <v>265</v>
      </c>
      <c r="B41" t="s">
        <v>1806</v>
      </c>
      <c r="C41" t="s">
        <v>1888</v>
      </c>
      <c r="D41" t="s">
        <v>1889</v>
      </c>
      <c r="E41" t="s">
        <v>1890</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108">
        <v>4.1000000000000002E-2</v>
      </c>
      <c r="AL41" s="25"/>
      <c r="AM41" s="26"/>
    </row>
    <row r="42" spans="1:39" ht="14.95" customHeight="1">
      <c r="A42" s="110" t="s">
        <v>264</v>
      </c>
      <c r="B42" t="s">
        <v>1807</v>
      </c>
      <c r="C42" t="s">
        <v>1891</v>
      </c>
      <c r="D42" t="s">
        <v>1892</v>
      </c>
      <c r="E42" t="s">
        <v>1890</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108">
        <v>4.3999999999999997E-2</v>
      </c>
      <c r="AL42" s="25"/>
      <c r="AM42" s="26"/>
    </row>
    <row r="43" spans="1:39" ht="14.95" customHeight="1">
      <c r="A43" s="110" t="s">
        <v>263</v>
      </c>
      <c r="B43" t="s">
        <v>1808</v>
      </c>
      <c r="C43" t="s">
        <v>1893</v>
      </c>
      <c r="D43" t="s">
        <v>1894</v>
      </c>
      <c r="E43" t="s">
        <v>1890</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108">
        <v>4.5999999999999999E-2</v>
      </c>
      <c r="AL43" s="25"/>
      <c r="AM43" s="26"/>
    </row>
    <row r="44" spans="1:39" ht="14.95" customHeight="1">
      <c r="A44" s="110" t="s">
        <v>262</v>
      </c>
      <c r="B44" t="s">
        <v>1809</v>
      </c>
      <c r="C44" t="s">
        <v>1895</v>
      </c>
      <c r="D44" t="s">
        <v>1896</v>
      </c>
      <c r="E44" t="s">
        <v>1890</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108">
        <v>7.4999999999999997E-2</v>
      </c>
      <c r="AL44" s="25"/>
      <c r="AM44" s="26"/>
    </row>
    <row r="45" spans="1:39" ht="14.95" customHeight="1">
      <c r="A45" s="110" t="s">
        <v>261</v>
      </c>
      <c r="B45" t="s">
        <v>1810</v>
      </c>
      <c r="C45" t="s">
        <v>1897</v>
      </c>
      <c r="D45" t="s">
        <v>1898</v>
      </c>
      <c r="E45" t="s">
        <v>1890</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108">
        <v>5.2999999999999999E-2</v>
      </c>
      <c r="AL45" s="25"/>
      <c r="AM45" s="26"/>
    </row>
    <row r="46" spans="1:39" ht="14.95" customHeight="1">
      <c r="A46" s="110" t="s">
        <v>260</v>
      </c>
      <c r="B46" t="s">
        <v>1811</v>
      </c>
      <c r="C46" t="s">
        <v>1899</v>
      </c>
      <c r="D46" t="s">
        <v>1900</v>
      </c>
      <c r="E46" t="s">
        <v>1890</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108">
        <v>8.5000000000000006E-2</v>
      </c>
      <c r="AL46" s="25"/>
      <c r="AM46" s="26"/>
    </row>
    <row r="47" spans="1:39" ht="14.95" customHeight="1">
      <c r="A47" s="110" t="s">
        <v>259</v>
      </c>
      <c r="B47" t="s">
        <v>1812</v>
      </c>
      <c r="C47" t="s">
        <v>1901</v>
      </c>
      <c r="D47" t="s">
        <v>1902</v>
      </c>
      <c r="E47" t="s">
        <v>1890</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108">
        <v>6.0999999999999999E-2</v>
      </c>
      <c r="AL47" s="25"/>
      <c r="AM47" s="26"/>
    </row>
    <row r="48" spans="1:39" ht="14.95" customHeight="1">
      <c r="A48" s="110" t="s">
        <v>258</v>
      </c>
      <c r="B48" t="s">
        <v>1813</v>
      </c>
      <c r="C48" t="s">
        <v>1903</v>
      </c>
      <c r="D48" t="s">
        <v>1904</v>
      </c>
      <c r="E48" t="s">
        <v>1890</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108">
        <v>3.6999999999999998E-2</v>
      </c>
      <c r="AL48" s="25"/>
      <c r="AM48" s="26"/>
    </row>
    <row r="49" spans="1:39" ht="14.95" customHeight="1">
      <c r="A49" s="110" t="s">
        <v>257</v>
      </c>
      <c r="B49" t="s">
        <v>1814</v>
      </c>
      <c r="C49" t="s">
        <v>1905</v>
      </c>
      <c r="D49" t="s">
        <v>1906</v>
      </c>
      <c r="E49" t="s">
        <v>1890</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108">
        <v>5.5E-2</v>
      </c>
      <c r="AL49" s="25"/>
      <c r="AM49" s="26"/>
    </row>
    <row r="50" spans="1:39" ht="14.95" customHeight="1">
      <c r="A50" s="110" t="s">
        <v>256</v>
      </c>
      <c r="B50" t="s">
        <v>1815</v>
      </c>
      <c r="C50" t="s">
        <v>1907</v>
      </c>
      <c r="D50" t="s">
        <v>1908</v>
      </c>
      <c r="E50" t="s">
        <v>1890</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108">
        <v>3.2000000000000001E-2</v>
      </c>
      <c r="AL50" s="25"/>
      <c r="AM50" s="26"/>
    </row>
    <row r="51" spans="1:39" ht="14.95" customHeight="1">
      <c r="A51" s="110" t="s">
        <v>255</v>
      </c>
      <c r="B51" t="s">
        <v>1816</v>
      </c>
      <c r="C51" t="s">
        <v>1909</v>
      </c>
      <c r="D51" t="s">
        <v>1910</v>
      </c>
      <c r="E51" t="s">
        <v>1890</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108">
        <v>7.2999999999999995E-2</v>
      </c>
      <c r="AL51" s="25"/>
      <c r="AM51" s="26"/>
    </row>
    <row r="52" spans="1:39" ht="14.95" customHeight="1">
      <c r="A52" s="110" t="s">
        <v>254</v>
      </c>
      <c r="B52" t="s">
        <v>1817</v>
      </c>
      <c r="C52" t="s">
        <v>1911</v>
      </c>
      <c r="D52" t="s">
        <v>1912</v>
      </c>
      <c r="E52" t="s">
        <v>1890</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108">
        <v>8.5000000000000006E-2</v>
      </c>
      <c r="AL52" s="25"/>
      <c r="AM52" s="26"/>
    </row>
    <row r="53" spans="1:39" ht="14.95" customHeight="1">
      <c r="A53" s="110" t="s">
        <v>253</v>
      </c>
      <c r="B53" t="s">
        <v>1818</v>
      </c>
      <c r="C53" t="s">
        <v>1913</v>
      </c>
      <c r="D53" t="s">
        <v>1914</v>
      </c>
      <c r="E53" t="s">
        <v>1890</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108">
        <v>5.2999999999999999E-2</v>
      </c>
      <c r="AL53" s="25"/>
      <c r="AM53" s="26"/>
    </row>
    <row r="54" spans="1:39" ht="14.95" customHeight="1">
      <c r="A54" s="110"/>
      <c r="B54" t="s">
        <v>1801</v>
      </c>
      <c r="D54" t="s">
        <v>1915</v>
      </c>
    </row>
    <row r="55" spans="1:39" ht="14.95" customHeight="1">
      <c r="A55" s="110" t="s">
        <v>252</v>
      </c>
      <c r="B55" t="s">
        <v>1806</v>
      </c>
      <c r="C55" t="s">
        <v>1916</v>
      </c>
      <c r="D55" t="s">
        <v>1917</v>
      </c>
      <c r="E55" t="s">
        <v>1890</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108">
        <v>8.1000000000000003E-2</v>
      </c>
      <c r="AL55" s="25"/>
      <c r="AM55" s="26"/>
    </row>
    <row r="56" spans="1:39" ht="14.95" customHeight="1">
      <c r="A56" s="110" t="s">
        <v>251</v>
      </c>
      <c r="B56" t="s">
        <v>1807</v>
      </c>
      <c r="C56" t="s">
        <v>1918</v>
      </c>
      <c r="D56" t="s">
        <v>1919</v>
      </c>
      <c r="E56" t="s">
        <v>1890</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108">
        <v>8.5999999999999993E-2</v>
      </c>
      <c r="AL56" s="25"/>
      <c r="AM56" s="26"/>
    </row>
    <row r="57" spans="1:39" ht="14.95" customHeight="1">
      <c r="A57" s="110" t="s">
        <v>250</v>
      </c>
      <c r="B57" t="s">
        <v>1808</v>
      </c>
      <c r="C57" t="s">
        <v>1920</v>
      </c>
      <c r="D57" t="s">
        <v>1921</v>
      </c>
      <c r="E57" t="s">
        <v>1890</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108">
        <v>9.5000000000000001E-2</v>
      </c>
      <c r="AL57" s="25"/>
      <c r="AM57" s="26"/>
    </row>
    <row r="58" spans="1:39" ht="14.95" customHeight="1">
      <c r="A58" s="110" t="s">
        <v>249</v>
      </c>
      <c r="B58" t="s">
        <v>1809</v>
      </c>
      <c r="C58" t="s">
        <v>1922</v>
      </c>
      <c r="D58" t="s">
        <v>1923</v>
      </c>
      <c r="E58" t="s">
        <v>1890</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108">
        <v>9.9000000000000005E-2</v>
      </c>
      <c r="AL58" s="25"/>
      <c r="AM58" s="26"/>
    </row>
    <row r="59" spans="1:39" ht="14.95" customHeight="1">
      <c r="A59" s="110" t="s">
        <v>248</v>
      </c>
      <c r="B59" t="s">
        <v>1810</v>
      </c>
      <c r="C59" t="s">
        <v>1924</v>
      </c>
      <c r="D59" t="s">
        <v>1925</v>
      </c>
      <c r="E59" t="s">
        <v>1890</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108">
        <v>9.2999999999999999E-2</v>
      </c>
      <c r="AL59" s="25"/>
      <c r="AM59" s="26"/>
    </row>
    <row r="60" spans="1:39" ht="14.95" customHeight="1">
      <c r="A60" s="110" t="s">
        <v>247</v>
      </c>
      <c r="B60" t="s">
        <v>1811</v>
      </c>
      <c r="C60" t="s">
        <v>1926</v>
      </c>
      <c r="D60" t="s">
        <v>1927</v>
      </c>
      <c r="E60" t="s">
        <v>1890</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108">
        <v>0.105</v>
      </c>
      <c r="AL60" s="25"/>
      <c r="AM60" s="26"/>
    </row>
    <row r="61" spans="1:39" ht="14.95" customHeight="1">
      <c r="A61" s="110" t="s">
        <v>246</v>
      </c>
      <c r="B61" t="s">
        <v>1812</v>
      </c>
      <c r="C61" t="s">
        <v>1928</v>
      </c>
      <c r="D61" t="s">
        <v>1929</v>
      </c>
      <c r="E61" t="s">
        <v>1890</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108">
        <v>8.7999999999999995E-2</v>
      </c>
      <c r="AL61" s="25"/>
      <c r="AM61" s="26"/>
    </row>
    <row r="62" spans="1:39" ht="14.95" customHeight="1">
      <c r="A62" s="110" t="s">
        <v>245</v>
      </c>
      <c r="B62" t="s">
        <v>1813</v>
      </c>
      <c r="C62" t="s">
        <v>1930</v>
      </c>
      <c r="D62" t="s">
        <v>1931</v>
      </c>
      <c r="E62" t="s">
        <v>1890</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108">
        <v>9.1999999999999998E-2</v>
      </c>
      <c r="AL62" s="25"/>
      <c r="AM62" s="26"/>
    </row>
    <row r="63" spans="1:39" ht="14.95" customHeight="1">
      <c r="A63" s="110" t="s">
        <v>244</v>
      </c>
      <c r="B63" t="s">
        <v>1814</v>
      </c>
      <c r="C63" t="s">
        <v>1932</v>
      </c>
      <c r="D63" t="s">
        <v>1933</v>
      </c>
      <c r="E63" t="s">
        <v>1890</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108">
        <v>0.10100000000000001</v>
      </c>
      <c r="AL63" s="25"/>
      <c r="AM63" s="26"/>
    </row>
    <row r="64" spans="1:39" ht="14.95" customHeight="1">
      <c r="A64" s="110" t="s">
        <v>243</v>
      </c>
      <c r="B64" t="s">
        <v>1815</v>
      </c>
      <c r="C64" t="s">
        <v>1934</v>
      </c>
      <c r="D64" t="s">
        <v>1935</v>
      </c>
      <c r="E64" t="s">
        <v>1890</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108">
        <v>7.1999999999999995E-2</v>
      </c>
      <c r="AL64" s="25"/>
      <c r="AM64" s="26"/>
    </row>
    <row r="65" spans="1:39" ht="14.95" customHeight="1">
      <c r="A65" s="110" t="s">
        <v>242</v>
      </c>
      <c r="B65" t="s">
        <v>1816</v>
      </c>
      <c r="C65" t="s">
        <v>1936</v>
      </c>
      <c r="D65" t="s">
        <v>1937</v>
      </c>
      <c r="E65" t="s">
        <v>1890</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108">
        <v>0.123</v>
      </c>
      <c r="AL65" s="25"/>
      <c r="AM65" s="26"/>
    </row>
    <row r="66" spans="1:39" ht="14.95" customHeight="1">
      <c r="A66" s="110" t="s">
        <v>241</v>
      </c>
      <c r="B66" t="s">
        <v>1817</v>
      </c>
      <c r="C66" t="s">
        <v>1938</v>
      </c>
      <c r="D66" t="s">
        <v>1939</v>
      </c>
      <c r="E66" t="s">
        <v>1890</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108">
        <v>0.14000000000000001</v>
      </c>
      <c r="AL66" s="25"/>
      <c r="AM66" s="26"/>
    </row>
    <row r="67" spans="1:39" ht="14.95" customHeight="1">
      <c r="A67" s="110" t="s">
        <v>240</v>
      </c>
      <c r="B67" t="s">
        <v>1818</v>
      </c>
      <c r="C67" t="s">
        <v>1940</v>
      </c>
      <c r="D67" t="s">
        <v>1941</v>
      </c>
      <c r="E67" t="s">
        <v>1890</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108">
        <v>0.11899999999999999</v>
      </c>
      <c r="AL67" s="25"/>
      <c r="AM67" s="26"/>
    </row>
    <row r="68" spans="1:39" ht="14.95" customHeight="1">
      <c r="A68" s="110"/>
      <c r="B68" t="s">
        <v>1820</v>
      </c>
      <c r="D68" t="s">
        <v>1942</v>
      </c>
    </row>
    <row r="69" spans="1:39" ht="14.95" customHeight="1">
      <c r="A69" s="110" t="s">
        <v>239</v>
      </c>
      <c r="B69" t="s">
        <v>1806</v>
      </c>
      <c r="C69" t="s">
        <v>1943</v>
      </c>
      <c r="D69" t="s">
        <v>1944</v>
      </c>
      <c r="E69" t="s">
        <v>1890</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108">
        <v>2.3E-2</v>
      </c>
      <c r="AL69" s="27"/>
      <c r="AM69" s="26"/>
    </row>
    <row r="70" spans="1:39" ht="14.95" customHeight="1">
      <c r="A70" s="110" t="s">
        <v>238</v>
      </c>
      <c r="B70" t="s">
        <v>1807</v>
      </c>
      <c r="C70" t="s">
        <v>1945</v>
      </c>
      <c r="D70" t="s">
        <v>1946</v>
      </c>
      <c r="E70" t="s">
        <v>1890</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108">
        <v>1.6E-2</v>
      </c>
      <c r="AL70" s="27"/>
      <c r="AM70" s="26"/>
    </row>
    <row r="71" spans="1:39" ht="14.95" customHeight="1">
      <c r="A71" s="110" t="s">
        <v>237</v>
      </c>
      <c r="B71" t="s">
        <v>1808</v>
      </c>
      <c r="C71" t="s">
        <v>1947</v>
      </c>
      <c r="D71" t="s">
        <v>1948</v>
      </c>
      <c r="E71" t="s">
        <v>1890</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108">
        <v>3.2000000000000001E-2</v>
      </c>
      <c r="AL71" s="27"/>
      <c r="AM71" s="26"/>
    </row>
    <row r="72" spans="1:39" ht="14.95" customHeight="1">
      <c r="A72" s="110" t="s">
        <v>236</v>
      </c>
      <c r="B72" t="s">
        <v>1809</v>
      </c>
      <c r="C72" t="s">
        <v>1949</v>
      </c>
      <c r="D72" t="s">
        <v>1950</v>
      </c>
      <c r="E72" t="s">
        <v>1890</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108">
        <v>2.5000000000000001E-2</v>
      </c>
      <c r="AL72" s="27"/>
      <c r="AM72" s="26"/>
    </row>
    <row r="73" spans="1:39" ht="14.95" customHeight="1">
      <c r="A73" s="110" t="s">
        <v>235</v>
      </c>
      <c r="B73" t="s">
        <v>1810</v>
      </c>
      <c r="C73" t="s">
        <v>1951</v>
      </c>
      <c r="D73" t="s">
        <v>1952</v>
      </c>
      <c r="E73" t="s">
        <v>1890</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108">
        <v>1.7000000000000001E-2</v>
      </c>
      <c r="AL73" s="27"/>
      <c r="AM73" s="26"/>
    </row>
    <row r="74" spans="1:39" ht="14.95" customHeight="1">
      <c r="A74" s="110" t="s">
        <v>234</v>
      </c>
      <c r="B74" t="s">
        <v>1811</v>
      </c>
      <c r="C74" t="s">
        <v>1953</v>
      </c>
      <c r="D74" t="s">
        <v>1954</v>
      </c>
      <c r="E74" t="s">
        <v>1890</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108">
        <v>3.3000000000000002E-2</v>
      </c>
      <c r="AL74" s="27"/>
      <c r="AM74" s="26"/>
    </row>
    <row r="75" spans="1:39" ht="14.95" customHeight="1">
      <c r="A75" s="110" t="s">
        <v>233</v>
      </c>
      <c r="B75" t="s">
        <v>1812</v>
      </c>
      <c r="C75" t="s">
        <v>1955</v>
      </c>
      <c r="D75" t="s">
        <v>1956</v>
      </c>
      <c r="E75" t="s">
        <v>1890</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108">
        <v>2.8000000000000001E-2</v>
      </c>
      <c r="AL75" s="27"/>
      <c r="AM75" s="26"/>
    </row>
    <row r="76" spans="1:39" ht="14.95" customHeight="1">
      <c r="A76" s="110" t="s">
        <v>232</v>
      </c>
      <c r="B76" t="s">
        <v>1813</v>
      </c>
      <c r="C76" t="s">
        <v>1957</v>
      </c>
      <c r="D76" t="s">
        <v>1958</v>
      </c>
      <c r="E76" t="s">
        <v>1890</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108">
        <v>3.1E-2</v>
      </c>
      <c r="AL76" s="27"/>
      <c r="AM76" s="26"/>
    </row>
    <row r="77" spans="1:39" ht="14.95" customHeight="1">
      <c r="A77" s="110" t="s">
        <v>231</v>
      </c>
      <c r="B77" t="s">
        <v>1814</v>
      </c>
      <c r="C77" t="s">
        <v>1959</v>
      </c>
      <c r="D77" t="s">
        <v>1960</v>
      </c>
      <c r="E77" t="s">
        <v>1890</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108">
        <v>2.9000000000000001E-2</v>
      </c>
      <c r="AL77" s="27"/>
      <c r="AM77" s="26"/>
    </row>
    <row r="78" spans="1:39" ht="14.95" customHeight="1">
      <c r="A78" s="110" t="s">
        <v>230</v>
      </c>
      <c r="B78" t="s">
        <v>1815</v>
      </c>
      <c r="C78" t="s">
        <v>1961</v>
      </c>
      <c r="D78" t="s">
        <v>1962</v>
      </c>
      <c r="E78" t="s">
        <v>1890</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108">
        <v>1.6E-2</v>
      </c>
      <c r="AL78" s="27"/>
      <c r="AM78" s="26"/>
    </row>
    <row r="79" spans="1:39" ht="14.95" customHeight="1">
      <c r="A79" s="110" t="s">
        <v>229</v>
      </c>
      <c r="B79" t="s">
        <v>1816</v>
      </c>
      <c r="C79" t="s">
        <v>1963</v>
      </c>
      <c r="D79" t="s">
        <v>1964</v>
      </c>
      <c r="E79" t="s">
        <v>1890</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108">
        <v>2.9000000000000001E-2</v>
      </c>
      <c r="AL79" s="27"/>
      <c r="AM79" s="26"/>
    </row>
    <row r="80" spans="1:39" ht="14.95" customHeight="1">
      <c r="A80" s="110" t="s">
        <v>228</v>
      </c>
      <c r="B80" t="s">
        <v>1817</v>
      </c>
      <c r="C80" t="s">
        <v>1965</v>
      </c>
      <c r="D80" t="s">
        <v>1966</v>
      </c>
      <c r="E80" t="s">
        <v>1890</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108">
        <v>4.2000000000000003E-2</v>
      </c>
      <c r="AL80" s="27"/>
      <c r="AM80" s="26"/>
    </row>
    <row r="81" spans="1:39" ht="14.95" customHeight="1">
      <c r="A81" s="110" t="s">
        <v>227</v>
      </c>
      <c r="B81" t="s">
        <v>1818</v>
      </c>
      <c r="C81" t="s">
        <v>1967</v>
      </c>
      <c r="D81" t="s">
        <v>1968</v>
      </c>
      <c r="E81" t="s">
        <v>1890</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108">
        <v>3.6999999999999998E-2</v>
      </c>
      <c r="AL81" s="27"/>
      <c r="AM81" s="26"/>
    </row>
    <row r="82" spans="1:39" ht="14.95" customHeight="1">
      <c r="A82" s="110" t="s">
        <v>226</v>
      </c>
      <c r="B82" t="s">
        <v>153</v>
      </c>
      <c r="C82" t="s">
        <v>1969</v>
      </c>
      <c r="D82" t="s">
        <v>1970</v>
      </c>
      <c r="E82" t="s">
        <v>1890</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108">
        <v>2.4E-2</v>
      </c>
      <c r="AL82" s="27"/>
      <c r="AM82" s="26"/>
    </row>
    <row r="83" spans="1:39" ht="14.95" customHeight="1">
      <c r="A83" s="110"/>
      <c r="B83" t="s">
        <v>225</v>
      </c>
      <c r="D83" t="s">
        <v>1971</v>
      </c>
    </row>
    <row r="84" spans="1:39" ht="14.95" customHeight="1">
      <c r="A84" s="110" t="s">
        <v>224</v>
      </c>
      <c r="B84" t="s">
        <v>1806</v>
      </c>
      <c r="C84" t="s">
        <v>1972</v>
      </c>
      <c r="D84" t="s">
        <v>1973</v>
      </c>
      <c r="E84" t="s">
        <v>1890</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108">
        <v>3.7999999999999999E-2</v>
      </c>
      <c r="AL84" s="25"/>
      <c r="AM84" s="26"/>
    </row>
    <row r="85" spans="1:39" ht="14.95" customHeight="1">
      <c r="A85" s="110" t="s">
        <v>223</v>
      </c>
      <c r="B85" t="s">
        <v>1821</v>
      </c>
      <c r="C85" t="s">
        <v>1974</v>
      </c>
      <c r="D85" t="s">
        <v>1975</v>
      </c>
      <c r="E85" t="s">
        <v>1890</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108">
        <v>3.5000000000000003E-2</v>
      </c>
      <c r="AL85" s="25"/>
      <c r="AM85" s="26"/>
    </row>
    <row r="86" spans="1:39" ht="14.95" customHeight="1">
      <c r="A86" s="110" t="s">
        <v>222</v>
      </c>
      <c r="B86" t="s">
        <v>1822</v>
      </c>
      <c r="C86" t="s">
        <v>1976</v>
      </c>
      <c r="D86" t="s">
        <v>1977</v>
      </c>
      <c r="E86" t="s">
        <v>1890</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108">
        <v>6.0999999999999999E-2</v>
      </c>
      <c r="AL86" s="25"/>
      <c r="AM86" s="26"/>
    </row>
    <row r="87" spans="1:39" ht="14.95" customHeight="1">
      <c r="A87" s="110" t="s">
        <v>221</v>
      </c>
      <c r="B87" t="s">
        <v>1823</v>
      </c>
      <c r="C87" t="s">
        <v>1978</v>
      </c>
      <c r="D87" t="s">
        <v>1979</v>
      </c>
      <c r="E87" t="s">
        <v>1890</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108">
        <v>-4.0000000000000001E-3</v>
      </c>
      <c r="AL87" s="25"/>
      <c r="AM87" s="26"/>
    </row>
    <row r="88" spans="1:39" ht="14.95" customHeight="1">
      <c r="A88" s="110" t="s">
        <v>220</v>
      </c>
      <c r="B88" t="s">
        <v>1807</v>
      </c>
      <c r="C88" t="s">
        <v>1980</v>
      </c>
      <c r="D88" t="s">
        <v>1981</v>
      </c>
      <c r="E88" t="s">
        <v>1890</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108">
        <v>5.8000000000000003E-2</v>
      </c>
      <c r="AL88" s="25"/>
      <c r="AM88" s="26"/>
    </row>
    <row r="89" spans="1:39" ht="14.95" customHeight="1">
      <c r="A89" s="110" t="s">
        <v>219</v>
      </c>
      <c r="B89" t="s">
        <v>1808</v>
      </c>
      <c r="C89" t="s">
        <v>1982</v>
      </c>
      <c r="D89" t="s">
        <v>1983</v>
      </c>
      <c r="E89" t="s">
        <v>1890</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108">
        <v>6.8000000000000005E-2</v>
      </c>
      <c r="AL89" s="25"/>
      <c r="AM89" s="26"/>
    </row>
    <row r="90" spans="1:39" ht="14.95" customHeight="1">
      <c r="A90" s="110" t="s">
        <v>218</v>
      </c>
      <c r="B90" t="s">
        <v>1809</v>
      </c>
      <c r="C90" t="s">
        <v>1984</v>
      </c>
      <c r="D90" t="s">
        <v>1985</v>
      </c>
      <c r="E90" t="s">
        <v>1890</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108">
        <v>6.8000000000000005E-2</v>
      </c>
      <c r="AL90" s="25"/>
      <c r="AM90" s="26"/>
    </row>
    <row r="91" spans="1:39" ht="14.95" customHeight="1">
      <c r="A91" s="110" t="s">
        <v>217</v>
      </c>
      <c r="B91" t="s">
        <v>1810</v>
      </c>
      <c r="C91" t="s">
        <v>1986</v>
      </c>
      <c r="D91" t="s">
        <v>1987</v>
      </c>
      <c r="E91" t="s">
        <v>1890</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108">
        <v>5.3999999999999999E-2</v>
      </c>
      <c r="AL91" s="25"/>
      <c r="AM91" s="26"/>
    </row>
    <row r="92" spans="1:39" ht="14.95" customHeight="1">
      <c r="A92" s="110" t="s">
        <v>216</v>
      </c>
      <c r="B92" t="s">
        <v>1811</v>
      </c>
      <c r="C92" t="s">
        <v>1988</v>
      </c>
      <c r="D92" t="s">
        <v>1989</v>
      </c>
      <c r="E92" t="s">
        <v>1890</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108">
        <v>8.4000000000000005E-2</v>
      </c>
      <c r="AL92" s="25"/>
      <c r="AM92" s="26"/>
    </row>
    <row r="93" spans="1:39" ht="14.95" customHeight="1">
      <c r="A93" s="110" t="s">
        <v>215</v>
      </c>
      <c r="B93" t="s">
        <v>1812</v>
      </c>
      <c r="C93" t="s">
        <v>1990</v>
      </c>
      <c r="D93" t="s">
        <v>1991</v>
      </c>
      <c r="E93" t="s">
        <v>1890</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108">
        <v>7.0000000000000007E-2</v>
      </c>
      <c r="AL93" s="25"/>
      <c r="AM93" s="26"/>
    </row>
    <row r="94" spans="1:39" ht="14.95" customHeight="1">
      <c r="A94" s="110" t="s">
        <v>214</v>
      </c>
      <c r="B94" t="s">
        <v>1813</v>
      </c>
      <c r="C94" t="s">
        <v>1992</v>
      </c>
      <c r="D94" t="s">
        <v>1993</v>
      </c>
      <c r="E94" t="s">
        <v>1890</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108">
        <v>3.9E-2</v>
      </c>
      <c r="AL94" s="25"/>
      <c r="AM94" s="26"/>
    </row>
    <row r="95" spans="1:39" ht="14.95" customHeight="1">
      <c r="A95" s="110" t="s">
        <v>213</v>
      </c>
      <c r="B95" t="s">
        <v>1814</v>
      </c>
      <c r="C95" t="s">
        <v>1994</v>
      </c>
      <c r="D95" t="s">
        <v>1995</v>
      </c>
      <c r="E95" t="s">
        <v>1890</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108">
        <v>0.05</v>
      </c>
      <c r="AL95" s="25"/>
      <c r="AM95" s="26"/>
    </row>
    <row r="96" spans="1:39" ht="14.95" customHeight="1">
      <c r="A96" s="110" t="s">
        <v>212</v>
      </c>
      <c r="B96" t="s">
        <v>1815</v>
      </c>
      <c r="C96" t="s">
        <v>1996</v>
      </c>
      <c r="D96" t="s">
        <v>1997</v>
      </c>
      <c r="E96" t="s">
        <v>1890</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108">
        <v>4.2000000000000003E-2</v>
      </c>
      <c r="AL96" s="25"/>
      <c r="AM96" s="26"/>
    </row>
    <row r="97" spans="1:39" ht="14.95" customHeight="1">
      <c r="A97" s="110" t="s">
        <v>211</v>
      </c>
      <c r="B97" t="s">
        <v>1816</v>
      </c>
      <c r="C97" t="s">
        <v>1998</v>
      </c>
      <c r="D97" t="s">
        <v>1999</v>
      </c>
      <c r="E97" t="s">
        <v>1890</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108">
        <v>7.5999999999999998E-2</v>
      </c>
      <c r="AL97" s="25"/>
      <c r="AM97" s="26"/>
    </row>
    <row r="98" spans="1:39" ht="14.95" customHeight="1">
      <c r="A98" s="110" t="s">
        <v>210</v>
      </c>
      <c r="B98" t="s">
        <v>1817</v>
      </c>
      <c r="C98" t="s">
        <v>2000</v>
      </c>
      <c r="D98" t="s">
        <v>2001</v>
      </c>
      <c r="E98" t="s">
        <v>1890</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108">
        <v>8.5000000000000006E-2</v>
      </c>
      <c r="AL98" s="25"/>
      <c r="AM98" s="26"/>
    </row>
    <row r="99" spans="1:39" ht="14.95" customHeight="1">
      <c r="A99" s="110" t="s">
        <v>209</v>
      </c>
      <c r="B99" t="s">
        <v>1818</v>
      </c>
      <c r="C99" t="s">
        <v>2002</v>
      </c>
      <c r="D99" t="s">
        <v>2003</v>
      </c>
      <c r="E99" t="s">
        <v>1890</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108">
        <v>6.3E-2</v>
      </c>
      <c r="AL99" s="25"/>
      <c r="AM99" s="26"/>
    </row>
    <row r="100" spans="1:39" ht="14.95" customHeight="1">
      <c r="A100" s="110" t="s">
        <v>208</v>
      </c>
      <c r="B100" t="s">
        <v>153</v>
      </c>
      <c r="C100" t="s">
        <v>2004</v>
      </c>
      <c r="D100" t="s">
        <v>2005</v>
      </c>
      <c r="E100" t="s">
        <v>1890</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108">
        <v>5.6000000000000001E-2</v>
      </c>
      <c r="AL100" s="25"/>
      <c r="AM100" s="26"/>
    </row>
    <row r="101" spans="1:39" ht="14.95" customHeight="1">
      <c r="A101" s="110"/>
      <c r="B101" t="s">
        <v>207</v>
      </c>
      <c r="D101" t="s">
        <v>2006</v>
      </c>
    </row>
    <row r="102" spans="1:39" ht="14.95" customHeight="1">
      <c r="A102" s="110" t="s">
        <v>206</v>
      </c>
      <c r="B102" t="s">
        <v>1806</v>
      </c>
      <c r="C102" t="s">
        <v>2007</v>
      </c>
      <c r="D102" t="s">
        <v>2008</v>
      </c>
      <c r="E102" t="s">
        <v>1285</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108">
        <v>0.13200000000000001</v>
      </c>
      <c r="AL102" s="25"/>
      <c r="AM102" s="26"/>
    </row>
    <row r="103" spans="1:39" ht="14.95" customHeight="1">
      <c r="A103" s="110" t="s">
        <v>205</v>
      </c>
      <c r="B103" t="s">
        <v>1821</v>
      </c>
      <c r="C103" t="s">
        <v>2009</v>
      </c>
      <c r="D103" t="s">
        <v>2010</v>
      </c>
      <c r="E103" t="s">
        <v>1285</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146</v>
      </c>
      <c r="AL103" s="25"/>
      <c r="AM103" s="26"/>
    </row>
    <row r="104" spans="1:39" ht="14.95" customHeight="1">
      <c r="A104" s="110" t="s">
        <v>204</v>
      </c>
      <c r="B104" t="s">
        <v>1822</v>
      </c>
      <c r="C104" t="s">
        <v>2011</v>
      </c>
      <c r="D104" t="s">
        <v>2012</v>
      </c>
      <c r="E104" t="s">
        <v>1285</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108">
        <v>6.5000000000000002E-2</v>
      </c>
      <c r="AL104" s="25"/>
      <c r="AM104" s="26"/>
    </row>
    <row r="105" spans="1:39" ht="14.95" customHeight="1">
      <c r="A105" s="40" t="s">
        <v>203</v>
      </c>
      <c r="B105" t="s">
        <v>1823</v>
      </c>
      <c r="C105" t="s">
        <v>2013</v>
      </c>
      <c r="D105" t="s">
        <v>2014</v>
      </c>
      <c r="E105" t="s">
        <v>1285</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146</v>
      </c>
      <c r="AL105" s="25"/>
      <c r="AM105" s="26"/>
    </row>
    <row r="106" spans="1:39" ht="14.95" customHeight="1">
      <c r="A106" s="40" t="s">
        <v>202</v>
      </c>
      <c r="B106" t="s">
        <v>1807</v>
      </c>
      <c r="C106" t="s">
        <v>2015</v>
      </c>
      <c r="D106" t="s">
        <v>2016</v>
      </c>
      <c r="E106" t="s">
        <v>1285</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146</v>
      </c>
      <c r="AL106" s="25"/>
      <c r="AM106" s="26"/>
    </row>
    <row r="107" spans="1:39" ht="14.95" customHeight="1">
      <c r="A107" s="40" t="s">
        <v>201</v>
      </c>
      <c r="B107" t="s">
        <v>1821</v>
      </c>
      <c r="C107" t="s">
        <v>2017</v>
      </c>
      <c r="D107" t="s">
        <v>2018</v>
      </c>
      <c r="E107" t="s">
        <v>1285</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146</v>
      </c>
      <c r="AL107" s="25"/>
      <c r="AM107" s="26"/>
    </row>
    <row r="108" spans="1:39" ht="14.95" customHeight="1">
      <c r="A108" s="40" t="s">
        <v>200</v>
      </c>
      <c r="B108" t="s">
        <v>1822</v>
      </c>
      <c r="C108" t="s">
        <v>2019</v>
      </c>
      <c r="D108" t="s">
        <v>2020</v>
      </c>
      <c r="E108" t="s">
        <v>1285</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146</v>
      </c>
      <c r="AL108" s="25"/>
      <c r="AM108" s="26"/>
    </row>
    <row r="109" spans="1:39" ht="14.95" customHeight="1">
      <c r="A109" s="40" t="s">
        <v>199</v>
      </c>
      <c r="B109" t="s">
        <v>1823</v>
      </c>
      <c r="C109" t="s">
        <v>2021</v>
      </c>
      <c r="D109" t="s">
        <v>2022</v>
      </c>
      <c r="E109" t="s">
        <v>1285</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146</v>
      </c>
      <c r="AL109" s="25"/>
      <c r="AM109" s="26"/>
    </row>
    <row r="110" spans="1:39" ht="14.95" customHeight="1">
      <c r="A110" s="40" t="s">
        <v>198</v>
      </c>
      <c r="B110" t="s">
        <v>1808</v>
      </c>
      <c r="C110" t="s">
        <v>2023</v>
      </c>
      <c r="D110" t="s">
        <v>2024</v>
      </c>
      <c r="E110" t="s">
        <v>1285</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146</v>
      </c>
      <c r="AL110" s="25"/>
      <c r="AM110" s="26"/>
    </row>
    <row r="111" spans="1:39" ht="14.95" customHeight="1">
      <c r="A111" s="40" t="s">
        <v>197</v>
      </c>
      <c r="B111" t="s">
        <v>1821</v>
      </c>
      <c r="C111" t="s">
        <v>2025</v>
      </c>
      <c r="D111" t="s">
        <v>2026</v>
      </c>
      <c r="E111" t="s">
        <v>1285</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146</v>
      </c>
      <c r="AL111" s="25"/>
      <c r="AM111" s="26"/>
    </row>
    <row r="112" spans="1:39" ht="14.95" customHeight="1">
      <c r="A112" s="40" t="s">
        <v>196</v>
      </c>
      <c r="B112" t="s">
        <v>1822</v>
      </c>
      <c r="C112" t="s">
        <v>2027</v>
      </c>
      <c r="D112" t="s">
        <v>2028</v>
      </c>
      <c r="E112" t="s">
        <v>1285</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146</v>
      </c>
      <c r="AL112" s="25"/>
      <c r="AM112" s="26"/>
    </row>
    <row r="113" spans="1:39" ht="14.95" customHeight="1">
      <c r="A113" s="40" t="s">
        <v>195</v>
      </c>
      <c r="B113" t="s">
        <v>1823</v>
      </c>
      <c r="C113" t="s">
        <v>2029</v>
      </c>
      <c r="D113" t="s">
        <v>2030</v>
      </c>
      <c r="E113" t="s">
        <v>1285</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146</v>
      </c>
      <c r="AL113" s="25"/>
      <c r="AM113" s="26"/>
    </row>
    <row r="114" spans="1:39" ht="14.95" customHeight="1">
      <c r="A114" s="40" t="s">
        <v>194</v>
      </c>
      <c r="B114" t="s">
        <v>1809</v>
      </c>
      <c r="C114" t="s">
        <v>2031</v>
      </c>
      <c r="D114" t="s">
        <v>2032</v>
      </c>
      <c r="E114" t="s">
        <v>1285</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146</v>
      </c>
      <c r="AL114" s="25"/>
      <c r="AM114" s="26"/>
    </row>
    <row r="115" spans="1:39" ht="14.95" customHeight="1">
      <c r="A115" s="40" t="s">
        <v>193</v>
      </c>
      <c r="B115" t="s">
        <v>1821</v>
      </c>
      <c r="C115" t="s">
        <v>2033</v>
      </c>
      <c r="D115" t="s">
        <v>2034</v>
      </c>
      <c r="E115" t="s">
        <v>1285</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146</v>
      </c>
      <c r="AL115" s="25"/>
      <c r="AM115" s="26"/>
    </row>
    <row r="116" spans="1:39" ht="14.95" customHeight="1">
      <c r="A116" s="40" t="s">
        <v>192</v>
      </c>
      <c r="B116" t="s">
        <v>1822</v>
      </c>
      <c r="C116" t="s">
        <v>2035</v>
      </c>
      <c r="D116" t="s">
        <v>2036</v>
      </c>
      <c r="E116" t="s">
        <v>1285</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146</v>
      </c>
      <c r="AL116" s="25"/>
      <c r="AM116" s="26"/>
    </row>
    <row r="117" spans="1:39" ht="14.95" customHeight="1">
      <c r="A117" s="40" t="s">
        <v>191</v>
      </c>
      <c r="B117" t="s">
        <v>1823</v>
      </c>
      <c r="C117" t="s">
        <v>2037</v>
      </c>
      <c r="D117" t="s">
        <v>2038</v>
      </c>
      <c r="E117" t="s">
        <v>1285</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146</v>
      </c>
      <c r="AL117" s="25"/>
      <c r="AM117" s="26"/>
    </row>
    <row r="118" spans="1:39" ht="14.95" customHeight="1">
      <c r="A118" s="40" t="s">
        <v>190</v>
      </c>
      <c r="B118" t="s">
        <v>1810</v>
      </c>
      <c r="C118" t="s">
        <v>2039</v>
      </c>
      <c r="D118" t="s">
        <v>2040</v>
      </c>
      <c r="E118" t="s">
        <v>1285</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146</v>
      </c>
      <c r="AL118" s="25"/>
      <c r="AM118" s="26"/>
    </row>
    <row r="119" spans="1:39" ht="14.95" customHeight="1">
      <c r="A119" s="40" t="s">
        <v>189</v>
      </c>
      <c r="B119" t="s">
        <v>1821</v>
      </c>
      <c r="C119" t="s">
        <v>2041</v>
      </c>
      <c r="D119" t="s">
        <v>2042</v>
      </c>
      <c r="E119" t="s">
        <v>1285</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146</v>
      </c>
      <c r="AL119" s="25"/>
      <c r="AM119" s="26"/>
    </row>
    <row r="120" spans="1:39" ht="14.95" customHeight="1">
      <c r="A120" s="40" t="s">
        <v>188</v>
      </c>
      <c r="B120" t="s">
        <v>1822</v>
      </c>
      <c r="C120" t="s">
        <v>2043</v>
      </c>
      <c r="D120" t="s">
        <v>2044</v>
      </c>
      <c r="E120" t="s">
        <v>1285</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146</v>
      </c>
      <c r="AL120" s="25"/>
      <c r="AM120" s="26"/>
    </row>
    <row r="121" spans="1:39" ht="14.95" customHeight="1">
      <c r="A121" s="40" t="s">
        <v>187</v>
      </c>
      <c r="B121" t="s">
        <v>1823</v>
      </c>
      <c r="C121" t="s">
        <v>2045</v>
      </c>
      <c r="D121" t="s">
        <v>2046</v>
      </c>
      <c r="E121" t="s">
        <v>1285</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146</v>
      </c>
      <c r="AL121" s="25"/>
      <c r="AM121" s="26"/>
    </row>
    <row r="122" spans="1:39" ht="14.95" customHeight="1">
      <c r="A122" s="40" t="s">
        <v>186</v>
      </c>
      <c r="B122" t="s">
        <v>1811</v>
      </c>
      <c r="C122" t="s">
        <v>2047</v>
      </c>
      <c r="D122" t="s">
        <v>2048</v>
      </c>
      <c r="E122" t="s">
        <v>1285</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146</v>
      </c>
      <c r="AL122" s="25"/>
      <c r="AM122" s="26"/>
    </row>
    <row r="123" spans="1:39" ht="14.95" customHeight="1">
      <c r="A123" s="40" t="s">
        <v>185</v>
      </c>
      <c r="B123" t="s">
        <v>1821</v>
      </c>
      <c r="C123" t="s">
        <v>2049</v>
      </c>
      <c r="D123" t="s">
        <v>2050</v>
      </c>
      <c r="E123" t="s">
        <v>1285</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146</v>
      </c>
      <c r="AL123" s="25"/>
      <c r="AM123" s="26"/>
    </row>
    <row r="124" spans="1:39" ht="14.95" customHeight="1">
      <c r="A124" s="40" t="s">
        <v>184</v>
      </c>
      <c r="B124" t="s">
        <v>1822</v>
      </c>
      <c r="C124" t="s">
        <v>2051</v>
      </c>
      <c r="D124" t="s">
        <v>2052</v>
      </c>
      <c r="E124" t="s">
        <v>1285</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146</v>
      </c>
      <c r="AL124" s="25"/>
      <c r="AM124" s="26"/>
    </row>
    <row r="125" spans="1:39" ht="14.95" customHeight="1">
      <c r="A125" s="40" t="s">
        <v>183</v>
      </c>
      <c r="B125" t="s">
        <v>1823</v>
      </c>
      <c r="C125" t="s">
        <v>2053</v>
      </c>
      <c r="D125" t="s">
        <v>2054</v>
      </c>
      <c r="E125" t="s">
        <v>1285</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146</v>
      </c>
      <c r="AL125" s="25"/>
      <c r="AM125" s="26"/>
    </row>
    <row r="126" spans="1:39" ht="14.95" customHeight="1">
      <c r="A126" s="40" t="s">
        <v>182</v>
      </c>
      <c r="B126" t="s">
        <v>1812</v>
      </c>
      <c r="C126" t="s">
        <v>2055</v>
      </c>
      <c r="D126" t="s">
        <v>2056</v>
      </c>
      <c r="E126" t="s">
        <v>1285</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146</v>
      </c>
      <c r="AL126" s="25"/>
      <c r="AM126" s="26"/>
    </row>
    <row r="127" spans="1:39" ht="14.95" customHeight="1">
      <c r="A127" s="40" t="s">
        <v>181</v>
      </c>
      <c r="B127" t="s">
        <v>1821</v>
      </c>
      <c r="C127" t="s">
        <v>2057</v>
      </c>
      <c r="D127" t="s">
        <v>2058</v>
      </c>
      <c r="E127" t="s">
        <v>1285</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146</v>
      </c>
      <c r="AL127" s="25"/>
      <c r="AM127" s="26"/>
    </row>
    <row r="128" spans="1:39" ht="14.95" customHeight="1">
      <c r="A128" s="40" t="s">
        <v>180</v>
      </c>
      <c r="B128" t="s">
        <v>1822</v>
      </c>
      <c r="C128" t="s">
        <v>2059</v>
      </c>
      <c r="D128" t="s">
        <v>2060</v>
      </c>
      <c r="E128" t="s">
        <v>1285</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146</v>
      </c>
      <c r="AL128" s="25"/>
      <c r="AM128" s="26"/>
    </row>
    <row r="129" spans="1:39" ht="14.95" customHeight="1">
      <c r="A129" s="40" t="s">
        <v>179</v>
      </c>
      <c r="B129" t="s">
        <v>1823</v>
      </c>
      <c r="C129" t="s">
        <v>2061</v>
      </c>
      <c r="D129" t="s">
        <v>2062</v>
      </c>
      <c r="E129" t="s">
        <v>1285</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146</v>
      </c>
      <c r="AL129" s="25"/>
      <c r="AM129" s="26"/>
    </row>
    <row r="130" spans="1:39" ht="14.95" customHeight="1">
      <c r="A130" s="40" t="s">
        <v>178</v>
      </c>
      <c r="B130" t="s">
        <v>1813</v>
      </c>
      <c r="C130" t="s">
        <v>2063</v>
      </c>
      <c r="D130" t="s">
        <v>2064</v>
      </c>
      <c r="E130" t="s">
        <v>1285</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146</v>
      </c>
      <c r="AL130" s="25"/>
      <c r="AM130" s="26"/>
    </row>
    <row r="131" spans="1:39" ht="14.95" customHeight="1">
      <c r="A131" s="40" t="s">
        <v>177</v>
      </c>
      <c r="B131" t="s">
        <v>1821</v>
      </c>
      <c r="C131" t="s">
        <v>2065</v>
      </c>
      <c r="D131" t="s">
        <v>2066</v>
      </c>
      <c r="E131" t="s">
        <v>1285</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146</v>
      </c>
      <c r="AL131" s="25"/>
      <c r="AM131" s="26"/>
    </row>
    <row r="132" spans="1:39" ht="14.95" customHeight="1">
      <c r="A132" s="40" t="s">
        <v>176</v>
      </c>
      <c r="B132" t="s">
        <v>1822</v>
      </c>
      <c r="C132" t="s">
        <v>2067</v>
      </c>
      <c r="D132" t="s">
        <v>2068</v>
      </c>
      <c r="E132" t="s">
        <v>1285</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146</v>
      </c>
      <c r="AL132" s="25"/>
      <c r="AM132" s="26"/>
    </row>
    <row r="133" spans="1:39" ht="14.95" customHeight="1">
      <c r="A133" s="40" t="s">
        <v>175</v>
      </c>
      <c r="B133" t="s">
        <v>1823</v>
      </c>
      <c r="C133" t="s">
        <v>2069</v>
      </c>
      <c r="D133" t="s">
        <v>2070</v>
      </c>
      <c r="E133" t="s">
        <v>1285</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146</v>
      </c>
      <c r="AL133" s="25"/>
      <c r="AM133" s="26"/>
    </row>
    <row r="134" spans="1:39" ht="14.95" customHeight="1">
      <c r="A134" s="40" t="s">
        <v>174</v>
      </c>
      <c r="B134" t="s">
        <v>1814</v>
      </c>
      <c r="C134" t="s">
        <v>2071</v>
      </c>
      <c r="D134" t="s">
        <v>2072</v>
      </c>
      <c r="E134" t="s">
        <v>1285</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108">
        <v>0.13300000000000001</v>
      </c>
      <c r="AL134" s="25"/>
      <c r="AM134" s="26"/>
    </row>
    <row r="135" spans="1:39" ht="14.95" customHeight="1">
      <c r="A135" s="40" t="s">
        <v>173</v>
      </c>
      <c r="B135" t="s">
        <v>1821</v>
      </c>
      <c r="C135" t="s">
        <v>2073</v>
      </c>
      <c r="D135" t="s">
        <v>2074</v>
      </c>
      <c r="E135" t="s">
        <v>1285</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108">
        <v>0.17599999999999999</v>
      </c>
      <c r="AL135" s="25"/>
      <c r="AM135" s="26"/>
    </row>
    <row r="136" spans="1:39" ht="14.95" customHeight="1">
      <c r="A136" s="40" t="s">
        <v>172</v>
      </c>
      <c r="B136" t="s">
        <v>1822</v>
      </c>
      <c r="C136" t="s">
        <v>2075</v>
      </c>
      <c r="D136" t="s">
        <v>2076</v>
      </c>
      <c r="E136" t="s">
        <v>1285</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108">
        <v>7.2999999999999995E-2</v>
      </c>
      <c r="AL136" s="25"/>
      <c r="AM136" s="26"/>
    </row>
    <row r="137" spans="1:39" ht="14.95" customHeight="1">
      <c r="A137" s="40" t="s">
        <v>171</v>
      </c>
      <c r="B137" t="s">
        <v>1823</v>
      </c>
      <c r="C137" t="s">
        <v>2077</v>
      </c>
      <c r="D137" t="s">
        <v>2078</v>
      </c>
      <c r="E137" t="s">
        <v>1285</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146</v>
      </c>
      <c r="AL137" s="25"/>
      <c r="AM137" s="26"/>
    </row>
    <row r="138" spans="1:39" ht="14.95" customHeight="1">
      <c r="A138" s="40" t="s">
        <v>170</v>
      </c>
      <c r="B138" t="s">
        <v>1815</v>
      </c>
      <c r="C138" t="s">
        <v>2079</v>
      </c>
      <c r="D138" t="s">
        <v>2080</v>
      </c>
      <c r="E138" t="s">
        <v>1285</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146</v>
      </c>
      <c r="AL138" s="25"/>
      <c r="AM138" s="26"/>
    </row>
    <row r="139" spans="1:39" ht="14.95" customHeight="1">
      <c r="A139" s="40" t="s">
        <v>169</v>
      </c>
      <c r="B139" t="s">
        <v>1821</v>
      </c>
      <c r="C139" t="s">
        <v>2081</v>
      </c>
      <c r="D139" t="s">
        <v>2082</v>
      </c>
      <c r="E139" t="s">
        <v>1285</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146</v>
      </c>
      <c r="AL139" s="25"/>
      <c r="AM139" s="26"/>
    </row>
    <row r="140" spans="1:39" ht="14.95" customHeight="1">
      <c r="A140" s="40" t="s">
        <v>168</v>
      </c>
      <c r="B140" t="s">
        <v>1822</v>
      </c>
      <c r="C140" t="s">
        <v>2083</v>
      </c>
      <c r="D140" t="s">
        <v>2084</v>
      </c>
      <c r="E140" t="s">
        <v>1285</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146</v>
      </c>
      <c r="AL140" s="25"/>
      <c r="AM140" s="26"/>
    </row>
    <row r="141" spans="1:39" ht="14.95" customHeight="1">
      <c r="A141" s="40" t="s">
        <v>167</v>
      </c>
      <c r="B141" t="s">
        <v>1823</v>
      </c>
      <c r="C141" t="s">
        <v>2085</v>
      </c>
      <c r="D141" t="s">
        <v>2086</v>
      </c>
      <c r="E141" t="s">
        <v>1285</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146</v>
      </c>
      <c r="AL141" s="25"/>
      <c r="AM141" s="26"/>
    </row>
    <row r="142" spans="1:39" ht="14.95" customHeight="1">
      <c r="A142" s="40" t="s">
        <v>166</v>
      </c>
      <c r="B142" t="s">
        <v>1816</v>
      </c>
      <c r="C142" t="s">
        <v>2087</v>
      </c>
      <c r="D142" t="s">
        <v>2088</v>
      </c>
      <c r="E142" t="s">
        <v>1285</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146</v>
      </c>
      <c r="AL142" s="25"/>
      <c r="AM142" s="26"/>
    </row>
    <row r="143" spans="1:39" ht="14.95" customHeight="1">
      <c r="A143" s="40" t="s">
        <v>165</v>
      </c>
      <c r="B143" t="s">
        <v>1821</v>
      </c>
      <c r="C143" t="s">
        <v>2089</v>
      </c>
      <c r="D143" t="s">
        <v>2090</v>
      </c>
      <c r="E143" t="s">
        <v>1285</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146</v>
      </c>
      <c r="AL143" s="25"/>
      <c r="AM143" s="26"/>
    </row>
    <row r="144" spans="1:39" ht="14.95" customHeight="1">
      <c r="A144" s="40" t="s">
        <v>164</v>
      </c>
      <c r="B144" t="s">
        <v>1822</v>
      </c>
      <c r="C144" t="s">
        <v>2091</v>
      </c>
      <c r="D144" t="s">
        <v>2092</v>
      </c>
      <c r="E144" t="s">
        <v>1285</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146</v>
      </c>
      <c r="AL144" s="25"/>
      <c r="AM144" s="26"/>
    </row>
    <row r="145" spans="1:39" ht="14.95" customHeight="1">
      <c r="A145" s="40" t="s">
        <v>163</v>
      </c>
      <c r="B145" t="s">
        <v>1823</v>
      </c>
      <c r="C145" t="s">
        <v>2093</v>
      </c>
      <c r="D145" t="s">
        <v>2094</v>
      </c>
      <c r="E145" t="s">
        <v>1285</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146</v>
      </c>
      <c r="AL145" s="25"/>
      <c r="AM145" s="26"/>
    </row>
    <row r="146" spans="1:39" ht="14.95" customHeight="1">
      <c r="A146" s="40" t="s">
        <v>162</v>
      </c>
      <c r="B146" t="s">
        <v>1817</v>
      </c>
      <c r="C146" t="s">
        <v>2095</v>
      </c>
      <c r="D146" t="s">
        <v>2096</v>
      </c>
      <c r="E146" t="s">
        <v>1285</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146</v>
      </c>
      <c r="AL146" s="25"/>
      <c r="AM146" s="26"/>
    </row>
    <row r="147" spans="1:39" ht="14.95" customHeight="1">
      <c r="A147" s="40" t="s">
        <v>161</v>
      </c>
      <c r="B147" t="s">
        <v>1821</v>
      </c>
      <c r="C147" t="s">
        <v>2097</v>
      </c>
      <c r="D147" t="s">
        <v>2098</v>
      </c>
      <c r="E147" t="s">
        <v>1285</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146</v>
      </c>
      <c r="AL147" s="25"/>
      <c r="AM147" s="26"/>
    </row>
    <row r="148" spans="1:39" ht="14.95" customHeight="1">
      <c r="A148" s="40" t="s">
        <v>160</v>
      </c>
      <c r="B148" t="s">
        <v>1822</v>
      </c>
      <c r="C148" t="s">
        <v>2099</v>
      </c>
      <c r="D148" t="s">
        <v>2100</v>
      </c>
      <c r="E148" t="s">
        <v>1285</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146</v>
      </c>
      <c r="AL148" s="25"/>
      <c r="AM148" s="26"/>
    </row>
    <row r="149" spans="1:39" ht="14.95" customHeight="1">
      <c r="A149" s="40" t="s">
        <v>159</v>
      </c>
      <c r="B149" t="s">
        <v>1823</v>
      </c>
      <c r="C149" t="s">
        <v>2101</v>
      </c>
      <c r="D149" t="s">
        <v>2102</v>
      </c>
      <c r="E149" t="s">
        <v>1285</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146</v>
      </c>
      <c r="AL149" s="25"/>
      <c r="AM149" s="26"/>
    </row>
    <row r="150" spans="1:39" ht="14.95" customHeight="1">
      <c r="A150" s="40" t="s">
        <v>158</v>
      </c>
      <c r="B150" t="s">
        <v>1818</v>
      </c>
      <c r="C150" t="s">
        <v>2103</v>
      </c>
      <c r="D150" t="s">
        <v>2104</v>
      </c>
      <c r="E150" t="s">
        <v>1285</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108">
        <v>8.6999999999999994E-2</v>
      </c>
      <c r="AL150" s="25"/>
      <c r="AM150" s="26"/>
    </row>
    <row r="151" spans="1:39" ht="14.95" customHeight="1">
      <c r="A151" s="40" t="s">
        <v>157</v>
      </c>
      <c r="B151" t="s">
        <v>1821</v>
      </c>
      <c r="C151" t="s">
        <v>2105</v>
      </c>
      <c r="D151" t="s">
        <v>2106</v>
      </c>
      <c r="E151" t="s">
        <v>1285</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108">
        <v>7.0000000000000007E-2</v>
      </c>
      <c r="AL151" s="25"/>
      <c r="AM151" s="26"/>
    </row>
    <row r="152" spans="1:39" ht="14.95" customHeight="1">
      <c r="A152" s="40" t="s">
        <v>156</v>
      </c>
      <c r="B152" t="s">
        <v>1822</v>
      </c>
      <c r="C152" t="s">
        <v>2107</v>
      </c>
      <c r="D152" t="s">
        <v>2108</v>
      </c>
      <c r="E152" t="s">
        <v>1285</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146</v>
      </c>
      <c r="AL152" s="25"/>
      <c r="AM152" s="26"/>
    </row>
    <row r="153" spans="1:39" ht="14.95" customHeight="1">
      <c r="A153" s="40" t="s">
        <v>155</v>
      </c>
      <c r="B153" t="s">
        <v>1823</v>
      </c>
      <c r="C153" t="s">
        <v>2109</v>
      </c>
      <c r="D153" t="s">
        <v>2110</v>
      </c>
      <c r="E153" t="s">
        <v>1285</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146</v>
      </c>
      <c r="AL153" s="25"/>
      <c r="AM153" s="26"/>
    </row>
    <row r="154" spans="1:39" ht="14.95" customHeight="1">
      <c r="A154" s="40" t="s">
        <v>154</v>
      </c>
      <c r="B154" t="s">
        <v>153</v>
      </c>
      <c r="C154" t="s">
        <v>2111</v>
      </c>
      <c r="D154" t="s">
        <v>2112</v>
      </c>
      <c r="E154" t="s">
        <v>1285</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108">
        <v>0.17100000000000001</v>
      </c>
      <c r="AL154" s="32"/>
      <c r="AM154" s="30"/>
    </row>
    <row r="155" spans="1:39" ht="14.95" customHeight="1">
      <c r="B155" t="s">
        <v>152</v>
      </c>
      <c r="D155" t="s">
        <v>2113</v>
      </c>
    </row>
    <row r="156" spans="1:39" ht="14.95" customHeight="1">
      <c r="A156" s="40" t="s">
        <v>151</v>
      </c>
      <c r="B156" t="s">
        <v>1824</v>
      </c>
      <c r="C156" t="s">
        <v>2114</v>
      </c>
      <c r="D156" t="s">
        <v>2115</v>
      </c>
      <c r="E156" t="s">
        <v>1853</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146</v>
      </c>
      <c r="AL156" s="28"/>
      <c r="AM156" s="26"/>
    </row>
    <row r="157" spans="1:39" ht="14.95" customHeight="1">
      <c r="A157" s="40" t="s">
        <v>150</v>
      </c>
      <c r="B157" t="s">
        <v>1825</v>
      </c>
      <c r="C157" t="s">
        <v>2116</v>
      </c>
      <c r="D157" t="s">
        <v>2117</v>
      </c>
      <c r="E157" t="s">
        <v>1853</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146</v>
      </c>
      <c r="AL157" s="28"/>
      <c r="AM157" s="26"/>
    </row>
    <row r="158" spans="1:39" ht="14.95" customHeight="1">
      <c r="A158" s="40" t="s">
        <v>149</v>
      </c>
      <c r="B158" t="s">
        <v>1826</v>
      </c>
      <c r="C158" t="s">
        <v>2118</v>
      </c>
      <c r="D158" t="s">
        <v>2119</v>
      </c>
      <c r="E158" t="s">
        <v>1853</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146</v>
      </c>
      <c r="AL158" s="28"/>
      <c r="AM158" s="26"/>
    </row>
    <row r="159" spans="1:39" ht="14.95" customHeight="1">
      <c r="A159" s="40" t="s">
        <v>148</v>
      </c>
      <c r="B159" t="s">
        <v>1827</v>
      </c>
      <c r="C159" t="s">
        <v>2120</v>
      </c>
      <c r="D159" t="s">
        <v>2121</v>
      </c>
      <c r="E159" t="s">
        <v>1853</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146</v>
      </c>
      <c r="AL159" s="28"/>
      <c r="AM159" s="26"/>
    </row>
    <row r="160" spans="1:39" ht="14.95" customHeight="1">
      <c r="A160" s="40" t="s">
        <v>147</v>
      </c>
      <c r="B160" t="s">
        <v>1828</v>
      </c>
      <c r="C160" t="s">
        <v>2122</v>
      </c>
      <c r="D160" t="s">
        <v>2123</v>
      </c>
      <c r="E160" t="s">
        <v>1853</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146</v>
      </c>
      <c r="AL160" s="28"/>
      <c r="AM160" s="26"/>
    </row>
    <row r="161" spans="1:39" ht="14.95" customHeight="1">
      <c r="A161" s="40" t="s">
        <v>145</v>
      </c>
      <c r="B161" t="s">
        <v>1829</v>
      </c>
      <c r="C161" t="s">
        <v>2124</v>
      </c>
      <c r="D161" t="s">
        <v>2125</v>
      </c>
      <c r="E161" t="s">
        <v>1853</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108">
        <v>6.8000000000000005E-2</v>
      </c>
      <c r="AL161" s="28"/>
      <c r="AM161" s="26"/>
    </row>
    <row r="162" spans="1:39" ht="14.95" customHeight="1">
      <c r="A162" s="40" t="s">
        <v>144</v>
      </c>
      <c r="B162" t="s">
        <v>1830</v>
      </c>
      <c r="C162" t="s">
        <v>2126</v>
      </c>
      <c r="D162" t="s">
        <v>2127</v>
      </c>
      <c r="E162" t="s">
        <v>1853</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108">
        <v>0.35499999999999998</v>
      </c>
      <c r="AL162" s="28"/>
      <c r="AM162" s="26"/>
    </row>
    <row r="163" spans="1:39" ht="14.95" customHeight="1">
      <c r="A163" s="40" t="s">
        <v>143</v>
      </c>
      <c r="B163" t="s">
        <v>1831</v>
      </c>
      <c r="C163" t="s">
        <v>2128</v>
      </c>
      <c r="D163" t="s">
        <v>2129</v>
      </c>
      <c r="E163" t="s">
        <v>1853</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108">
        <v>0</v>
      </c>
      <c r="AL163" s="28"/>
      <c r="AM163" s="26"/>
    </row>
    <row r="164" spans="1:39" ht="14.95" customHeight="1">
      <c r="A164" s="40" t="s">
        <v>142</v>
      </c>
      <c r="B164" t="s">
        <v>1832</v>
      </c>
      <c r="C164" t="s">
        <v>2130</v>
      </c>
      <c r="D164" t="s">
        <v>2131</v>
      </c>
      <c r="E164" t="s">
        <v>1853</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108">
        <v>0</v>
      </c>
      <c r="AL164" s="28"/>
      <c r="AM164" s="26"/>
    </row>
    <row r="165" spans="1:39" ht="14.95" customHeight="1">
      <c r="B165" t="s">
        <v>1833</v>
      </c>
      <c r="D165" t="s">
        <v>2132</v>
      </c>
    </row>
    <row r="166" spans="1:39" ht="14.95" customHeight="1">
      <c r="B166" t="s">
        <v>1834</v>
      </c>
      <c r="D166" t="s">
        <v>2133</v>
      </c>
    </row>
    <row r="167" spans="1:39" ht="14.95" customHeight="1">
      <c r="A167" s="40" t="s">
        <v>141</v>
      </c>
      <c r="B167" t="s">
        <v>1821</v>
      </c>
      <c r="C167" t="s">
        <v>2134</v>
      </c>
      <c r="D167" t="s">
        <v>2135</v>
      </c>
      <c r="E167" t="s">
        <v>2136</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108">
        <v>6.0000000000000001E-3</v>
      </c>
      <c r="AL167" s="27"/>
      <c r="AM167" s="26"/>
    </row>
    <row r="168" spans="1:39" ht="14.95" customHeight="1">
      <c r="A168" s="40" t="s">
        <v>140</v>
      </c>
      <c r="B168" t="s">
        <v>1822</v>
      </c>
      <c r="C168" t="s">
        <v>2137</v>
      </c>
      <c r="D168" t="s">
        <v>2138</v>
      </c>
      <c r="E168" t="s">
        <v>2136</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108">
        <v>7.0000000000000001E-3</v>
      </c>
      <c r="AL168" s="27"/>
      <c r="AM168" s="26"/>
    </row>
    <row r="169" spans="1:39" ht="14.95" customHeight="1">
      <c r="A169" s="40" t="s">
        <v>139</v>
      </c>
      <c r="B169" t="s">
        <v>1823</v>
      </c>
      <c r="C169" t="s">
        <v>2139</v>
      </c>
      <c r="D169" t="s">
        <v>2140</v>
      </c>
      <c r="E169" t="s">
        <v>2136</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108">
        <v>8.0000000000000002E-3</v>
      </c>
      <c r="AL169" s="27"/>
      <c r="AM169" s="26"/>
    </row>
    <row r="170" spans="1:39" ht="14.95" customHeight="1">
      <c r="A170" s="40" t="s">
        <v>138</v>
      </c>
      <c r="B170" t="s">
        <v>1835</v>
      </c>
      <c r="C170" t="s">
        <v>2141</v>
      </c>
      <c r="D170" t="s">
        <v>2142</v>
      </c>
      <c r="E170" t="s">
        <v>2136</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108">
        <v>8.9999999999999993E-3</v>
      </c>
      <c r="AL170" s="27"/>
      <c r="AM170" s="26"/>
    </row>
    <row r="171" spans="1:39" ht="14.95" customHeight="1">
      <c r="B171" t="s">
        <v>467</v>
      </c>
      <c r="D171" t="s">
        <v>2143</v>
      </c>
    </row>
    <row r="172" spans="1:39" ht="14.95" customHeight="1">
      <c r="A172" s="40" t="s">
        <v>137</v>
      </c>
      <c r="B172" t="s">
        <v>1821</v>
      </c>
      <c r="C172" t="s">
        <v>2144</v>
      </c>
      <c r="D172" t="s">
        <v>2145</v>
      </c>
      <c r="E172" t="s">
        <v>2136</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108">
        <v>5.0000000000000001E-3</v>
      </c>
      <c r="AL172" s="27"/>
      <c r="AM172" s="26"/>
    </row>
    <row r="173" spans="1:39" ht="14.95" customHeight="1">
      <c r="A173" s="40" t="s">
        <v>136</v>
      </c>
      <c r="B173" t="s">
        <v>1822</v>
      </c>
      <c r="C173" t="s">
        <v>2146</v>
      </c>
      <c r="D173" t="s">
        <v>2147</v>
      </c>
      <c r="E173" t="s">
        <v>2136</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108">
        <v>6.0000000000000001E-3</v>
      </c>
      <c r="AL173" s="27"/>
      <c r="AM173" s="26"/>
    </row>
    <row r="174" spans="1:39" ht="14.95" customHeight="1">
      <c r="A174" s="40" t="s">
        <v>135</v>
      </c>
      <c r="B174" t="s">
        <v>1823</v>
      </c>
      <c r="C174" t="s">
        <v>2148</v>
      </c>
      <c r="D174" t="s">
        <v>2149</v>
      </c>
      <c r="E174" t="s">
        <v>2136</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108">
        <v>6.0000000000000001E-3</v>
      </c>
      <c r="AL174" s="27"/>
      <c r="AM174" s="26"/>
    </row>
    <row r="175" spans="1:39" ht="14.95" customHeight="1">
      <c r="A175" s="40" t="s">
        <v>134</v>
      </c>
      <c r="B175" t="s">
        <v>1835</v>
      </c>
      <c r="C175" t="s">
        <v>2150</v>
      </c>
      <c r="D175" t="s">
        <v>2151</v>
      </c>
      <c r="E175" t="s">
        <v>2136</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108">
        <v>7.0000000000000001E-3</v>
      </c>
      <c r="AL175" s="27"/>
      <c r="AM175" s="26"/>
    </row>
    <row r="176" spans="1:39" ht="14.95" customHeight="1">
      <c r="B176" t="s">
        <v>133</v>
      </c>
      <c r="D176" t="s">
        <v>2152</v>
      </c>
    </row>
    <row r="177" spans="1:39" ht="14.95" customHeight="1">
      <c r="B177" t="s">
        <v>1836</v>
      </c>
      <c r="D177" t="s">
        <v>2153</v>
      </c>
    </row>
    <row r="178" spans="1:39" ht="14.95" customHeight="1">
      <c r="A178" s="40" t="s">
        <v>132</v>
      </c>
      <c r="B178" t="s">
        <v>1806</v>
      </c>
      <c r="C178" t="s">
        <v>2154</v>
      </c>
      <c r="D178" t="s">
        <v>2155</v>
      </c>
      <c r="E178" t="s">
        <v>1290</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108">
        <v>2.7E-2</v>
      </c>
      <c r="AL178" s="25"/>
      <c r="AM178" s="26"/>
    </row>
    <row r="179" spans="1:39" ht="14.95" customHeight="1">
      <c r="A179" s="40" t="s">
        <v>131</v>
      </c>
      <c r="B179" t="s">
        <v>1807</v>
      </c>
      <c r="C179" t="s">
        <v>2156</v>
      </c>
      <c r="D179" t="s">
        <v>2157</v>
      </c>
      <c r="E179" t="s">
        <v>1290</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108">
        <v>4.3999999999999997E-2</v>
      </c>
      <c r="AL179" s="25"/>
      <c r="AM179" s="26"/>
    </row>
    <row r="180" spans="1:39" ht="14.95" customHeight="1">
      <c r="A180" s="40" t="s">
        <v>130</v>
      </c>
      <c r="B180" t="s">
        <v>1808</v>
      </c>
      <c r="C180" t="s">
        <v>2158</v>
      </c>
      <c r="D180" t="s">
        <v>2159</v>
      </c>
      <c r="E180" t="s">
        <v>1290</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108">
        <v>5.8000000000000003E-2</v>
      </c>
      <c r="AL180" s="25"/>
      <c r="AM180" s="26"/>
    </row>
    <row r="181" spans="1:39" ht="14.95" customHeight="1">
      <c r="A181" s="40" t="s">
        <v>129</v>
      </c>
      <c r="B181" t="s">
        <v>1809</v>
      </c>
      <c r="C181" t="s">
        <v>2160</v>
      </c>
      <c r="D181" t="s">
        <v>2161</v>
      </c>
      <c r="E181" t="s">
        <v>1290</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108">
        <v>5.6000000000000001E-2</v>
      </c>
      <c r="AL181" s="25"/>
      <c r="AM181" s="26"/>
    </row>
    <row r="182" spans="1:39" ht="14.95" customHeight="1">
      <c r="A182" s="40" t="s">
        <v>128</v>
      </c>
      <c r="B182" t="s">
        <v>1810</v>
      </c>
      <c r="C182" t="s">
        <v>2162</v>
      </c>
      <c r="D182" t="s">
        <v>2163</v>
      </c>
      <c r="E182" t="s">
        <v>1290</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108">
        <v>0.04</v>
      </c>
      <c r="AL182" s="25"/>
      <c r="AM182" s="26"/>
    </row>
    <row r="183" spans="1:39" ht="14.95" customHeight="1">
      <c r="A183" s="40" t="s">
        <v>127</v>
      </c>
      <c r="B183" t="s">
        <v>1811</v>
      </c>
      <c r="C183" t="s">
        <v>2164</v>
      </c>
      <c r="D183" t="s">
        <v>2165</v>
      </c>
      <c r="E183" t="s">
        <v>1290</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108">
        <v>6.7000000000000004E-2</v>
      </c>
      <c r="AL183" s="25"/>
      <c r="AM183" s="26"/>
    </row>
    <row r="184" spans="1:39" ht="14.95" customHeight="1">
      <c r="A184" s="40" t="s">
        <v>126</v>
      </c>
      <c r="B184" t="s">
        <v>1812</v>
      </c>
      <c r="C184" t="s">
        <v>2166</v>
      </c>
      <c r="D184" t="s">
        <v>2167</v>
      </c>
      <c r="E184" t="s">
        <v>1290</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108">
        <v>4.8000000000000001E-2</v>
      </c>
      <c r="AL184" s="25"/>
      <c r="AM184" s="26"/>
    </row>
    <row r="185" spans="1:39" ht="14.95" customHeight="1">
      <c r="A185" s="40" t="s">
        <v>125</v>
      </c>
      <c r="B185" t="s">
        <v>1813</v>
      </c>
      <c r="C185" t="s">
        <v>2168</v>
      </c>
      <c r="D185" t="s">
        <v>2169</v>
      </c>
      <c r="E185" t="s">
        <v>1290</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108">
        <v>2.9000000000000001E-2</v>
      </c>
      <c r="AL185" s="25"/>
      <c r="AM185" s="26"/>
    </row>
    <row r="186" spans="1:39" ht="14.95" customHeight="1">
      <c r="A186" s="40" t="s">
        <v>124</v>
      </c>
      <c r="B186" t="s">
        <v>1814</v>
      </c>
      <c r="C186" t="s">
        <v>2170</v>
      </c>
      <c r="D186" t="s">
        <v>2171</v>
      </c>
      <c r="E186" t="s">
        <v>1290</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108">
        <v>3.6999999999999998E-2</v>
      </c>
      <c r="AL186" s="25"/>
      <c r="AM186" s="26"/>
    </row>
    <row r="187" spans="1:39" ht="14.95" customHeight="1">
      <c r="A187" s="40" t="s">
        <v>123</v>
      </c>
      <c r="B187" t="s">
        <v>1815</v>
      </c>
      <c r="C187" t="s">
        <v>2172</v>
      </c>
      <c r="D187" t="s">
        <v>2173</v>
      </c>
      <c r="E187" t="s">
        <v>1290</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108">
        <v>2.1000000000000001E-2</v>
      </c>
      <c r="AL187" s="25"/>
      <c r="AM187" s="26"/>
    </row>
    <row r="188" spans="1:39" ht="14.95" customHeight="1">
      <c r="A188" s="40" t="s">
        <v>122</v>
      </c>
      <c r="B188" t="s">
        <v>1816</v>
      </c>
      <c r="C188" t="s">
        <v>2174</v>
      </c>
      <c r="D188" t="s">
        <v>2175</v>
      </c>
      <c r="E188" t="s">
        <v>1290</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108">
        <v>5.8999999999999997E-2</v>
      </c>
      <c r="AL188" s="25"/>
      <c r="AM188" s="26"/>
    </row>
    <row r="189" spans="1:39" ht="14.95" customHeight="1">
      <c r="A189" s="40" t="s">
        <v>121</v>
      </c>
      <c r="B189" t="s">
        <v>1817</v>
      </c>
      <c r="C189" t="s">
        <v>2176</v>
      </c>
      <c r="D189" t="s">
        <v>2177</v>
      </c>
      <c r="E189" t="s">
        <v>1290</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108">
        <v>7.1999999999999995E-2</v>
      </c>
      <c r="AL189" s="25"/>
      <c r="AM189" s="26"/>
    </row>
    <row r="190" spans="1:39" ht="14.95" customHeight="1">
      <c r="A190" s="40" t="s">
        <v>120</v>
      </c>
      <c r="B190" t="s">
        <v>1818</v>
      </c>
      <c r="C190" t="s">
        <v>2178</v>
      </c>
      <c r="D190" t="s">
        <v>2179</v>
      </c>
      <c r="E190" t="s">
        <v>1290</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108">
        <v>5.0999999999999997E-2</v>
      </c>
      <c r="AL190" s="25"/>
      <c r="AM190" s="26"/>
    </row>
    <row r="191" spans="1:39" ht="14.95" customHeight="1">
      <c r="A191" s="40" t="s">
        <v>119</v>
      </c>
      <c r="B191" t="s">
        <v>153</v>
      </c>
      <c r="C191" t="s">
        <v>2180</v>
      </c>
      <c r="D191" t="s">
        <v>2181</v>
      </c>
      <c r="E191" t="s">
        <v>1290</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108">
        <v>4.1000000000000002E-2</v>
      </c>
      <c r="AL191" s="25"/>
      <c r="AM191" s="26"/>
    </row>
    <row r="192" spans="1:39" ht="14.95" customHeight="1">
      <c r="A192" s="40" t="s">
        <v>118</v>
      </c>
      <c r="B192" t="s">
        <v>1837</v>
      </c>
      <c r="C192" t="s">
        <v>2182</v>
      </c>
      <c r="D192" t="s">
        <v>2183</v>
      </c>
      <c r="E192" t="s">
        <v>2184</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4.95" customHeight="1">
      <c r="A193" s="40" t="s">
        <v>117</v>
      </c>
      <c r="B193" t="s">
        <v>1838</v>
      </c>
      <c r="C193" t="s">
        <v>2182</v>
      </c>
      <c r="D193" t="s">
        <v>2185</v>
      </c>
      <c r="E193" t="s">
        <v>2186</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4.95" customHeight="1" thickBot="1"/>
    <row r="195" spans="1:39" ht="14.95" customHeight="1">
      <c r="AL195" s="63"/>
      <c r="AM195" s="63"/>
    </row>
  </sheetData>
  <phoneticPr fontId="59" type="noConversion"/>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192"/>
  <sheetViews>
    <sheetView workbookViewId="0"/>
  </sheetViews>
  <sheetFormatPr defaultRowHeight="14.95" customHeight="1"/>
  <cols>
    <col min="1" max="1" width="14.375" style="40" customWidth="1"/>
  </cols>
  <sheetData>
    <row r="1" spans="1:39" ht="14.95" customHeight="1" thickBot="1">
      <c r="A1" s="40" t="s">
        <v>1343</v>
      </c>
      <c r="B1" s="53"/>
      <c r="C1" s="53"/>
      <c r="D1" s="53"/>
      <c r="E1" s="53"/>
      <c r="F1" s="53">
        <v>2020</v>
      </c>
      <c r="G1" s="53">
        <v>2021</v>
      </c>
      <c r="H1" s="53">
        <v>2022</v>
      </c>
      <c r="I1" s="53">
        <v>2023</v>
      </c>
      <c r="J1" s="53">
        <v>2024</v>
      </c>
      <c r="K1" s="53">
        <v>2025</v>
      </c>
      <c r="L1" s="53">
        <v>2026</v>
      </c>
      <c r="M1" s="53">
        <v>2027</v>
      </c>
      <c r="N1" s="53">
        <v>2028</v>
      </c>
      <c r="O1" s="53">
        <v>2029</v>
      </c>
      <c r="P1" s="53">
        <v>2030</v>
      </c>
      <c r="Q1" s="53">
        <v>2031</v>
      </c>
      <c r="R1" s="53">
        <v>2032</v>
      </c>
      <c r="S1" s="53">
        <v>2033</v>
      </c>
      <c r="T1" s="53">
        <v>2034</v>
      </c>
      <c r="U1" s="53">
        <v>2035</v>
      </c>
      <c r="V1" s="53">
        <v>2036</v>
      </c>
      <c r="W1" s="53">
        <v>2037</v>
      </c>
      <c r="X1" s="53">
        <v>2038</v>
      </c>
      <c r="Y1" s="53">
        <v>2039</v>
      </c>
      <c r="Z1" s="53">
        <v>2040</v>
      </c>
      <c r="AA1" s="53">
        <v>2041</v>
      </c>
      <c r="AB1" s="53">
        <v>2042</v>
      </c>
      <c r="AC1" s="53">
        <v>2043</v>
      </c>
      <c r="AD1" s="53">
        <v>2044</v>
      </c>
      <c r="AE1" s="53">
        <v>2045</v>
      </c>
      <c r="AF1" s="53">
        <v>2046</v>
      </c>
      <c r="AG1" s="53">
        <v>2047</v>
      </c>
      <c r="AH1" s="53">
        <v>2048</v>
      </c>
      <c r="AI1" s="53">
        <v>2049</v>
      </c>
      <c r="AJ1" s="53">
        <v>2050</v>
      </c>
      <c r="AK1" s="53" t="s">
        <v>1286</v>
      </c>
      <c r="AL1" s="21"/>
    </row>
    <row r="2" spans="1:39" ht="14.95" customHeight="1" thickTop="1">
      <c r="A2" s="111"/>
    </row>
    <row r="3" spans="1:39" ht="14.95" customHeight="1">
      <c r="A3" s="111"/>
    </row>
    <row r="4" spans="1:39" ht="14.95" customHeight="1">
      <c r="A4" s="111"/>
    </row>
    <row r="5" spans="1:39" ht="14.95" customHeight="1">
      <c r="A5" s="111"/>
    </row>
    <row r="6" spans="1:39" ht="14.95" customHeight="1">
      <c r="A6" s="111"/>
    </row>
    <row r="10" spans="1:39" ht="14.95" customHeight="1">
      <c r="A10" s="54" t="s">
        <v>468</v>
      </c>
      <c r="B10" t="s">
        <v>2187</v>
      </c>
    </row>
    <row r="11" spans="1:39" ht="14.95" customHeight="1">
      <c r="A11" s="111"/>
      <c r="B11" t="s">
        <v>2188</v>
      </c>
    </row>
    <row r="12" spans="1:39" ht="14.95" customHeight="1">
      <c r="A12" s="111"/>
      <c r="B12" t="s">
        <v>2189</v>
      </c>
      <c r="AL12" s="5"/>
      <c r="AM12" s="5"/>
    </row>
    <row r="13" spans="1:39" ht="14.95" customHeight="1" thickBot="1">
      <c r="A13" s="111"/>
      <c r="B13" t="s">
        <v>1194</v>
      </c>
      <c r="AL13" s="21"/>
      <c r="AM13" s="21"/>
    </row>
    <row r="14" spans="1:39" ht="14.95" customHeight="1" thickTop="1">
      <c r="A14" s="111"/>
      <c r="C14" t="s">
        <v>1195</v>
      </c>
      <c r="D14" t="s">
        <v>1284</v>
      </c>
      <c r="E14" t="s">
        <v>1285</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1286</v>
      </c>
    </row>
    <row r="15" spans="1:39" ht="14.95" customHeight="1">
      <c r="A15" s="111"/>
      <c r="B15" t="s">
        <v>467</v>
      </c>
      <c r="D15" t="s">
        <v>2190</v>
      </c>
    </row>
    <row r="16" spans="1:39" ht="14.95" customHeight="1">
      <c r="A16" s="54" t="s">
        <v>466</v>
      </c>
      <c r="B16" t="s">
        <v>1806</v>
      </c>
      <c r="C16" t="s">
        <v>2191</v>
      </c>
      <c r="D16" t="s">
        <v>2192</v>
      </c>
      <c r="E16" t="s">
        <v>1285</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108">
        <v>1.0999999999999999E-2</v>
      </c>
      <c r="AL16" s="25"/>
      <c r="AM16" s="26"/>
    </row>
    <row r="17" spans="1:39" ht="14.95" customHeight="1">
      <c r="A17" s="54" t="s">
        <v>465</v>
      </c>
      <c r="B17" t="s">
        <v>1821</v>
      </c>
      <c r="C17" t="s">
        <v>2193</v>
      </c>
      <c r="D17" t="s">
        <v>2194</v>
      </c>
      <c r="E17" t="s">
        <v>1285</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108">
        <v>0.02</v>
      </c>
      <c r="AL17" s="25"/>
      <c r="AM17" s="26"/>
    </row>
    <row r="18" spans="1:39" ht="14.95" customHeight="1">
      <c r="A18" s="54" t="s">
        <v>464</v>
      </c>
      <c r="B18" t="s">
        <v>1822</v>
      </c>
      <c r="C18" t="s">
        <v>2195</v>
      </c>
      <c r="D18" t="s">
        <v>2196</v>
      </c>
      <c r="E18" t="s">
        <v>1285</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108">
        <v>1.7000000000000001E-2</v>
      </c>
      <c r="AL18" s="25"/>
      <c r="AM18" s="26"/>
    </row>
    <row r="19" spans="1:39" ht="14.95" customHeight="1">
      <c r="A19" s="54" t="s">
        <v>463</v>
      </c>
      <c r="B19" t="s">
        <v>1823</v>
      </c>
      <c r="C19" t="s">
        <v>2197</v>
      </c>
      <c r="D19" t="s">
        <v>2198</v>
      </c>
      <c r="E19" t="s">
        <v>1285</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108">
        <v>-1.6E-2</v>
      </c>
      <c r="AL19" s="25"/>
      <c r="AM19" s="26"/>
    </row>
    <row r="20" spans="1:39" ht="14.95" customHeight="1">
      <c r="A20" s="54" t="s">
        <v>462</v>
      </c>
      <c r="B20" t="s">
        <v>1807</v>
      </c>
      <c r="C20" t="s">
        <v>2199</v>
      </c>
      <c r="D20" t="s">
        <v>2200</v>
      </c>
      <c r="E20" t="s">
        <v>1285</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108">
        <v>1.2999999999999999E-2</v>
      </c>
      <c r="AL20" s="25"/>
      <c r="AM20" s="26"/>
    </row>
    <row r="21" spans="1:39" ht="14.95" customHeight="1">
      <c r="A21" s="54" t="s">
        <v>461</v>
      </c>
      <c r="B21" t="s">
        <v>1821</v>
      </c>
      <c r="C21" t="s">
        <v>2201</v>
      </c>
      <c r="D21" t="s">
        <v>2202</v>
      </c>
      <c r="E21" t="s">
        <v>1285</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108">
        <v>2.7E-2</v>
      </c>
      <c r="AL21" s="25"/>
      <c r="AM21" s="26"/>
    </row>
    <row r="22" spans="1:39" ht="14.95" customHeight="1">
      <c r="A22" s="54" t="s">
        <v>460</v>
      </c>
      <c r="B22" t="s">
        <v>1822</v>
      </c>
      <c r="C22" t="s">
        <v>2203</v>
      </c>
      <c r="D22" t="s">
        <v>2204</v>
      </c>
      <c r="E22" t="s">
        <v>1285</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108">
        <v>1.9E-2</v>
      </c>
      <c r="AL22" s="25"/>
      <c r="AM22" s="26"/>
    </row>
    <row r="23" spans="1:39" ht="14.95" customHeight="1">
      <c r="A23" s="54" t="s">
        <v>459</v>
      </c>
      <c r="B23" t="s">
        <v>1823</v>
      </c>
      <c r="C23" t="s">
        <v>2205</v>
      </c>
      <c r="D23" t="s">
        <v>2206</v>
      </c>
      <c r="E23" t="s">
        <v>1285</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108">
        <v>-6.0000000000000001E-3</v>
      </c>
      <c r="AL23" s="25"/>
      <c r="AM23" s="26"/>
    </row>
    <row r="24" spans="1:39" ht="14.95" customHeight="1">
      <c r="A24" s="54" t="s">
        <v>458</v>
      </c>
      <c r="B24" t="s">
        <v>1808</v>
      </c>
      <c r="C24" t="s">
        <v>2207</v>
      </c>
      <c r="D24" t="s">
        <v>2208</v>
      </c>
      <c r="E24" t="s">
        <v>1285</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108">
        <v>2.1999999999999999E-2</v>
      </c>
      <c r="AL24" s="25"/>
      <c r="AM24" s="26"/>
    </row>
    <row r="25" spans="1:39" ht="14.95" customHeight="1">
      <c r="A25" s="54" t="s">
        <v>457</v>
      </c>
      <c r="B25" t="s">
        <v>1821</v>
      </c>
      <c r="C25" t="s">
        <v>2209</v>
      </c>
      <c r="D25" t="s">
        <v>2210</v>
      </c>
      <c r="E25" t="s">
        <v>1285</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108">
        <v>3.1E-2</v>
      </c>
      <c r="AL25" s="25"/>
      <c r="AM25" s="26"/>
    </row>
    <row r="26" spans="1:39" ht="14.95" customHeight="1">
      <c r="A26" s="54" t="s">
        <v>456</v>
      </c>
      <c r="B26" t="s">
        <v>1822</v>
      </c>
      <c r="C26" t="s">
        <v>2211</v>
      </c>
      <c r="D26" t="s">
        <v>2212</v>
      </c>
      <c r="E26" t="s">
        <v>1285</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108">
        <v>2.5000000000000001E-2</v>
      </c>
      <c r="AL26" s="25"/>
      <c r="AM26" s="26"/>
    </row>
    <row r="27" spans="1:39" ht="14.95" customHeight="1">
      <c r="A27" s="54" t="s">
        <v>455</v>
      </c>
      <c r="B27" t="s">
        <v>1823</v>
      </c>
      <c r="C27" t="s">
        <v>2213</v>
      </c>
      <c r="D27" t="s">
        <v>2214</v>
      </c>
      <c r="E27" t="s">
        <v>1285</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108">
        <v>0</v>
      </c>
      <c r="AL27" s="25"/>
      <c r="AM27" s="26"/>
    </row>
    <row r="28" spans="1:39" ht="14.95" customHeight="1">
      <c r="A28" s="54" t="s">
        <v>454</v>
      </c>
      <c r="B28" t="s">
        <v>1809</v>
      </c>
      <c r="C28" t="s">
        <v>2215</v>
      </c>
      <c r="D28" t="s">
        <v>2216</v>
      </c>
      <c r="E28" t="s">
        <v>1285</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108">
        <v>0.04</v>
      </c>
      <c r="AL28" s="25"/>
      <c r="AM28" s="26"/>
    </row>
    <row r="29" spans="1:39" ht="14.95" customHeight="1">
      <c r="A29" s="54" t="s">
        <v>453</v>
      </c>
      <c r="B29" t="s">
        <v>1821</v>
      </c>
      <c r="C29" t="s">
        <v>2217</v>
      </c>
      <c r="D29" t="s">
        <v>2218</v>
      </c>
      <c r="E29" t="s">
        <v>1285</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108">
        <v>4.8000000000000001E-2</v>
      </c>
      <c r="AL29" s="25"/>
      <c r="AM29" s="26"/>
    </row>
    <row r="30" spans="1:39" ht="14.95" customHeight="1">
      <c r="A30" s="54" t="s">
        <v>452</v>
      </c>
      <c r="B30" t="s">
        <v>1822</v>
      </c>
      <c r="C30" t="s">
        <v>2219</v>
      </c>
      <c r="D30" t="s">
        <v>2220</v>
      </c>
      <c r="E30" t="s">
        <v>1285</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108">
        <v>2.9000000000000001E-2</v>
      </c>
      <c r="AL30" s="25"/>
      <c r="AM30" s="26"/>
    </row>
    <row r="31" spans="1:39" ht="14.95" customHeight="1">
      <c r="A31" s="54" t="s">
        <v>451</v>
      </c>
      <c r="B31" t="s">
        <v>1823</v>
      </c>
      <c r="C31" t="s">
        <v>2221</v>
      </c>
      <c r="D31" t="s">
        <v>2222</v>
      </c>
      <c r="E31" t="s">
        <v>1285</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108">
        <v>1.4E-2</v>
      </c>
      <c r="AL31" s="25"/>
      <c r="AM31" s="26"/>
    </row>
    <row r="32" spans="1:39" ht="14.95" customHeight="1">
      <c r="A32" s="54" t="s">
        <v>450</v>
      </c>
      <c r="B32" t="s">
        <v>1810</v>
      </c>
      <c r="C32" t="s">
        <v>2223</v>
      </c>
      <c r="D32" t="s">
        <v>2224</v>
      </c>
      <c r="E32" t="s">
        <v>1285</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108">
        <v>2.4E-2</v>
      </c>
      <c r="AL32" s="25"/>
      <c r="AM32" s="26"/>
    </row>
    <row r="33" spans="1:39" ht="14.95" customHeight="1">
      <c r="A33" s="54" t="s">
        <v>449</v>
      </c>
      <c r="B33" t="s">
        <v>1821</v>
      </c>
      <c r="C33" t="s">
        <v>2225</v>
      </c>
      <c r="D33" t="s">
        <v>2226</v>
      </c>
      <c r="E33" t="s">
        <v>1285</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108">
        <v>3.2000000000000001E-2</v>
      </c>
      <c r="AL33" s="25"/>
      <c r="AM33" s="26"/>
    </row>
    <row r="34" spans="1:39" ht="14.95" customHeight="1">
      <c r="A34" s="54" t="s">
        <v>448</v>
      </c>
      <c r="B34" t="s">
        <v>1822</v>
      </c>
      <c r="C34" t="s">
        <v>2227</v>
      </c>
      <c r="D34" t="s">
        <v>2228</v>
      </c>
      <c r="E34" t="s">
        <v>1285</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108">
        <v>2.1999999999999999E-2</v>
      </c>
      <c r="AL34" s="25"/>
      <c r="AM34" s="26"/>
    </row>
    <row r="35" spans="1:39" ht="14.95" customHeight="1">
      <c r="A35" s="54" t="s">
        <v>447</v>
      </c>
      <c r="B35" t="s">
        <v>1823</v>
      </c>
      <c r="C35" t="s">
        <v>2229</v>
      </c>
      <c r="D35" t="s">
        <v>2230</v>
      </c>
      <c r="E35" t="s">
        <v>1285</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108">
        <v>-7.0000000000000001E-3</v>
      </c>
      <c r="AL35" s="25"/>
      <c r="AM35" s="26"/>
    </row>
    <row r="36" spans="1:39" ht="14.95" customHeight="1">
      <c r="A36" s="54" t="s">
        <v>446</v>
      </c>
      <c r="B36" t="s">
        <v>1811</v>
      </c>
      <c r="C36" t="s">
        <v>2231</v>
      </c>
      <c r="D36" t="s">
        <v>2232</v>
      </c>
      <c r="E36" t="s">
        <v>1285</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108">
        <v>3.4000000000000002E-2</v>
      </c>
      <c r="AL36" s="25"/>
      <c r="AM36" s="26"/>
    </row>
    <row r="37" spans="1:39" ht="14.95" customHeight="1">
      <c r="A37" s="54" t="s">
        <v>445</v>
      </c>
      <c r="B37" t="s">
        <v>1821</v>
      </c>
      <c r="C37" t="s">
        <v>2233</v>
      </c>
      <c r="D37" t="s">
        <v>2234</v>
      </c>
      <c r="E37" t="s">
        <v>1285</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108">
        <v>4.7E-2</v>
      </c>
      <c r="AL37" s="25"/>
      <c r="AM37" s="26"/>
    </row>
    <row r="38" spans="1:39" ht="14.95" customHeight="1">
      <c r="A38" s="54" t="s">
        <v>444</v>
      </c>
      <c r="B38" t="s">
        <v>1822</v>
      </c>
      <c r="C38" t="s">
        <v>2235</v>
      </c>
      <c r="D38" t="s">
        <v>2236</v>
      </c>
      <c r="E38" t="s">
        <v>1285</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108">
        <v>3.3000000000000002E-2</v>
      </c>
      <c r="AL38" s="25"/>
      <c r="AM38" s="26"/>
    </row>
    <row r="39" spans="1:39" ht="14.95" customHeight="1">
      <c r="A39" s="54" t="s">
        <v>443</v>
      </c>
      <c r="B39" t="s">
        <v>1823</v>
      </c>
      <c r="C39" t="s">
        <v>2237</v>
      </c>
      <c r="D39" t="s">
        <v>2238</v>
      </c>
      <c r="E39" t="s">
        <v>1285</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108">
        <v>1.7999999999999999E-2</v>
      </c>
      <c r="AL39" s="25"/>
      <c r="AM39" s="26"/>
    </row>
    <row r="40" spans="1:39" ht="14.95" customHeight="1">
      <c r="A40" s="54" t="s">
        <v>442</v>
      </c>
      <c r="B40" t="s">
        <v>1812</v>
      </c>
      <c r="C40" t="s">
        <v>2239</v>
      </c>
      <c r="D40" t="s">
        <v>2240</v>
      </c>
      <c r="E40" t="s">
        <v>1285</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108">
        <v>3.4000000000000002E-2</v>
      </c>
      <c r="AL40" s="25"/>
      <c r="AM40" s="26"/>
    </row>
    <row r="41" spans="1:39" ht="14.95" customHeight="1">
      <c r="A41" s="54" t="s">
        <v>441</v>
      </c>
      <c r="B41" t="s">
        <v>1821</v>
      </c>
      <c r="C41" t="s">
        <v>2241</v>
      </c>
      <c r="D41" t="s">
        <v>2242</v>
      </c>
      <c r="E41" t="s">
        <v>1285</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108">
        <v>4.1000000000000002E-2</v>
      </c>
      <c r="AL41" s="25"/>
      <c r="AM41" s="26"/>
    </row>
    <row r="42" spans="1:39" ht="14.95" customHeight="1">
      <c r="A42" s="54" t="s">
        <v>440</v>
      </c>
      <c r="B42" t="s">
        <v>1822</v>
      </c>
      <c r="C42" t="s">
        <v>2243</v>
      </c>
      <c r="D42" t="s">
        <v>2244</v>
      </c>
      <c r="E42" t="s">
        <v>1285</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108">
        <v>3.1E-2</v>
      </c>
      <c r="AL42" s="25"/>
      <c r="AM42" s="26"/>
    </row>
    <row r="43" spans="1:39" ht="14.95" customHeight="1">
      <c r="A43" s="54" t="s">
        <v>439</v>
      </c>
      <c r="B43" t="s">
        <v>1823</v>
      </c>
      <c r="C43" t="s">
        <v>2245</v>
      </c>
      <c r="D43" t="s">
        <v>2246</v>
      </c>
      <c r="E43" t="s">
        <v>1285</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108">
        <v>1.0999999999999999E-2</v>
      </c>
      <c r="AL43" s="25"/>
      <c r="AM43" s="26"/>
    </row>
    <row r="44" spans="1:39" ht="14.95" customHeight="1">
      <c r="A44" s="54" t="s">
        <v>438</v>
      </c>
      <c r="B44" t="s">
        <v>1813</v>
      </c>
      <c r="C44" t="s">
        <v>2247</v>
      </c>
      <c r="D44" t="s">
        <v>2248</v>
      </c>
      <c r="E44" t="s">
        <v>1285</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108">
        <v>1.2999999999999999E-2</v>
      </c>
      <c r="AL44" s="25"/>
      <c r="AM44" s="26"/>
    </row>
    <row r="45" spans="1:39" ht="14.95" customHeight="1">
      <c r="A45" s="54" t="s">
        <v>437</v>
      </c>
      <c r="B45" t="s">
        <v>1821</v>
      </c>
      <c r="C45" t="s">
        <v>2249</v>
      </c>
      <c r="D45" t="s">
        <v>2250</v>
      </c>
      <c r="E45" t="s">
        <v>1285</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108">
        <v>1.7999999999999999E-2</v>
      </c>
      <c r="AL45" s="25"/>
      <c r="AM45" s="26"/>
    </row>
    <row r="46" spans="1:39" ht="14.95" customHeight="1">
      <c r="A46" s="54" t="s">
        <v>436</v>
      </c>
      <c r="B46" t="s">
        <v>1822</v>
      </c>
      <c r="C46" t="s">
        <v>2251</v>
      </c>
      <c r="D46" t="s">
        <v>2252</v>
      </c>
      <c r="E46" t="s">
        <v>1285</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108">
        <v>2.1000000000000001E-2</v>
      </c>
      <c r="AL46" s="25"/>
      <c r="AM46" s="26"/>
    </row>
    <row r="47" spans="1:39" ht="14.95" customHeight="1">
      <c r="A47" s="54" t="s">
        <v>435</v>
      </c>
      <c r="B47" t="s">
        <v>1823</v>
      </c>
      <c r="C47" t="s">
        <v>2253</v>
      </c>
      <c r="D47" t="s">
        <v>2254</v>
      </c>
      <c r="E47" t="s">
        <v>1285</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108">
        <v>-8.9999999999999993E-3</v>
      </c>
      <c r="AL47" s="25"/>
      <c r="AM47" s="26"/>
    </row>
    <row r="48" spans="1:39" ht="14.95" customHeight="1">
      <c r="A48" s="54" t="s">
        <v>434</v>
      </c>
      <c r="B48" t="s">
        <v>1814</v>
      </c>
      <c r="C48" t="s">
        <v>2255</v>
      </c>
      <c r="D48" t="s">
        <v>2256</v>
      </c>
      <c r="E48" t="s">
        <v>1285</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108">
        <v>3.6999999999999998E-2</v>
      </c>
      <c r="AL48" s="25"/>
      <c r="AM48" s="26"/>
    </row>
    <row r="49" spans="1:39" ht="14.95" customHeight="1">
      <c r="A49" s="54" t="s">
        <v>433</v>
      </c>
      <c r="B49" t="s">
        <v>1821</v>
      </c>
      <c r="C49" t="s">
        <v>2257</v>
      </c>
      <c r="D49" t="s">
        <v>2258</v>
      </c>
      <c r="E49" t="s">
        <v>1285</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108">
        <v>0.04</v>
      </c>
      <c r="AL49" s="25"/>
      <c r="AM49" s="26"/>
    </row>
    <row r="50" spans="1:39" ht="14.95" customHeight="1">
      <c r="A50" s="54" t="s">
        <v>432</v>
      </c>
      <c r="B50" t="s">
        <v>1822</v>
      </c>
      <c r="C50" t="s">
        <v>2259</v>
      </c>
      <c r="D50" t="s">
        <v>2260</v>
      </c>
      <c r="E50" t="s">
        <v>1285</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108">
        <v>3.1E-2</v>
      </c>
      <c r="AL50" s="25"/>
      <c r="AM50" s="26"/>
    </row>
    <row r="51" spans="1:39" ht="14.95" customHeight="1">
      <c r="A51" s="54" t="s">
        <v>431</v>
      </c>
      <c r="B51" t="s">
        <v>1823</v>
      </c>
      <c r="C51" t="s">
        <v>2261</v>
      </c>
      <c r="D51" t="s">
        <v>2262</v>
      </c>
      <c r="E51" t="s">
        <v>1285</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108">
        <v>1E-3</v>
      </c>
      <c r="AL51" s="25"/>
      <c r="AM51" s="26"/>
    </row>
    <row r="52" spans="1:39" ht="14.95" customHeight="1">
      <c r="A52" s="54" t="s">
        <v>430</v>
      </c>
      <c r="B52" t="s">
        <v>1815</v>
      </c>
      <c r="C52" t="s">
        <v>2263</v>
      </c>
      <c r="D52" t="s">
        <v>2264</v>
      </c>
      <c r="E52" t="s">
        <v>1285</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108">
        <v>8.0000000000000002E-3</v>
      </c>
      <c r="AL52" s="25"/>
      <c r="AM52" s="26"/>
    </row>
    <row r="53" spans="1:39" ht="14.95" customHeight="1">
      <c r="A53" s="54" t="s">
        <v>429</v>
      </c>
      <c r="B53" t="s">
        <v>1821</v>
      </c>
      <c r="C53" t="s">
        <v>2265</v>
      </c>
      <c r="D53" t="s">
        <v>2266</v>
      </c>
      <c r="E53" t="s">
        <v>1285</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108">
        <v>1.4E-2</v>
      </c>
      <c r="AL53" s="25"/>
      <c r="AM53" s="26"/>
    </row>
    <row r="54" spans="1:39" ht="14.95" customHeight="1">
      <c r="A54" s="54" t="s">
        <v>428</v>
      </c>
      <c r="B54" t="s">
        <v>1822</v>
      </c>
      <c r="C54" t="s">
        <v>2267</v>
      </c>
      <c r="D54" t="s">
        <v>2268</v>
      </c>
      <c r="E54" t="s">
        <v>1285</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108">
        <v>6.0000000000000001E-3</v>
      </c>
      <c r="AL54" s="25"/>
      <c r="AM54" s="26"/>
    </row>
    <row r="55" spans="1:39" ht="14.95" customHeight="1">
      <c r="A55" s="54" t="s">
        <v>427</v>
      </c>
      <c r="B55" t="s">
        <v>1823</v>
      </c>
      <c r="C55" t="s">
        <v>2269</v>
      </c>
      <c r="D55" t="s">
        <v>2270</v>
      </c>
      <c r="E55" t="s">
        <v>1285</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108">
        <v>-1.9E-2</v>
      </c>
      <c r="AL55" s="25"/>
      <c r="AM55" s="26"/>
    </row>
    <row r="56" spans="1:39" ht="14.95" customHeight="1">
      <c r="A56" s="54" t="s">
        <v>426</v>
      </c>
      <c r="B56" t="s">
        <v>1816</v>
      </c>
      <c r="C56" t="s">
        <v>2271</v>
      </c>
      <c r="D56" t="s">
        <v>2272</v>
      </c>
      <c r="E56" t="s">
        <v>1285</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108">
        <v>3.5999999999999997E-2</v>
      </c>
      <c r="AL56" s="25"/>
      <c r="AM56" s="26"/>
    </row>
    <row r="57" spans="1:39" ht="14.95" customHeight="1">
      <c r="A57" s="54" t="s">
        <v>425</v>
      </c>
      <c r="B57" t="s">
        <v>1821</v>
      </c>
      <c r="C57" t="s">
        <v>2273</v>
      </c>
      <c r="D57" t="s">
        <v>2274</v>
      </c>
      <c r="E57" t="s">
        <v>1285</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108">
        <v>4.4999999999999998E-2</v>
      </c>
      <c r="AL57" s="25"/>
      <c r="AM57" s="26"/>
    </row>
    <row r="58" spans="1:39" ht="14.95" customHeight="1">
      <c r="A58" s="54" t="s">
        <v>424</v>
      </c>
      <c r="B58" t="s">
        <v>1822</v>
      </c>
      <c r="C58" t="s">
        <v>2275</v>
      </c>
      <c r="D58" t="s">
        <v>2276</v>
      </c>
      <c r="E58" t="s">
        <v>1285</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108">
        <v>2.5000000000000001E-2</v>
      </c>
      <c r="AL58" s="25"/>
      <c r="AM58" s="26"/>
    </row>
    <row r="59" spans="1:39" ht="14.95" customHeight="1">
      <c r="A59" s="54" t="s">
        <v>423</v>
      </c>
      <c r="B59" t="s">
        <v>1823</v>
      </c>
      <c r="C59" t="s">
        <v>2277</v>
      </c>
      <c r="D59" t="s">
        <v>2278</v>
      </c>
      <c r="E59" t="s">
        <v>1285</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108">
        <v>1.2999999999999999E-2</v>
      </c>
      <c r="AL59" s="25"/>
      <c r="AM59" s="26"/>
    </row>
    <row r="60" spans="1:39" ht="14.95" customHeight="1">
      <c r="A60" s="54" t="s">
        <v>422</v>
      </c>
      <c r="B60" t="s">
        <v>1817</v>
      </c>
      <c r="C60" t="s">
        <v>2279</v>
      </c>
      <c r="D60" t="s">
        <v>2280</v>
      </c>
      <c r="E60" t="s">
        <v>1285</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108">
        <v>5.3999999999999999E-2</v>
      </c>
      <c r="AL60" s="25"/>
      <c r="AM60" s="26"/>
    </row>
    <row r="61" spans="1:39" ht="14.95" customHeight="1">
      <c r="A61" s="54" t="s">
        <v>421</v>
      </c>
      <c r="B61" t="s">
        <v>1821</v>
      </c>
      <c r="C61" t="s">
        <v>2281</v>
      </c>
      <c r="D61" t="s">
        <v>2282</v>
      </c>
      <c r="E61" t="s">
        <v>1285</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108">
        <v>0.06</v>
      </c>
      <c r="AL61" s="25"/>
      <c r="AM61" s="26"/>
    </row>
    <row r="62" spans="1:39" ht="14.95" customHeight="1">
      <c r="A62" s="54" t="s">
        <v>420</v>
      </c>
      <c r="B62" t="s">
        <v>1822</v>
      </c>
      <c r="C62" t="s">
        <v>2283</v>
      </c>
      <c r="D62" t="s">
        <v>2284</v>
      </c>
      <c r="E62" t="s">
        <v>1285</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108">
        <v>4.2999999999999997E-2</v>
      </c>
      <c r="AL62" s="25"/>
      <c r="AM62" s="26"/>
    </row>
    <row r="63" spans="1:39" ht="14.95" customHeight="1">
      <c r="A63" s="54" t="s">
        <v>419</v>
      </c>
      <c r="B63" t="s">
        <v>1823</v>
      </c>
      <c r="C63" t="s">
        <v>2285</v>
      </c>
      <c r="D63" t="s">
        <v>2286</v>
      </c>
      <c r="E63" t="s">
        <v>1285</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108">
        <v>2.3E-2</v>
      </c>
      <c r="AL63" s="25"/>
      <c r="AM63" s="26"/>
    </row>
    <row r="64" spans="1:39" ht="14.95" customHeight="1">
      <c r="A64" s="54" t="s">
        <v>418</v>
      </c>
      <c r="B64" t="s">
        <v>1818</v>
      </c>
      <c r="C64" t="s">
        <v>2287</v>
      </c>
      <c r="D64" t="s">
        <v>2288</v>
      </c>
      <c r="E64" t="s">
        <v>1285</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108">
        <v>1.9E-2</v>
      </c>
      <c r="AL64" s="25"/>
      <c r="AM64" s="26"/>
    </row>
    <row r="65" spans="1:39" ht="14.95" customHeight="1">
      <c r="A65" s="54" t="s">
        <v>417</v>
      </c>
      <c r="B65" t="s">
        <v>1821</v>
      </c>
      <c r="C65" t="s">
        <v>2289</v>
      </c>
      <c r="D65" t="s">
        <v>2290</v>
      </c>
      <c r="E65" t="s">
        <v>1285</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108">
        <v>3.2000000000000001E-2</v>
      </c>
      <c r="AL65" s="25"/>
      <c r="AM65" s="26"/>
    </row>
    <row r="66" spans="1:39" ht="14.95" customHeight="1">
      <c r="A66" s="54" t="s">
        <v>416</v>
      </c>
      <c r="B66" t="s">
        <v>1822</v>
      </c>
      <c r="C66" t="s">
        <v>2291</v>
      </c>
      <c r="D66" t="s">
        <v>2292</v>
      </c>
      <c r="E66" t="s">
        <v>1285</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108">
        <v>2.5000000000000001E-2</v>
      </c>
      <c r="AL66" s="25"/>
      <c r="AM66" s="26"/>
    </row>
    <row r="67" spans="1:39" ht="14.95" customHeight="1">
      <c r="A67" s="54" t="s">
        <v>415</v>
      </c>
      <c r="B67" t="s">
        <v>1823</v>
      </c>
      <c r="C67" t="s">
        <v>2293</v>
      </c>
      <c r="D67" t="s">
        <v>2294</v>
      </c>
      <c r="E67" t="s">
        <v>1285</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108">
        <v>0</v>
      </c>
      <c r="AL67" s="25"/>
      <c r="AM67" s="26"/>
    </row>
    <row r="68" spans="1:39" ht="14.95" customHeight="1">
      <c r="A68" s="54" t="s">
        <v>414</v>
      </c>
      <c r="B68" t="s">
        <v>153</v>
      </c>
      <c r="C68" t="s">
        <v>2295</v>
      </c>
      <c r="D68" t="s">
        <v>2296</v>
      </c>
      <c r="E68" t="s">
        <v>1285</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108">
        <v>2.7E-2</v>
      </c>
      <c r="AL68" s="32"/>
      <c r="AM68" s="30"/>
    </row>
    <row r="69" spans="1:39" ht="14.95" customHeight="1">
      <c r="A69" s="111"/>
      <c r="B69" t="s">
        <v>413</v>
      </c>
      <c r="D69" t="s">
        <v>2297</v>
      </c>
    </row>
    <row r="70" spans="1:39" ht="14.95" customHeight="1">
      <c r="A70" s="54" t="s">
        <v>412</v>
      </c>
      <c r="B70" t="s">
        <v>1806</v>
      </c>
      <c r="C70" t="s">
        <v>2298</v>
      </c>
      <c r="D70" t="s">
        <v>2299</v>
      </c>
      <c r="E70" t="s">
        <v>1285</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108">
        <v>5.0999999999999997E-2</v>
      </c>
      <c r="AL70" s="25"/>
      <c r="AM70" s="26"/>
    </row>
    <row r="71" spans="1:39" ht="14.95" customHeight="1">
      <c r="A71" s="54" t="s">
        <v>411</v>
      </c>
      <c r="B71" t="s">
        <v>1821</v>
      </c>
      <c r="C71" t="s">
        <v>2300</v>
      </c>
      <c r="D71" t="s">
        <v>2301</v>
      </c>
      <c r="E71" t="s">
        <v>1285</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108">
        <v>5.6000000000000001E-2</v>
      </c>
      <c r="AL71" s="25"/>
      <c r="AM71" s="26"/>
    </row>
    <row r="72" spans="1:39" ht="14.95" customHeight="1">
      <c r="A72" s="54" t="s">
        <v>410</v>
      </c>
      <c r="B72" t="s">
        <v>1822</v>
      </c>
      <c r="C72" t="s">
        <v>2302</v>
      </c>
      <c r="D72" t="s">
        <v>2303</v>
      </c>
      <c r="E72" t="s">
        <v>1285</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108">
        <v>5.0999999999999997E-2</v>
      </c>
      <c r="AL72" s="25"/>
      <c r="AM72" s="26"/>
    </row>
    <row r="73" spans="1:39" ht="14.95" customHeight="1">
      <c r="A73" s="54" t="s">
        <v>409</v>
      </c>
      <c r="B73" t="s">
        <v>1823</v>
      </c>
      <c r="C73" t="s">
        <v>2304</v>
      </c>
      <c r="D73" t="s">
        <v>2305</v>
      </c>
      <c r="E73" t="s">
        <v>1285</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108">
        <v>3.2000000000000001E-2</v>
      </c>
      <c r="AL73" s="25"/>
      <c r="AM73" s="26"/>
    </row>
    <row r="74" spans="1:39" ht="14.95" customHeight="1">
      <c r="A74" s="54" t="s">
        <v>408</v>
      </c>
      <c r="B74" t="s">
        <v>1807</v>
      </c>
      <c r="C74" t="s">
        <v>2306</v>
      </c>
      <c r="D74" t="s">
        <v>2307</v>
      </c>
      <c r="E74" t="s">
        <v>1285</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108">
        <v>5.8000000000000003E-2</v>
      </c>
      <c r="AL74" s="25"/>
      <c r="AM74" s="26"/>
    </row>
    <row r="75" spans="1:39" ht="14.95" customHeight="1">
      <c r="A75" s="54" t="s">
        <v>407</v>
      </c>
      <c r="B75" t="s">
        <v>1821</v>
      </c>
      <c r="C75" t="s">
        <v>2308</v>
      </c>
      <c r="D75" t="s">
        <v>2309</v>
      </c>
      <c r="E75" t="s">
        <v>1285</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108">
        <v>6.7000000000000004E-2</v>
      </c>
      <c r="AL75" s="25"/>
      <c r="AM75" s="26"/>
    </row>
    <row r="76" spans="1:39" ht="14.95" customHeight="1">
      <c r="A76" s="54" t="s">
        <v>406</v>
      </c>
      <c r="B76" t="s">
        <v>1822</v>
      </c>
      <c r="C76" t="s">
        <v>2310</v>
      </c>
      <c r="D76" t="s">
        <v>2311</v>
      </c>
      <c r="E76" t="s">
        <v>1285</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108">
        <v>5.1999999999999998E-2</v>
      </c>
      <c r="AL76" s="25"/>
      <c r="AM76" s="26"/>
    </row>
    <row r="77" spans="1:39" ht="14.95" customHeight="1">
      <c r="A77" s="54" t="s">
        <v>405</v>
      </c>
      <c r="B77" t="s">
        <v>1823</v>
      </c>
      <c r="C77" t="s">
        <v>2312</v>
      </c>
      <c r="D77" t="s">
        <v>2313</v>
      </c>
      <c r="E77" t="s">
        <v>1285</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108">
        <v>4.7E-2</v>
      </c>
      <c r="AL77" s="25"/>
      <c r="AM77" s="26"/>
    </row>
    <row r="78" spans="1:39" ht="14.95" customHeight="1">
      <c r="A78" s="54" t="s">
        <v>404</v>
      </c>
      <c r="B78" t="s">
        <v>1808</v>
      </c>
      <c r="C78" t="s">
        <v>2314</v>
      </c>
      <c r="D78" t="s">
        <v>2315</v>
      </c>
      <c r="E78" t="s">
        <v>1285</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108">
        <v>0.05</v>
      </c>
      <c r="AL78" s="25"/>
      <c r="AM78" s="26"/>
    </row>
    <row r="79" spans="1:39" ht="14.95" customHeight="1">
      <c r="A79" s="54" t="s">
        <v>403</v>
      </c>
      <c r="B79" t="s">
        <v>1821</v>
      </c>
      <c r="C79" t="s">
        <v>2316</v>
      </c>
      <c r="D79" t="s">
        <v>2317</v>
      </c>
      <c r="E79" t="s">
        <v>1285</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108">
        <v>5.3999999999999999E-2</v>
      </c>
      <c r="AL79" s="25"/>
      <c r="AM79" s="26"/>
    </row>
    <row r="80" spans="1:39" ht="14.95" customHeight="1">
      <c r="A80" s="54" t="s">
        <v>402</v>
      </c>
      <c r="B80" t="s">
        <v>1822</v>
      </c>
      <c r="C80" t="s">
        <v>2318</v>
      </c>
      <c r="D80" t="s">
        <v>2319</v>
      </c>
      <c r="E80" t="s">
        <v>1285</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108">
        <v>4.4999999999999998E-2</v>
      </c>
      <c r="AL80" s="25"/>
      <c r="AM80" s="26"/>
    </row>
    <row r="81" spans="1:39" ht="14.95" customHeight="1">
      <c r="A81" s="54" t="s">
        <v>401</v>
      </c>
      <c r="B81" t="s">
        <v>1823</v>
      </c>
      <c r="C81" t="s">
        <v>2320</v>
      </c>
      <c r="D81" t="s">
        <v>2321</v>
      </c>
      <c r="E81" t="s">
        <v>1285</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108">
        <v>3.9E-2</v>
      </c>
      <c r="AL81" s="25"/>
      <c r="AM81" s="26"/>
    </row>
    <row r="82" spans="1:39" ht="14.95" customHeight="1">
      <c r="A82" s="54" t="s">
        <v>400</v>
      </c>
      <c r="B82" t="s">
        <v>1809</v>
      </c>
      <c r="C82" t="s">
        <v>2322</v>
      </c>
      <c r="D82" t="s">
        <v>2323</v>
      </c>
      <c r="E82" t="s">
        <v>1285</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108">
        <v>7.1999999999999995E-2</v>
      </c>
      <c r="AL82" s="25"/>
      <c r="AM82" s="26"/>
    </row>
    <row r="83" spans="1:39" ht="14.95" customHeight="1">
      <c r="A83" s="54" t="s">
        <v>399</v>
      </c>
      <c r="B83" t="s">
        <v>1821</v>
      </c>
      <c r="C83" t="s">
        <v>2324</v>
      </c>
      <c r="D83" t="s">
        <v>2325</v>
      </c>
      <c r="E83" t="s">
        <v>1285</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108">
        <v>8.2000000000000003E-2</v>
      </c>
      <c r="AL83" s="25"/>
      <c r="AM83" s="26"/>
    </row>
    <row r="84" spans="1:39" ht="14.95" customHeight="1">
      <c r="A84" s="54" t="s">
        <v>398</v>
      </c>
      <c r="B84" t="s">
        <v>1822</v>
      </c>
      <c r="C84" t="s">
        <v>2326</v>
      </c>
      <c r="D84" t="s">
        <v>2327</v>
      </c>
      <c r="E84" t="s">
        <v>1285</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108">
        <v>5.0999999999999997E-2</v>
      </c>
      <c r="AL84" s="25"/>
      <c r="AM84" s="26"/>
    </row>
    <row r="85" spans="1:39" ht="14.95" customHeight="1">
      <c r="A85" s="54" t="s">
        <v>397</v>
      </c>
      <c r="B85" t="s">
        <v>1823</v>
      </c>
      <c r="C85" t="s">
        <v>2328</v>
      </c>
      <c r="D85" t="s">
        <v>2329</v>
      </c>
      <c r="E85" t="s">
        <v>1285</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108">
        <v>4.7E-2</v>
      </c>
      <c r="AL85" s="25"/>
      <c r="AM85" s="26"/>
    </row>
    <row r="86" spans="1:39" ht="14.95" customHeight="1">
      <c r="A86" s="54" t="s">
        <v>396</v>
      </c>
      <c r="B86" t="s">
        <v>1810</v>
      </c>
      <c r="C86" t="s">
        <v>2330</v>
      </c>
      <c r="D86" t="s">
        <v>2331</v>
      </c>
      <c r="E86" t="s">
        <v>1285</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108">
        <v>6.0999999999999999E-2</v>
      </c>
      <c r="AL86" s="25"/>
      <c r="AM86" s="26"/>
    </row>
    <row r="87" spans="1:39" ht="14.95" customHeight="1">
      <c r="A87" s="54" t="s">
        <v>395</v>
      </c>
      <c r="B87" t="s">
        <v>1821</v>
      </c>
      <c r="C87" t="s">
        <v>2332</v>
      </c>
      <c r="D87" t="s">
        <v>2333</v>
      </c>
      <c r="E87" t="s">
        <v>1285</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108">
        <v>6.5000000000000002E-2</v>
      </c>
      <c r="AL87" s="25"/>
      <c r="AM87" s="26"/>
    </row>
    <row r="88" spans="1:39" ht="14.95" customHeight="1">
      <c r="A88" s="54" t="s">
        <v>394</v>
      </c>
      <c r="B88" t="s">
        <v>1822</v>
      </c>
      <c r="C88" t="s">
        <v>2334</v>
      </c>
      <c r="D88" t="s">
        <v>2335</v>
      </c>
      <c r="E88" t="s">
        <v>1285</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108">
        <v>5.6000000000000001E-2</v>
      </c>
      <c r="AL88" s="25"/>
      <c r="AM88" s="26"/>
    </row>
    <row r="89" spans="1:39" ht="14.95" customHeight="1">
      <c r="A89" s="54" t="s">
        <v>393</v>
      </c>
      <c r="B89" t="s">
        <v>1823</v>
      </c>
      <c r="C89" t="s">
        <v>2336</v>
      </c>
      <c r="D89" t="s">
        <v>2337</v>
      </c>
      <c r="E89" t="s">
        <v>1285</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108">
        <v>4.2000000000000003E-2</v>
      </c>
      <c r="AL89" s="25"/>
      <c r="AM89" s="26"/>
    </row>
    <row r="90" spans="1:39" ht="14.95" customHeight="1">
      <c r="A90" s="54" t="s">
        <v>392</v>
      </c>
      <c r="B90" t="s">
        <v>1811</v>
      </c>
      <c r="C90" t="s">
        <v>2338</v>
      </c>
      <c r="D90" t="s">
        <v>2339</v>
      </c>
      <c r="E90" t="s">
        <v>1285</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108">
        <v>8.7999999999999995E-2</v>
      </c>
      <c r="AL90" s="25"/>
      <c r="AM90" s="26"/>
    </row>
    <row r="91" spans="1:39" ht="14.95" customHeight="1">
      <c r="A91" s="54" t="s">
        <v>391</v>
      </c>
      <c r="B91" t="s">
        <v>1821</v>
      </c>
      <c r="C91" t="s">
        <v>2340</v>
      </c>
      <c r="D91" t="s">
        <v>2341</v>
      </c>
      <c r="E91" t="s">
        <v>1285</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108">
        <v>0.10199999999999999</v>
      </c>
      <c r="AL91" s="25"/>
      <c r="AM91" s="26"/>
    </row>
    <row r="92" spans="1:39" ht="14.95" customHeight="1">
      <c r="A92" s="54" t="s">
        <v>390</v>
      </c>
      <c r="B92" t="s">
        <v>1822</v>
      </c>
      <c r="C92" t="s">
        <v>2342</v>
      </c>
      <c r="D92" t="s">
        <v>2343</v>
      </c>
      <c r="E92" t="s">
        <v>1285</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108">
        <v>5.8999999999999997E-2</v>
      </c>
      <c r="AL92" s="25"/>
      <c r="AM92" s="26"/>
    </row>
    <row r="93" spans="1:39" ht="14.95" customHeight="1">
      <c r="A93" s="54" t="s">
        <v>389</v>
      </c>
      <c r="B93" t="s">
        <v>1823</v>
      </c>
      <c r="C93" t="s">
        <v>2344</v>
      </c>
      <c r="D93" t="s">
        <v>2345</v>
      </c>
      <c r="E93" t="s">
        <v>1285</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108">
        <v>8.4000000000000005E-2</v>
      </c>
      <c r="AL93" s="25"/>
      <c r="AM93" s="26"/>
    </row>
    <row r="94" spans="1:39" ht="14.95" customHeight="1">
      <c r="A94" s="54" t="s">
        <v>388</v>
      </c>
      <c r="B94" t="s">
        <v>1812</v>
      </c>
      <c r="C94" t="s">
        <v>2346</v>
      </c>
      <c r="D94" t="s">
        <v>2347</v>
      </c>
      <c r="E94" t="s">
        <v>1285</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108">
        <v>6.2E-2</v>
      </c>
      <c r="AL94" s="25"/>
      <c r="AM94" s="26"/>
    </row>
    <row r="95" spans="1:39" ht="14.95" customHeight="1">
      <c r="A95" s="54" t="s">
        <v>387</v>
      </c>
      <c r="B95" t="s">
        <v>1821</v>
      </c>
      <c r="C95" t="s">
        <v>2348</v>
      </c>
      <c r="D95" t="s">
        <v>2349</v>
      </c>
      <c r="E95" t="s">
        <v>1285</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108">
        <v>7.2999999999999995E-2</v>
      </c>
      <c r="AL95" s="25"/>
      <c r="AM95" s="26"/>
    </row>
    <row r="96" spans="1:39" ht="14.95" customHeight="1">
      <c r="A96" s="54" t="s">
        <v>386</v>
      </c>
      <c r="B96" t="s">
        <v>1822</v>
      </c>
      <c r="C96" t="s">
        <v>2350</v>
      </c>
      <c r="D96" t="s">
        <v>2351</v>
      </c>
      <c r="E96" t="s">
        <v>1285</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108">
        <v>5.1999999999999998E-2</v>
      </c>
      <c r="AL96" s="25"/>
      <c r="AM96" s="26"/>
    </row>
    <row r="97" spans="1:39" ht="14.95" customHeight="1">
      <c r="A97" s="54" t="s">
        <v>385</v>
      </c>
      <c r="B97" t="s">
        <v>1823</v>
      </c>
      <c r="C97" t="s">
        <v>2352</v>
      </c>
      <c r="D97" t="s">
        <v>2353</v>
      </c>
      <c r="E97" t="s">
        <v>1285</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108">
        <v>7.0000000000000007E-2</v>
      </c>
      <c r="AL97" s="25"/>
      <c r="AM97" s="26"/>
    </row>
    <row r="98" spans="1:39" ht="14.95" customHeight="1">
      <c r="A98" s="54" t="s">
        <v>384</v>
      </c>
      <c r="B98" t="s">
        <v>1813</v>
      </c>
      <c r="C98" t="s">
        <v>2354</v>
      </c>
      <c r="D98" t="s">
        <v>2355</v>
      </c>
      <c r="E98" t="s">
        <v>1285</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108">
        <v>5.3999999999999999E-2</v>
      </c>
      <c r="AL98" s="25"/>
      <c r="AM98" s="26"/>
    </row>
    <row r="99" spans="1:39" ht="14.95" customHeight="1">
      <c r="A99" s="54" t="s">
        <v>383</v>
      </c>
      <c r="B99" t="s">
        <v>1821</v>
      </c>
      <c r="C99" t="s">
        <v>2356</v>
      </c>
      <c r="D99" t="s">
        <v>2357</v>
      </c>
      <c r="E99" t="s">
        <v>1285</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108">
        <v>6.3E-2</v>
      </c>
      <c r="AL99" s="25"/>
      <c r="AM99" s="26"/>
    </row>
    <row r="100" spans="1:39" ht="14.95" customHeight="1">
      <c r="A100" s="54" t="s">
        <v>382</v>
      </c>
      <c r="B100" t="s">
        <v>1822</v>
      </c>
      <c r="C100" t="s">
        <v>2358</v>
      </c>
      <c r="D100" t="s">
        <v>2359</v>
      </c>
      <c r="E100" t="s">
        <v>1285</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108">
        <v>0.06</v>
      </c>
      <c r="AL100" s="25"/>
      <c r="AM100" s="26"/>
    </row>
    <row r="101" spans="1:39" ht="14.95" customHeight="1">
      <c r="A101" s="54" t="s">
        <v>381</v>
      </c>
      <c r="B101" t="s">
        <v>1823</v>
      </c>
      <c r="C101" t="s">
        <v>2360</v>
      </c>
      <c r="D101" t="s">
        <v>2361</v>
      </c>
      <c r="E101" t="s">
        <v>1285</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108">
        <v>1.9E-2</v>
      </c>
      <c r="AL101" s="25"/>
      <c r="AM101" s="26"/>
    </row>
    <row r="102" spans="1:39" ht="14.95" customHeight="1">
      <c r="A102" s="54" t="s">
        <v>380</v>
      </c>
      <c r="B102" t="s">
        <v>1814</v>
      </c>
      <c r="C102" t="s">
        <v>2362</v>
      </c>
      <c r="D102" t="s">
        <v>2363</v>
      </c>
      <c r="E102" t="s">
        <v>1285</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108">
        <v>5.1999999999999998E-2</v>
      </c>
      <c r="AL102" s="25"/>
      <c r="AM102" s="26"/>
    </row>
    <row r="103" spans="1:39" ht="14.95" customHeight="1">
      <c r="A103" s="54" t="s">
        <v>379</v>
      </c>
      <c r="B103" t="s">
        <v>1821</v>
      </c>
      <c r="C103" t="s">
        <v>2364</v>
      </c>
      <c r="D103" t="s">
        <v>2365</v>
      </c>
      <c r="E103" t="s">
        <v>1285</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108">
        <v>5.3999999999999999E-2</v>
      </c>
      <c r="AL103" s="25"/>
      <c r="AM103" s="26"/>
    </row>
    <row r="104" spans="1:39" ht="14.95" customHeight="1">
      <c r="A104" s="54" t="s">
        <v>378</v>
      </c>
      <c r="B104" t="s">
        <v>1822</v>
      </c>
      <c r="C104" t="s">
        <v>2366</v>
      </c>
      <c r="D104" t="s">
        <v>2367</v>
      </c>
      <c r="E104" t="s">
        <v>1285</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108">
        <v>4.2999999999999997E-2</v>
      </c>
      <c r="AL104" s="25"/>
      <c r="AM104" s="26"/>
    </row>
    <row r="105" spans="1:39" ht="14.95" customHeight="1">
      <c r="A105" s="54" t="s">
        <v>377</v>
      </c>
      <c r="B105" t="s">
        <v>1823</v>
      </c>
      <c r="C105" t="s">
        <v>2368</v>
      </c>
      <c r="D105" t="s">
        <v>2369</v>
      </c>
      <c r="E105" t="s">
        <v>1285</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108">
        <v>2.1000000000000001E-2</v>
      </c>
      <c r="AL105" s="25"/>
      <c r="AM105" s="26"/>
    </row>
    <row r="106" spans="1:39" ht="14.95" customHeight="1">
      <c r="A106" s="54" t="s">
        <v>376</v>
      </c>
      <c r="B106" t="s">
        <v>1815</v>
      </c>
      <c r="C106" t="s">
        <v>2370</v>
      </c>
      <c r="D106" t="s">
        <v>2371</v>
      </c>
      <c r="E106" t="s">
        <v>1285</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108">
        <v>3.2000000000000001E-2</v>
      </c>
      <c r="AL106" s="25"/>
      <c r="AM106" s="26"/>
    </row>
    <row r="107" spans="1:39" ht="14.95" customHeight="1">
      <c r="A107" s="54" t="s">
        <v>375</v>
      </c>
      <c r="B107" t="s">
        <v>1821</v>
      </c>
      <c r="C107" t="s">
        <v>2372</v>
      </c>
      <c r="D107" t="s">
        <v>2373</v>
      </c>
      <c r="E107" t="s">
        <v>1285</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108">
        <v>3.6999999999999998E-2</v>
      </c>
      <c r="AL107" s="25"/>
      <c r="AM107" s="26"/>
    </row>
    <row r="108" spans="1:39" ht="14.95" customHeight="1">
      <c r="A108" s="54" t="s">
        <v>374</v>
      </c>
      <c r="B108" t="s">
        <v>1822</v>
      </c>
      <c r="C108" t="s">
        <v>2374</v>
      </c>
      <c r="D108" t="s">
        <v>2375</v>
      </c>
      <c r="E108" t="s">
        <v>1285</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108">
        <v>3.2000000000000001E-2</v>
      </c>
      <c r="AL108" s="25"/>
      <c r="AM108" s="26"/>
    </row>
    <row r="109" spans="1:39" ht="14.95" customHeight="1">
      <c r="A109" s="54" t="s">
        <v>373</v>
      </c>
      <c r="B109" t="s">
        <v>1823</v>
      </c>
      <c r="C109" t="s">
        <v>2376</v>
      </c>
      <c r="D109" t="s">
        <v>2377</v>
      </c>
      <c r="E109" t="s">
        <v>1285</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108">
        <v>3.0000000000000001E-3</v>
      </c>
      <c r="AL109" s="25"/>
      <c r="AM109" s="26"/>
    </row>
    <row r="110" spans="1:39" ht="14.95" customHeight="1">
      <c r="A110" s="54" t="s">
        <v>372</v>
      </c>
      <c r="B110" t="s">
        <v>1816</v>
      </c>
      <c r="C110" t="s">
        <v>2378</v>
      </c>
      <c r="D110" t="s">
        <v>2379</v>
      </c>
      <c r="E110" t="s">
        <v>1285</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108">
        <v>5.5E-2</v>
      </c>
      <c r="AL110" s="25"/>
      <c r="AM110" s="26"/>
    </row>
    <row r="111" spans="1:39" ht="14.95" customHeight="1">
      <c r="A111" s="54" t="s">
        <v>371</v>
      </c>
      <c r="B111" t="s">
        <v>1821</v>
      </c>
      <c r="C111" t="s">
        <v>2380</v>
      </c>
      <c r="D111" t="s">
        <v>2381</v>
      </c>
      <c r="E111" t="s">
        <v>1285</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108">
        <v>6.3E-2</v>
      </c>
      <c r="AL111" s="25"/>
      <c r="AM111" s="26"/>
    </row>
    <row r="112" spans="1:39" ht="14.95" customHeight="1">
      <c r="A112" s="54" t="s">
        <v>370</v>
      </c>
      <c r="B112" t="s">
        <v>1822</v>
      </c>
      <c r="C112" t="s">
        <v>2382</v>
      </c>
      <c r="D112" t="s">
        <v>2383</v>
      </c>
      <c r="E112" t="s">
        <v>1285</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108">
        <v>4.2999999999999997E-2</v>
      </c>
      <c r="AL112" s="25"/>
      <c r="AM112" s="26"/>
    </row>
    <row r="113" spans="1:39" ht="14.95" customHeight="1">
      <c r="A113" s="54" t="s">
        <v>369</v>
      </c>
      <c r="B113" t="s">
        <v>1823</v>
      </c>
      <c r="C113" t="s">
        <v>2384</v>
      </c>
      <c r="D113" t="s">
        <v>2385</v>
      </c>
      <c r="E113" t="s">
        <v>1285</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108">
        <v>3.5999999999999997E-2</v>
      </c>
      <c r="AL113" s="25"/>
      <c r="AM113" s="26"/>
    </row>
    <row r="114" spans="1:39" ht="14.95" customHeight="1">
      <c r="A114" s="54" t="s">
        <v>368</v>
      </c>
      <c r="B114" t="s">
        <v>1817</v>
      </c>
      <c r="C114" t="s">
        <v>2386</v>
      </c>
      <c r="D114" t="s">
        <v>2387</v>
      </c>
      <c r="E114" t="s">
        <v>1285</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108">
        <v>0.08</v>
      </c>
      <c r="AL114" s="25"/>
      <c r="AM114" s="26"/>
    </row>
    <row r="115" spans="1:39" ht="14.95" customHeight="1">
      <c r="A115" s="54" t="s">
        <v>367</v>
      </c>
      <c r="B115" t="s">
        <v>1821</v>
      </c>
      <c r="C115" t="s">
        <v>2388</v>
      </c>
      <c r="D115" t="s">
        <v>2389</v>
      </c>
      <c r="E115" t="s">
        <v>1285</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108">
        <v>8.4000000000000005E-2</v>
      </c>
      <c r="AL115" s="25"/>
      <c r="AM115" s="26"/>
    </row>
    <row r="116" spans="1:39" ht="14.95" customHeight="1">
      <c r="A116" s="54" t="s">
        <v>366</v>
      </c>
      <c r="B116" t="s">
        <v>1822</v>
      </c>
      <c r="C116" t="s">
        <v>2390</v>
      </c>
      <c r="D116" t="s">
        <v>2391</v>
      </c>
      <c r="E116" t="s">
        <v>1285</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108">
        <v>7.3999999999999996E-2</v>
      </c>
      <c r="AL116" s="25"/>
      <c r="AM116" s="26"/>
    </row>
    <row r="117" spans="1:39" ht="14.95" customHeight="1">
      <c r="A117" s="54" t="s">
        <v>365</v>
      </c>
      <c r="B117" t="s">
        <v>1823</v>
      </c>
      <c r="C117" t="s">
        <v>2392</v>
      </c>
      <c r="D117" t="s">
        <v>2393</v>
      </c>
      <c r="E117" t="s">
        <v>1285</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108">
        <v>5.7000000000000002E-2</v>
      </c>
      <c r="AL117" s="25"/>
      <c r="AM117" s="26"/>
    </row>
    <row r="118" spans="1:39" ht="14.95" customHeight="1">
      <c r="A118" s="54" t="s">
        <v>364</v>
      </c>
      <c r="B118" t="s">
        <v>1818</v>
      </c>
      <c r="C118" t="s">
        <v>2394</v>
      </c>
      <c r="D118" t="s">
        <v>2395</v>
      </c>
      <c r="E118" t="s">
        <v>1285</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108">
        <v>6.4000000000000001E-2</v>
      </c>
      <c r="AL118" s="25"/>
      <c r="AM118" s="26"/>
    </row>
    <row r="119" spans="1:39" ht="14.95" customHeight="1">
      <c r="A119" s="54" t="s">
        <v>363</v>
      </c>
      <c r="B119" t="s">
        <v>1821</v>
      </c>
      <c r="C119" t="s">
        <v>2396</v>
      </c>
      <c r="D119" t="s">
        <v>2397</v>
      </c>
      <c r="E119" t="s">
        <v>1285</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108">
        <v>7.1999999999999995E-2</v>
      </c>
      <c r="AL119" s="25"/>
      <c r="AM119" s="26"/>
    </row>
    <row r="120" spans="1:39" ht="14.95" customHeight="1">
      <c r="A120" s="54" t="s">
        <v>362</v>
      </c>
      <c r="B120" t="s">
        <v>1822</v>
      </c>
      <c r="C120" t="s">
        <v>2398</v>
      </c>
      <c r="D120" t="s">
        <v>2399</v>
      </c>
      <c r="E120" t="s">
        <v>1285</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108">
        <v>5.5E-2</v>
      </c>
      <c r="AL120" s="25"/>
      <c r="AM120" s="26"/>
    </row>
    <row r="121" spans="1:39" ht="14.95" customHeight="1">
      <c r="A121" s="54" t="s">
        <v>361</v>
      </c>
      <c r="B121" t="s">
        <v>1823</v>
      </c>
      <c r="C121" t="s">
        <v>2400</v>
      </c>
      <c r="D121" t="s">
        <v>2401</v>
      </c>
      <c r="E121" t="s">
        <v>1285</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108">
        <v>5.5E-2</v>
      </c>
      <c r="AL121" s="25"/>
      <c r="AM121" s="26"/>
    </row>
    <row r="122" spans="1:39" ht="14.95" customHeight="1">
      <c r="A122" s="54" t="s">
        <v>360</v>
      </c>
      <c r="B122" t="s">
        <v>153</v>
      </c>
      <c r="C122" t="s">
        <v>2402</v>
      </c>
      <c r="D122" t="s">
        <v>2403</v>
      </c>
      <c r="E122" t="s">
        <v>1285</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108">
        <v>5.8000000000000003E-2</v>
      </c>
      <c r="AL122" s="32"/>
      <c r="AM122" s="30"/>
    </row>
    <row r="123" spans="1:39" ht="14.95" customHeight="1">
      <c r="A123" s="111"/>
      <c r="B123" t="s">
        <v>359</v>
      </c>
      <c r="D123" t="s">
        <v>2404</v>
      </c>
    </row>
    <row r="124" spans="1:39" ht="14.95" customHeight="1">
      <c r="A124" s="54" t="s">
        <v>358</v>
      </c>
      <c r="B124" t="s">
        <v>1806</v>
      </c>
      <c r="C124" t="s">
        <v>2405</v>
      </c>
      <c r="D124" t="s">
        <v>2406</v>
      </c>
      <c r="E124" t="s">
        <v>1285</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108">
        <v>-0.106</v>
      </c>
      <c r="AL124" s="25"/>
      <c r="AM124" s="26"/>
    </row>
    <row r="125" spans="1:39" ht="14.95" customHeight="1">
      <c r="A125" s="54" t="s">
        <v>357</v>
      </c>
      <c r="B125" t="s">
        <v>1821</v>
      </c>
      <c r="C125" t="s">
        <v>2407</v>
      </c>
      <c r="D125" t="s">
        <v>2408</v>
      </c>
      <c r="E125" t="s">
        <v>1285</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146</v>
      </c>
      <c r="AL125" s="25"/>
      <c r="AM125" s="26"/>
    </row>
    <row r="126" spans="1:39" ht="14.95" customHeight="1">
      <c r="A126" s="54" t="s">
        <v>356</v>
      </c>
      <c r="B126" t="s">
        <v>1822</v>
      </c>
      <c r="C126" t="s">
        <v>2409</v>
      </c>
      <c r="D126" t="s">
        <v>2410</v>
      </c>
      <c r="E126" t="s">
        <v>1285</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146</v>
      </c>
      <c r="AL126" s="25"/>
      <c r="AM126" s="26"/>
    </row>
    <row r="127" spans="1:39" ht="14.95" customHeight="1">
      <c r="A127" s="54" t="s">
        <v>355</v>
      </c>
      <c r="B127" t="s">
        <v>1823</v>
      </c>
      <c r="C127" t="s">
        <v>2411</v>
      </c>
      <c r="D127" t="s">
        <v>2412</v>
      </c>
      <c r="E127" t="s">
        <v>1285</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108">
        <v>-0.08</v>
      </c>
      <c r="AL127" s="25"/>
      <c r="AM127" s="26"/>
    </row>
    <row r="128" spans="1:39" ht="14.95" customHeight="1">
      <c r="A128" s="54" t="s">
        <v>354</v>
      </c>
      <c r="B128" t="s">
        <v>1807</v>
      </c>
      <c r="C128" t="s">
        <v>2413</v>
      </c>
      <c r="D128" t="s">
        <v>2414</v>
      </c>
      <c r="E128" t="s">
        <v>1285</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108">
        <v>-0.109</v>
      </c>
      <c r="AL128" s="25"/>
      <c r="AM128" s="26"/>
    </row>
    <row r="129" spans="1:39" ht="14.95" customHeight="1">
      <c r="A129" s="54" t="s">
        <v>353</v>
      </c>
      <c r="B129" t="s">
        <v>1821</v>
      </c>
      <c r="C129" t="s">
        <v>2415</v>
      </c>
      <c r="D129" t="s">
        <v>2416</v>
      </c>
      <c r="E129" t="s">
        <v>1285</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146</v>
      </c>
      <c r="AL129" s="25"/>
      <c r="AM129" s="26"/>
    </row>
    <row r="130" spans="1:39" ht="14.95" customHeight="1">
      <c r="A130" s="54" t="s">
        <v>352</v>
      </c>
      <c r="B130" t="s">
        <v>1822</v>
      </c>
      <c r="C130" t="s">
        <v>2417</v>
      </c>
      <c r="D130" t="s">
        <v>2418</v>
      </c>
      <c r="E130" t="s">
        <v>1285</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146</v>
      </c>
      <c r="AL130" s="25"/>
      <c r="AM130" s="26"/>
    </row>
    <row r="131" spans="1:39" ht="14.95" customHeight="1">
      <c r="A131" s="54" t="s">
        <v>351</v>
      </c>
      <c r="B131" t="s">
        <v>1823</v>
      </c>
      <c r="C131" t="s">
        <v>2419</v>
      </c>
      <c r="D131" t="s">
        <v>2420</v>
      </c>
      <c r="E131" t="s">
        <v>1285</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108">
        <v>-9.0999999999999998E-2</v>
      </c>
      <c r="AL131" s="25"/>
      <c r="AM131" s="26"/>
    </row>
    <row r="132" spans="1:39" ht="14.95" customHeight="1">
      <c r="A132" s="54" t="s">
        <v>350</v>
      </c>
      <c r="B132" t="s">
        <v>1808</v>
      </c>
      <c r="C132" t="s">
        <v>2421</v>
      </c>
      <c r="D132" t="s">
        <v>2422</v>
      </c>
      <c r="E132" t="s">
        <v>1285</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108">
        <v>-0.19500000000000001</v>
      </c>
      <c r="AL132" s="25"/>
      <c r="AM132" s="26"/>
    </row>
    <row r="133" spans="1:39" ht="14.95" customHeight="1">
      <c r="A133" s="54" t="s">
        <v>349</v>
      </c>
      <c r="B133" t="s">
        <v>1821</v>
      </c>
      <c r="C133" t="s">
        <v>2423</v>
      </c>
      <c r="D133" t="s">
        <v>2424</v>
      </c>
      <c r="E133" t="s">
        <v>1285</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146</v>
      </c>
      <c r="AL133" s="25"/>
      <c r="AM133" s="26"/>
    </row>
    <row r="134" spans="1:39" ht="14.95" customHeight="1">
      <c r="A134" s="54" t="s">
        <v>348</v>
      </c>
      <c r="B134" t="s">
        <v>1822</v>
      </c>
      <c r="C134" t="s">
        <v>2425</v>
      </c>
      <c r="D134" t="s">
        <v>2426</v>
      </c>
      <c r="E134" t="s">
        <v>1285</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146</v>
      </c>
      <c r="AL134" s="25"/>
      <c r="AM134" s="26"/>
    </row>
    <row r="135" spans="1:39" ht="14.95" customHeight="1">
      <c r="A135" s="54" t="s">
        <v>347</v>
      </c>
      <c r="B135" t="s">
        <v>1823</v>
      </c>
      <c r="C135" t="s">
        <v>2427</v>
      </c>
      <c r="D135" t="s">
        <v>2428</v>
      </c>
      <c r="E135" t="s">
        <v>1285</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108">
        <v>-0.17299999999999999</v>
      </c>
      <c r="AL135" s="25"/>
      <c r="AM135" s="26"/>
    </row>
    <row r="136" spans="1:39" ht="14.95" customHeight="1">
      <c r="A136" s="54" t="s">
        <v>346</v>
      </c>
      <c r="B136" t="s">
        <v>1809</v>
      </c>
      <c r="C136" t="s">
        <v>2429</v>
      </c>
      <c r="D136" t="s">
        <v>2430</v>
      </c>
      <c r="E136" t="s">
        <v>1285</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108">
        <v>-7.6999999999999999E-2</v>
      </c>
      <c r="AL136" s="25"/>
      <c r="AM136" s="26"/>
    </row>
    <row r="137" spans="1:39" ht="14.95" customHeight="1">
      <c r="A137" s="54" t="s">
        <v>345</v>
      </c>
      <c r="B137" t="s">
        <v>1821</v>
      </c>
      <c r="C137" t="s">
        <v>2431</v>
      </c>
      <c r="D137" t="s">
        <v>2432</v>
      </c>
      <c r="E137" t="s">
        <v>1285</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146</v>
      </c>
      <c r="AL137" s="25"/>
      <c r="AM137" s="26"/>
    </row>
    <row r="138" spans="1:39" ht="14.95" customHeight="1">
      <c r="A138" s="54" t="s">
        <v>344</v>
      </c>
      <c r="B138" t="s">
        <v>1822</v>
      </c>
      <c r="C138" t="s">
        <v>2433</v>
      </c>
      <c r="D138" t="s">
        <v>2434</v>
      </c>
      <c r="E138" t="s">
        <v>1285</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146</v>
      </c>
      <c r="AL138" s="25"/>
      <c r="AM138" s="26"/>
    </row>
    <row r="139" spans="1:39" ht="14.95" customHeight="1">
      <c r="A139" s="54" t="s">
        <v>343</v>
      </c>
      <c r="B139" t="s">
        <v>1823</v>
      </c>
      <c r="C139" t="s">
        <v>2435</v>
      </c>
      <c r="D139" t="s">
        <v>2436</v>
      </c>
      <c r="E139" t="s">
        <v>1285</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108">
        <v>-0.04</v>
      </c>
      <c r="AL139" s="25"/>
      <c r="AM139" s="26"/>
    </row>
    <row r="140" spans="1:39" ht="14.95" customHeight="1">
      <c r="A140" s="54" t="s">
        <v>342</v>
      </c>
      <c r="B140" t="s">
        <v>1810</v>
      </c>
      <c r="C140" t="s">
        <v>2437</v>
      </c>
      <c r="D140" t="s">
        <v>2438</v>
      </c>
      <c r="E140" t="s">
        <v>1285</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146</v>
      </c>
      <c r="AL140" s="25"/>
      <c r="AM140" s="26"/>
    </row>
    <row r="141" spans="1:39" ht="14.95" customHeight="1">
      <c r="A141" s="54" t="s">
        <v>341</v>
      </c>
      <c r="B141" t="s">
        <v>1821</v>
      </c>
      <c r="C141" t="s">
        <v>2439</v>
      </c>
      <c r="D141" t="s">
        <v>2440</v>
      </c>
      <c r="E141" t="s">
        <v>1285</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146</v>
      </c>
      <c r="AL141" s="25"/>
      <c r="AM141" s="26"/>
    </row>
    <row r="142" spans="1:39" ht="14.95" customHeight="1">
      <c r="A142" s="54" t="s">
        <v>340</v>
      </c>
      <c r="B142" t="s">
        <v>1822</v>
      </c>
      <c r="C142" t="s">
        <v>2441</v>
      </c>
      <c r="D142" t="s">
        <v>2442</v>
      </c>
      <c r="E142" t="s">
        <v>1285</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146</v>
      </c>
      <c r="AL142" s="25"/>
      <c r="AM142" s="26"/>
    </row>
    <row r="143" spans="1:39" ht="14.95" customHeight="1">
      <c r="A143" s="54" t="s">
        <v>339</v>
      </c>
      <c r="B143" t="s">
        <v>1823</v>
      </c>
      <c r="C143" t="s">
        <v>2443</v>
      </c>
      <c r="D143" t="s">
        <v>2444</v>
      </c>
      <c r="E143" t="s">
        <v>1285</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146</v>
      </c>
      <c r="AL143" s="25"/>
      <c r="AM143" s="26"/>
    </row>
    <row r="144" spans="1:39" ht="14.95" customHeight="1">
      <c r="A144" s="54" t="s">
        <v>338</v>
      </c>
      <c r="B144" t="s">
        <v>1811</v>
      </c>
      <c r="C144" t="s">
        <v>2445</v>
      </c>
      <c r="D144" t="s">
        <v>2446</v>
      </c>
      <c r="E144" t="s">
        <v>1285</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108">
        <v>-0.159</v>
      </c>
      <c r="AL144" s="25"/>
      <c r="AM144" s="26"/>
    </row>
    <row r="145" spans="1:39" ht="14.95" customHeight="1">
      <c r="A145" s="54" t="s">
        <v>337</v>
      </c>
      <c r="B145" t="s">
        <v>1821</v>
      </c>
      <c r="C145" t="s">
        <v>2447</v>
      </c>
      <c r="D145" t="s">
        <v>2448</v>
      </c>
      <c r="E145" t="s">
        <v>1285</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146</v>
      </c>
      <c r="AL145" s="25"/>
      <c r="AM145" s="26"/>
    </row>
    <row r="146" spans="1:39" ht="14.95" customHeight="1">
      <c r="A146" s="54" t="s">
        <v>336</v>
      </c>
      <c r="B146" t="s">
        <v>1822</v>
      </c>
      <c r="C146" t="s">
        <v>2449</v>
      </c>
      <c r="D146" t="s">
        <v>2450</v>
      </c>
      <c r="E146" t="s">
        <v>1285</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146</v>
      </c>
      <c r="AL146" s="25"/>
      <c r="AM146" s="26"/>
    </row>
    <row r="147" spans="1:39" ht="14.95" customHeight="1">
      <c r="A147" s="54" t="s">
        <v>335</v>
      </c>
      <c r="B147" t="s">
        <v>1823</v>
      </c>
      <c r="C147" t="s">
        <v>2451</v>
      </c>
      <c r="D147" t="s">
        <v>2452</v>
      </c>
      <c r="E147" t="s">
        <v>1285</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108">
        <v>-0.13900000000000001</v>
      </c>
      <c r="AL147" s="25"/>
      <c r="AM147" s="26"/>
    </row>
    <row r="148" spans="1:39" ht="14.95" customHeight="1">
      <c r="A148" s="54" t="s">
        <v>334</v>
      </c>
      <c r="B148" t="s">
        <v>1812</v>
      </c>
      <c r="C148" t="s">
        <v>2453</v>
      </c>
      <c r="D148" t="s">
        <v>2454</v>
      </c>
      <c r="E148" t="s">
        <v>1285</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108">
        <v>-8.1000000000000003E-2</v>
      </c>
      <c r="AL148" s="25"/>
      <c r="AM148" s="26"/>
    </row>
    <row r="149" spans="1:39" ht="14.95" customHeight="1">
      <c r="A149" s="54" t="s">
        <v>333</v>
      </c>
      <c r="B149" t="s">
        <v>1821</v>
      </c>
      <c r="C149" t="s">
        <v>2455</v>
      </c>
      <c r="D149" t="s">
        <v>2456</v>
      </c>
      <c r="E149" t="s">
        <v>1285</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108">
        <v>-7.0999999999999994E-2</v>
      </c>
      <c r="AL149" s="25"/>
      <c r="AM149" s="26"/>
    </row>
    <row r="150" spans="1:39" ht="14.95" customHeight="1">
      <c r="A150" s="54" t="s">
        <v>332</v>
      </c>
      <c r="B150" t="s">
        <v>1822</v>
      </c>
      <c r="C150" t="s">
        <v>2457</v>
      </c>
      <c r="D150" t="s">
        <v>2458</v>
      </c>
      <c r="E150" t="s">
        <v>1285</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146</v>
      </c>
      <c r="AL150" s="25"/>
      <c r="AM150" s="26"/>
    </row>
    <row r="151" spans="1:39" ht="14.95" customHeight="1">
      <c r="A151" s="54" t="s">
        <v>331</v>
      </c>
      <c r="B151" t="s">
        <v>1823</v>
      </c>
      <c r="C151" t="s">
        <v>2459</v>
      </c>
      <c r="D151" t="s">
        <v>2460</v>
      </c>
      <c r="E151" t="s">
        <v>1285</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108">
        <v>-5.8999999999999997E-2</v>
      </c>
      <c r="AL151" s="25"/>
      <c r="AM151" s="26"/>
    </row>
    <row r="152" spans="1:39" ht="14.95" customHeight="1">
      <c r="A152" s="54" t="s">
        <v>330</v>
      </c>
      <c r="B152" t="s">
        <v>1813</v>
      </c>
      <c r="C152" t="s">
        <v>2461</v>
      </c>
      <c r="D152" t="s">
        <v>2462</v>
      </c>
      <c r="E152" t="s">
        <v>1285</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108">
        <v>-0.06</v>
      </c>
      <c r="AL152" s="25"/>
      <c r="AM152" s="26"/>
    </row>
    <row r="153" spans="1:39" ht="14.95" customHeight="1">
      <c r="A153" s="54" t="s">
        <v>329</v>
      </c>
      <c r="B153" t="s">
        <v>1821</v>
      </c>
      <c r="C153" t="s">
        <v>2463</v>
      </c>
      <c r="D153" t="s">
        <v>2464</v>
      </c>
      <c r="E153" t="s">
        <v>1285</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108">
        <v>-6.9000000000000006E-2</v>
      </c>
      <c r="AL153" s="25"/>
      <c r="AM153" s="26"/>
    </row>
    <row r="154" spans="1:39" ht="14.95" customHeight="1">
      <c r="A154" s="54" t="s">
        <v>328</v>
      </c>
      <c r="B154" t="s">
        <v>1822</v>
      </c>
      <c r="C154" t="s">
        <v>2465</v>
      </c>
      <c r="D154" t="s">
        <v>2466</v>
      </c>
      <c r="E154" t="s">
        <v>1285</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146</v>
      </c>
      <c r="AL154" s="25"/>
      <c r="AM154" s="26"/>
    </row>
    <row r="155" spans="1:39" ht="14.95" customHeight="1">
      <c r="A155" s="54" t="s">
        <v>327</v>
      </c>
      <c r="B155" t="s">
        <v>1823</v>
      </c>
      <c r="C155" t="s">
        <v>2467</v>
      </c>
      <c r="D155" t="s">
        <v>2468</v>
      </c>
      <c r="E155" t="s">
        <v>1285</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108">
        <v>-3.7999999999999999E-2</v>
      </c>
      <c r="AL155" s="25"/>
      <c r="AM155" s="26"/>
    </row>
    <row r="156" spans="1:39" ht="14.95" customHeight="1">
      <c r="A156" s="54" t="s">
        <v>326</v>
      </c>
      <c r="B156" t="s">
        <v>1814</v>
      </c>
      <c r="C156" t="s">
        <v>2469</v>
      </c>
      <c r="D156" t="s">
        <v>2470</v>
      </c>
      <c r="E156" t="s">
        <v>1285</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108">
        <v>-0.129</v>
      </c>
      <c r="AL156" s="25"/>
      <c r="AM156" s="26"/>
    </row>
    <row r="157" spans="1:39" ht="14.95" customHeight="1">
      <c r="A157" s="54" t="s">
        <v>325</v>
      </c>
      <c r="B157" t="s">
        <v>1821</v>
      </c>
      <c r="C157" t="s">
        <v>2471</v>
      </c>
      <c r="D157" t="s">
        <v>2472</v>
      </c>
      <c r="E157" t="s">
        <v>1285</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146</v>
      </c>
      <c r="AL157" s="25"/>
      <c r="AM157" s="26"/>
    </row>
    <row r="158" spans="1:39" ht="14.95" customHeight="1">
      <c r="A158" s="54" t="s">
        <v>324</v>
      </c>
      <c r="B158" t="s">
        <v>1822</v>
      </c>
      <c r="C158" t="s">
        <v>2473</v>
      </c>
      <c r="D158" t="s">
        <v>2474</v>
      </c>
      <c r="E158" t="s">
        <v>1285</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146</v>
      </c>
      <c r="AL158" s="25"/>
      <c r="AM158" s="26"/>
    </row>
    <row r="159" spans="1:39" ht="14.95" customHeight="1">
      <c r="A159" s="54" t="s">
        <v>323</v>
      </c>
      <c r="B159" t="s">
        <v>1823</v>
      </c>
      <c r="C159" t="s">
        <v>2475</v>
      </c>
      <c r="D159" t="s">
        <v>2476</v>
      </c>
      <c r="E159" t="s">
        <v>1285</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108">
        <v>-5.7000000000000002E-2</v>
      </c>
      <c r="AL159" s="25"/>
      <c r="AM159" s="26"/>
    </row>
    <row r="160" spans="1:39" ht="14.95" customHeight="1">
      <c r="A160" s="54" t="s">
        <v>322</v>
      </c>
      <c r="B160" t="s">
        <v>1815</v>
      </c>
      <c r="C160" t="s">
        <v>2477</v>
      </c>
      <c r="D160" t="s">
        <v>2478</v>
      </c>
      <c r="E160" t="s">
        <v>1285</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108">
        <v>-9.5000000000000001E-2</v>
      </c>
      <c r="AL160" s="25"/>
      <c r="AM160" s="26"/>
    </row>
    <row r="161" spans="1:39" ht="14.95" customHeight="1">
      <c r="A161" s="54" t="s">
        <v>321</v>
      </c>
      <c r="B161" t="s">
        <v>1821</v>
      </c>
      <c r="C161" t="s">
        <v>2479</v>
      </c>
      <c r="D161" t="s">
        <v>2480</v>
      </c>
      <c r="E161" t="s">
        <v>1285</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108">
        <v>-7.1999999999999995E-2</v>
      </c>
      <c r="AL161" s="25"/>
      <c r="AM161" s="26"/>
    </row>
    <row r="162" spans="1:39" ht="14.95" customHeight="1">
      <c r="A162" s="54" t="s">
        <v>320</v>
      </c>
      <c r="B162" t="s">
        <v>1822</v>
      </c>
      <c r="C162" t="s">
        <v>2481</v>
      </c>
      <c r="D162" t="s">
        <v>2482</v>
      </c>
      <c r="E162" t="s">
        <v>1285</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146</v>
      </c>
      <c r="AL162" s="25"/>
      <c r="AM162" s="26"/>
    </row>
    <row r="163" spans="1:39" ht="14.95" customHeight="1">
      <c r="A163" s="54" t="s">
        <v>319</v>
      </c>
      <c r="B163" t="s">
        <v>1823</v>
      </c>
      <c r="C163" t="s">
        <v>2483</v>
      </c>
      <c r="D163" t="s">
        <v>2484</v>
      </c>
      <c r="E163" t="s">
        <v>1285</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146</v>
      </c>
      <c r="AL163" s="25"/>
      <c r="AM163" s="26"/>
    </row>
    <row r="164" spans="1:39" ht="14.95" customHeight="1">
      <c r="A164" s="54" t="s">
        <v>318</v>
      </c>
      <c r="B164" t="s">
        <v>1816</v>
      </c>
      <c r="C164" t="s">
        <v>2485</v>
      </c>
      <c r="D164" t="s">
        <v>2486</v>
      </c>
      <c r="E164" t="s">
        <v>1285</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108">
        <v>-9.5000000000000001E-2</v>
      </c>
      <c r="AL164" s="25"/>
      <c r="AM164" s="26"/>
    </row>
    <row r="165" spans="1:39" ht="14.95" customHeight="1">
      <c r="A165" s="54" t="s">
        <v>317</v>
      </c>
      <c r="B165" t="s">
        <v>1821</v>
      </c>
      <c r="C165" t="s">
        <v>2487</v>
      </c>
      <c r="D165" t="s">
        <v>2488</v>
      </c>
      <c r="E165" t="s">
        <v>1285</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146</v>
      </c>
      <c r="AL165" s="25"/>
      <c r="AM165" s="26"/>
    </row>
    <row r="166" spans="1:39" ht="14.95" customHeight="1">
      <c r="A166" s="54" t="s">
        <v>316</v>
      </c>
      <c r="B166" t="s">
        <v>1822</v>
      </c>
      <c r="C166" t="s">
        <v>2489</v>
      </c>
      <c r="D166" t="s">
        <v>2490</v>
      </c>
      <c r="E166" t="s">
        <v>1285</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146</v>
      </c>
      <c r="AL166" s="25"/>
      <c r="AM166" s="26"/>
    </row>
    <row r="167" spans="1:39" ht="14.95" customHeight="1">
      <c r="A167" s="54" t="s">
        <v>315</v>
      </c>
      <c r="B167" t="s">
        <v>1823</v>
      </c>
      <c r="C167" t="s">
        <v>2491</v>
      </c>
      <c r="D167" t="s">
        <v>2492</v>
      </c>
      <c r="E167" t="s">
        <v>1285</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108">
        <v>-5.0999999999999997E-2</v>
      </c>
      <c r="AL167" s="25"/>
      <c r="AM167" s="26"/>
    </row>
    <row r="168" spans="1:39" ht="14.95" customHeight="1">
      <c r="A168" s="54" t="s">
        <v>314</v>
      </c>
      <c r="B168" t="s">
        <v>1817</v>
      </c>
      <c r="C168" t="s">
        <v>2493</v>
      </c>
      <c r="D168" t="s">
        <v>2494</v>
      </c>
      <c r="E168" t="s">
        <v>1285</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108">
        <v>-0.13300000000000001</v>
      </c>
      <c r="AL168" s="25"/>
      <c r="AM168" s="26"/>
    </row>
    <row r="169" spans="1:39" ht="14.95" customHeight="1">
      <c r="A169" s="54" t="s">
        <v>313</v>
      </c>
      <c r="B169" t="s">
        <v>1821</v>
      </c>
      <c r="C169" t="s">
        <v>2495</v>
      </c>
      <c r="D169" t="s">
        <v>2496</v>
      </c>
      <c r="E169" t="s">
        <v>1285</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146</v>
      </c>
      <c r="AL169" s="25"/>
      <c r="AM169" s="26"/>
    </row>
    <row r="170" spans="1:39" ht="14.95" customHeight="1">
      <c r="A170" s="54" t="s">
        <v>312</v>
      </c>
      <c r="B170" t="s">
        <v>1822</v>
      </c>
      <c r="C170" t="s">
        <v>2497</v>
      </c>
      <c r="D170" t="s">
        <v>2498</v>
      </c>
      <c r="E170" t="s">
        <v>1285</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146</v>
      </c>
      <c r="AL170" s="25"/>
      <c r="AM170" s="26"/>
    </row>
    <row r="171" spans="1:39" ht="14.95" customHeight="1">
      <c r="A171" s="54" t="s">
        <v>311</v>
      </c>
      <c r="B171" t="s">
        <v>1823</v>
      </c>
      <c r="C171" t="s">
        <v>2499</v>
      </c>
      <c r="D171" t="s">
        <v>2500</v>
      </c>
      <c r="E171" t="s">
        <v>1285</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108">
        <v>-8.4000000000000005E-2</v>
      </c>
      <c r="AL171" s="25"/>
      <c r="AM171" s="26"/>
    </row>
    <row r="172" spans="1:39" ht="14.95" customHeight="1">
      <c r="A172" s="54" t="s">
        <v>310</v>
      </c>
      <c r="B172" t="s">
        <v>1818</v>
      </c>
      <c r="C172" t="s">
        <v>2501</v>
      </c>
      <c r="D172" t="s">
        <v>2502</v>
      </c>
      <c r="E172" t="s">
        <v>1285</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108">
        <v>-0.13300000000000001</v>
      </c>
      <c r="AL172" s="25"/>
      <c r="AM172" s="26"/>
    </row>
    <row r="173" spans="1:39" ht="14.95" customHeight="1">
      <c r="A173" s="54" t="s">
        <v>309</v>
      </c>
      <c r="B173" t="s">
        <v>1821</v>
      </c>
      <c r="C173" t="s">
        <v>2503</v>
      </c>
      <c r="D173" t="s">
        <v>2504</v>
      </c>
      <c r="E173" t="s">
        <v>1285</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146</v>
      </c>
      <c r="AL173" s="25"/>
      <c r="AM173" s="26"/>
    </row>
    <row r="174" spans="1:39" ht="14.95" customHeight="1">
      <c r="A174" s="54" t="s">
        <v>308</v>
      </c>
      <c r="B174" t="s">
        <v>1822</v>
      </c>
      <c r="C174" t="s">
        <v>2505</v>
      </c>
      <c r="D174" t="s">
        <v>2506</v>
      </c>
      <c r="E174" t="s">
        <v>1285</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108">
        <v>-7.2999999999999995E-2</v>
      </c>
      <c r="AL174" s="25"/>
      <c r="AM174" s="26"/>
    </row>
    <row r="175" spans="1:39" ht="14.95" customHeight="1">
      <c r="A175" s="54" t="s">
        <v>307</v>
      </c>
      <c r="B175" t="s">
        <v>1823</v>
      </c>
      <c r="C175" t="s">
        <v>2507</v>
      </c>
      <c r="D175" t="s">
        <v>2508</v>
      </c>
      <c r="E175" t="s">
        <v>1285</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146</v>
      </c>
      <c r="AL175" s="25"/>
      <c r="AM175" s="26"/>
    </row>
    <row r="176" spans="1:39" ht="14.95" customHeight="1">
      <c r="A176" s="54" t="s">
        <v>306</v>
      </c>
      <c r="B176" t="s">
        <v>153</v>
      </c>
      <c r="C176" t="s">
        <v>2509</v>
      </c>
      <c r="D176" t="s">
        <v>2510</v>
      </c>
      <c r="E176" t="s">
        <v>1285</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108">
        <v>-0.104</v>
      </c>
      <c r="AL176" s="32"/>
      <c r="AM176" s="30"/>
    </row>
    <row r="177" spans="1:39" ht="14.95" customHeight="1">
      <c r="A177" s="111"/>
      <c r="B177" t="s">
        <v>305</v>
      </c>
      <c r="D177" t="s">
        <v>2511</v>
      </c>
    </row>
    <row r="178" spans="1:39" ht="14.95" customHeight="1">
      <c r="A178" s="54" t="s">
        <v>304</v>
      </c>
      <c r="B178" t="s">
        <v>1806</v>
      </c>
      <c r="C178" t="s">
        <v>2512</v>
      </c>
      <c r="D178" t="s">
        <v>2513</v>
      </c>
      <c r="E178" t="s">
        <v>1285</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108">
        <v>1.7000000000000001E-2</v>
      </c>
      <c r="AL178" s="25"/>
      <c r="AM178" s="26"/>
    </row>
    <row r="179" spans="1:39" ht="14.95" customHeight="1">
      <c r="A179" s="54" t="s">
        <v>303</v>
      </c>
      <c r="B179" t="s">
        <v>1807</v>
      </c>
      <c r="C179" t="s">
        <v>2514</v>
      </c>
      <c r="D179" t="s">
        <v>2515</v>
      </c>
      <c r="E179" t="s">
        <v>1285</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108">
        <v>4.0000000000000001E-3</v>
      </c>
      <c r="AL179" s="25"/>
      <c r="AM179" s="26"/>
    </row>
    <row r="180" spans="1:39" ht="14.95" customHeight="1">
      <c r="A180" s="54" t="s">
        <v>302</v>
      </c>
      <c r="B180" t="s">
        <v>1808</v>
      </c>
      <c r="C180" t="s">
        <v>2516</v>
      </c>
      <c r="D180" t="s">
        <v>2517</v>
      </c>
      <c r="E180" t="s">
        <v>1285</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108">
        <v>1.7999999999999999E-2</v>
      </c>
      <c r="AL180" s="25"/>
      <c r="AM180" s="26"/>
    </row>
    <row r="181" spans="1:39" ht="14.95" customHeight="1">
      <c r="A181" s="54" t="s">
        <v>301</v>
      </c>
      <c r="B181" t="s">
        <v>1809</v>
      </c>
      <c r="C181" t="s">
        <v>2518</v>
      </c>
      <c r="D181" t="s">
        <v>2519</v>
      </c>
      <c r="E181" t="s">
        <v>1285</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108">
        <v>0.01</v>
      </c>
      <c r="AL181" s="25"/>
      <c r="AM181" s="26"/>
    </row>
    <row r="182" spans="1:39" ht="14.95" customHeight="1">
      <c r="A182" s="54" t="s">
        <v>300</v>
      </c>
      <c r="B182" t="s">
        <v>1810</v>
      </c>
      <c r="C182" t="s">
        <v>2520</v>
      </c>
      <c r="D182" t="s">
        <v>2521</v>
      </c>
      <c r="E182" t="s">
        <v>1285</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108">
        <v>7.0000000000000001E-3</v>
      </c>
      <c r="AL182" s="25"/>
      <c r="AM182" s="26"/>
    </row>
    <row r="183" spans="1:39" ht="14.95" customHeight="1">
      <c r="A183" s="54" t="s">
        <v>299</v>
      </c>
      <c r="B183" t="s">
        <v>1811</v>
      </c>
      <c r="C183" t="s">
        <v>2522</v>
      </c>
      <c r="D183" t="s">
        <v>2523</v>
      </c>
      <c r="E183" t="s">
        <v>1285</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108">
        <v>2.1000000000000001E-2</v>
      </c>
      <c r="AL183" s="25"/>
      <c r="AM183" s="26"/>
    </row>
    <row r="184" spans="1:39" ht="14.95" customHeight="1">
      <c r="A184" s="54" t="s">
        <v>298</v>
      </c>
      <c r="B184" t="s">
        <v>1812</v>
      </c>
      <c r="C184" t="s">
        <v>2524</v>
      </c>
      <c r="D184" t="s">
        <v>2525</v>
      </c>
      <c r="E184" t="s">
        <v>1285</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108">
        <v>2.3E-2</v>
      </c>
      <c r="AL184" s="25"/>
      <c r="AM184" s="26"/>
    </row>
    <row r="185" spans="1:39" ht="14.95" customHeight="1">
      <c r="A185" s="54" t="s">
        <v>297</v>
      </c>
      <c r="B185" t="s">
        <v>1813</v>
      </c>
      <c r="C185" t="s">
        <v>2526</v>
      </c>
      <c r="D185" t="s">
        <v>2527</v>
      </c>
      <c r="E185" t="s">
        <v>1285</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108">
        <v>2.1000000000000001E-2</v>
      </c>
      <c r="AL185" s="25"/>
      <c r="AM185" s="26"/>
    </row>
    <row r="186" spans="1:39" ht="14.95" customHeight="1">
      <c r="A186" s="54" t="s">
        <v>296</v>
      </c>
      <c r="B186" t="s">
        <v>1814</v>
      </c>
      <c r="C186" t="s">
        <v>2528</v>
      </c>
      <c r="D186" t="s">
        <v>2529</v>
      </c>
      <c r="E186" t="s">
        <v>1285</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108">
        <v>0.02</v>
      </c>
      <c r="AL186" s="25"/>
      <c r="AM186" s="26"/>
    </row>
    <row r="187" spans="1:39" ht="14.95" customHeight="1">
      <c r="A187" s="54" t="s">
        <v>295</v>
      </c>
      <c r="B187" t="s">
        <v>1815</v>
      </c>
      <c r="C187" t="s">
        <v>2530</v>
      </c>
      <c r="D187" t="s">
        <v>2531</v>
      </c>
      <c r="E187" t="s">
        <v>1285</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108">
        <v>8.9999999999999993E-3</v>
      </c>
      <c r="AL187" s="25"/>
      <c r="AM187" s="26"/>
    </row>
    <row r="188" spans="1:39" ht="14.95" customHeight="1">
      <c r="A188" s="54" t="s">
        <v>294</v>
      </c>
      <c r="B188" t="s">
        <v>1816</v>
      </c>
      <c r="C188" t="s">
        <v>2532</v>
      </c>
      <c r="D188" t="s">
        <v>2533</v>
      </c>
      <c r="E188" t="s">
        <v>1285</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108">
        <v>0.02</v>
      </c>
      <c r="AL188" s="25"/>
      <c r="AM188" s="26"/>
    </row>
    <row r="189" spans="1:39" ht="14.95" customHeight="1">
      <c r="A189" s="54" t="s">
        <v>293</v>
      </c>
      <c r="B189" t="s">
        <v>1817</v>
      </c>
      <c r="C189" t="s">
        <v>2534</v>
      </c>
      <c r="D189" t="s">
        <v>2535</v>
      </c>
      <c r="E189" t="s">
        <v>1285</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108">
        <v>0.03</v>
      </c>
      <c r="AL189" s="25"/>
      <c r="AM189" s="26"/>
    </row>
    <row r="190" spans="1:39" ht="14.95" customHeight="1">
      <c r="A190" s="54" t="s">
        <v>292</v>
      </c>
      <c r="B190" t="s">
        <v>1818</v>
      </c>
      <c r="C190" t="s">
        <v>2536</v>
      </c>
      <c r="D190" t="s">
        <v>2537</v>
      </c>
      <c r="E190" t="s">
        <v>1285</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108">
        <v>2.9000000000000001E-2</v>
      </c>
      <c r="AL190" s="25"/>
      <c r="AM190" s="26"/>
    </row>
    <row r="191" spans="1:39" ht="14.95" customHeight="1" thickBot="1">
      <c r="A191" s="54" t="s">
        <v>291</v>
      </c>
      <c r="B191" t="s">
        <v>153</v>
      </c>
      <c r="C191" t="s">
        <v>2538</v>
      </c>
      <c r="D191" t="s">
        <v>2539</v>
      </c>
      <c r="E191" t="s">
        <v>1285</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108">
        <v>1.6E-2</v>
      </c>
      <c r="AL191" s="32"/>
      <c r="AM191" s="30"/>
    </row>
    <row r="192" spans="1:39" ht="14.95" customHeight="1">
      <c r="A192" s="111"/>
      <c r="AL192" s="63"/>
      <c r="AM192" s="63"/>
    </row>
  </sheetData>
  <phoneticPr fontId="59" type="noConversion"/>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270"/>
  <sheetViews>
    <sheetView topLeftCell="A126" workbookViewId="0">
      <selection activeCell="A197" sqref="A197:XFD197"/>
    </sheetView>
  </sheetViews>
  <sheetFormatPr defaultRowHeight="12.9"/>
  <cols>
    <col min="1" max="1" width="20.125" style="114" customWidth="1"/>
    <col min="2" max="2" width="37.125" style="40" customWidth="1"/>
  </cols>
  <sheetData>
    <row r="1" spans="2:38" ht="14.95" customHeight="1">
      <c r="B1" s="40" t="s">
        <v>1343</v>
      </c>
      <c r="C1" s="53"/>
      <c r="D1" s="53"/>
      <c r="E1" s="53"/>
      <c r="F1" s="53"/>
      <c r="G1" s="53">
        <v>2020</v>
      </c>
      <c r="H1" s="53">
        <v>2021</v>
      </c>
      <c r="I1" s="53">
        <v>2022</v>
      </c>
      <c r="J1" s="53">
        <v>2023</v>
      </c>
      <c r="K1" s="53">
        <v>2024</v>
      </c>
      <c r="L1" s="53">
        <v>2025</v>
      </c>
      <c r="M1" s="53">
        <v>2026</v>
      </c>
      <c r="N1" s="53">
        <v>2027</v>
      </c>
      <c r="O1" s="53">
        <v>2028</v>
      </c>
      <c r="P1" s="53">
        <v>2029</v>
      </c>
      <c r="Q1" s="53">
        <v>2030</v>
      </c>
      <c r="R1" s="53">
        <v>2031</v>
      </c>
      <c r="S1" s="53">
        <v>2032</v>
      </c>
      <c r="T1" s="53">
        <v>2033</v>
      </c>
      <c r="U1" s="53">
        <v>2034</v>
      </c>
      <c r="V1" s="53">
        <v>2035</v>
      </c>
      <c r="W1" s="53">
        <v>2036</v>
      </c>
      <c r="X1" s="53">
        <v>2037</v>
      </c>
      <c r="Y1" s="53">
        <v>2038</v>
      </c>
      <c r="Z1" s="53">
        <v>2039</v>
      </c>
      <c r="AA1" s="53">
        <v>2040</v>
      </c>
      <c r="AB1" s="53">
        <v>2041</v>
      </c>
      <c r="AC1" s="53">
        <v>2042</v>
      </c>
      <c r="AD1" s="53">
        <v>2043</v>
      </c>
      <c r="AE1" s="53">
        <v>2044</v>
      </c>
      <c r="AF1" s="53">
        <v>2045</v>
      </c>
      <c r="AG1" s="53">
        <v>2046</v>
      </c>
      <c r="AH1" s="53">
        <v>2047</v>
      </c>
      <c r="AI1" s="53">
        <v>2048</v>
      </c>
      <c r="AJ1" s="53">
        <v>2049</v>
      </c>
      <c r="AK1" s="53">
        <v>2050</v>
      </c>
      <c r="AL1" s="53" t="s">
        <v>1286</v>
      </c>
    </row>
    <row r="2" spans="2:38" ht="14.95" customHeight="1"/>
    <row r="3" spans="2:38" ht="14.95" customHeight="1"/>
    <row r="4" spans="2:38" ht="14.95" customHeight="1"/>
    <row r="5" spans="2:38" ht="14.95" customHeight="1"/>
    <row r="6" spans="2:38" ht="14.95" customHeight="1"/>
    <row r="10" spans="2:38" ht="14.95" customHeight="1">
      <c r="B10" s="110" t="s">
        <v>832</v>
      </c>
    </row>
    <row r="11" spans="2:38" ht="14.95" customHeight="1">
      <c r="C11" t="s">
        <v>2540</v>
      </c>
    </row>
    <row r="12" spans="2:38" ht="14.95" customHeight="1">
      <c r="C12" t="s">
        <v>2541</v>
      </c>
    </row>
    <row r="13" spans="2:38" ht="14.95" customHeight="1">
      <c r="C13" t="s">
        <v>2542</v>
      </c>
    </row>
    <row r="14" spans="2:38" ht="14.95" customHeight="1">
      <c r="C14" t="s">
        <v>1194</v>
      </c>
    </row>
    <row r="15" spans="2:38" ht="14.95" customHeight="1">
      <c r="D15" t="s">
        <v>1195</v>
      </c>
      <c r="E15" t="s">
        <v>1284</v>
      </c>
      <c r="F15" t="s">
        <v>1285</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1286</v>
      </c>
    </row>
    <row r="16" spans="2:38">
      <c r="C16" t="s">
        <v>831</v>
      </c>
      <c r="E16" t="s">
        <v>2567</v>
      </c>
    </row>
    <row r="17" spans="1:38" ht="14.95" customHeight="1">
      <c r="C17" t="s">
        <v>2543</v>
      </c>
      <c r="E17" t="s">
        <v>2568</v>
      </c>
    </row>
    <row r="18" spans="1:38" ht="14.95" customHeight="1">
      <c r="C18" t="s">
        <v>1217</v>
      </c>
      <c r="E18" t="s">
        <v>2569</v>
      </c>
    </row>
    <row r="19" spans="1:38" ht="14.95" customHeight="1">
      <c r="A19" s="118" t="s">
        <v>115</v>
      </c>
      <c r="B19" s="110" t="s">
        <v>830</v>
      </c>
      <c r="C19" t="s">
        <v>1262</v>
      </c>
      <c r="D19" t="s">
        <v>2570</v>
      </c>
      <c r="E19" t="s">
        <v>2571</v>
      </c>
      <c r="F19" t="s">
        <v>1890</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108">
        <v>1.6E-2</v>
      </c>
    </row>
    <row r="20" spans="1:38" ht="14.95" customHeight="1">
      <c r="A20" s="118" t="s">
        <v>114</v>
      </c>
      <c r="B20" s="110" t="s">
        <v>829</v>
      </c>
      <c r="C20" t="s">
        <v>1348</v>
      </c>
      <c r="D20" t="s">
        <v>2572</v>
      </c>
      <c r="E20" t="s">
        <v>2573</v>
      </c>
      <c r="F20" t="s">
        <v>1890</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108">
        <v>2.4E-2</v>
      </c>
    </row>
    <row r="21" spans="1:38" ht="14.95" customHeight="1">
      <c r="A21" s="118" t="s">
        <v>853</v>
      </c>
      <c r="B21" s="110" t="s">
        <v>828</v>
      </c>
      <c r="C21" t="s">
        <v>1269</v>
      </c>
      <c r="D21" t="s">
        <v>2574</v>
      </c>
      <c r="E21" t="s">
        <v>2575</v>
      </c>
      <c r="F21" t="s">
        <v>1890</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108">
        <v>0.104</v>
      </c>
    </row>
    <row r="22" spans="1:38" ht="14.95" customHeight="1">
      <c r="A22" s="118" t="s">
        <v>113</v>
      </c>
      <c r="B22" s="110" t="s">
        <v>827</v>
      </c>
      <c r="C22" t="s">
        <v>1278</v>
      </c>
      <c r="D22" t="s">
        <v>2576</v>
      </c>
      <c r="E22" t="s">
        <v>2577</v>
      </c>
      <c r="F22" t="s">
        <v>1890</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108">
        <v>7.9000000000000001E-2</v>
      </c>
    </row>
    <row r="23" spans="1:38" ht="14.95" customHeight="1">
      <c r="A23" s="118" t="s">
        <v>114</v>
      </c>
      <c r="B23" s="110" t="s">
        <v>826</v>
      </c>
      <c r="C23" t="s">
        <v>2544</v>
      </c>
      <c r="D23" t="s">
        <v>2578</v>
      </c>
      <c r="E23" t="s">
        <v>2579</v>
      </c>
      <c r="F23" t="s">
        <v>1890</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108">
        <v>5.8000000000000003E-2</v>
      </c>
    </row>
    <row r="24" spans="1:38" ht="14.95" customHeight="1">
      <c r="A24" s="118" t="s">
        <v>112</v>
      </c>
      <c r="B24" s="110" t="s">
        <v>825</v>
      </c>
      <c r="C24" t="s">
        <v>1573</v>
      </c>
      <c r="D24" t="s">
        <v>2580</v>
      </c>
      <c r="E24" t="s">
        <v>2581</v>
      </c>
      <c r="F24" t="s">
        <v>1890</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108">
        <v>0.13600000000000001</v>
      </c>
    </row>
    <row r="25" spans="1:38" ht="14.95" customHeight="1">
      <c r="A25" s="118" t="s">
        <v>116</v>
      </c>
      <c r="B25" s="110" t="s">
        <v>824</v>
      </c>
      <c r="C25" t="s">
        <v>2545</v>
      </c>
      <c r="D25" t="s">
        <v>2582</v>
      </c>
      <c r="E25" t="s">
        <v>2583</v>
      </c>
      <c r="F25" t="s">
        <v>1890</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108">
        <v>0.14399999999999999</v>
      </c>
    </row>
    <row r="26" spans="1:38" ht="14.95" customHeight="1">
      <c r="A26" s="118" t="s">
        <v>116</v>
      </c>
      <c r="B26" s="110" t="s">
        <v>823</v>
      </c>
      <c r="C26" t="s">
        <v>2546</v>
      </c>
      <c r="D26" t="s">
        <v>2584</v>
      </c>
      <c r="E26" t="s">
        <v>2585</v>
      </c>
      <c r="F26" t="s">
        <v>1890</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108">
        <v>0.14399999999999999</v>
      </c>
    </row>
    <row r="27" spans="1:38" ht="14.95" customHeight="1">
      <c r="A27" s="118" t="s">
        <v>854</v>
      </c>
      <c r="B27" s="110" t="s">
        <v>822</v>
      </c>
      <c r="C27" t="s">
        <v>1577</v>
      </c>
      <c r="D27" t="s">
        <v>2586</v>
      </c>
      <c r="E27" t="s">
        <v>2587</v>
      </c>
      <c r="F27" t="s">
        <v>1890</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108">
        <v>0.106</v>
      </c>
    </row>
    <row r="28" spans="1:38" ht="14.95" customHeight="1">
      <c r="B28" s="110" t="s">
        <v>821</v>
      </c>
      <c r="C28" t="s">
        <v>2547</v>
      </c>
      <c r="D28" t="s">
        <v>2588</v>
      </c>
      <c r="E28" t="s">
        <v>2589</v>
      </c>
      <c r="F28" t="s">
        <v>1890</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108">
        <v>2.3E-2</v>
      </c>
    </row>
    <row r="29" spans="1:38" ht="14.95" customHeight="1">
      <c r="C29" t="s">
        <v>1219</v>
      </c>
      <c r="E29" t="s">
        <v>2590</v>
      </c>
    </row>
    <row r="30" spans="1:38" ht="14.95" customHeight="1">
      <c r="A30" s="118" t="s">
        <v>115</v>
      </c>
      <c r="B30" s="110" t="s">
        <v>820</v>
      </c>
      <c r="C30" t="s">
        <v>1262</v>
      </c>
      <c r="D30" t="s">
        <v>2591</v>
      </c>
      <c r="E30" t="s">
        <v>2592</v>
      </c>
      <c r="F30" t="s">
        <v>1890</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108">
        <v>2.5999999999999999E-2</v>
      </c>
    </row>
    <row r="31" spans="1:38" ht="14.95" customHeight="1">
      <c r="A31" s="118" t="s">
        <v>114</v>
      </c>
      <c r="B31" s="110" t="s">
        <v>819</v>
      </c>
      <c r="C31" t="s">
        <v>1348</v>
      </c>
      <c r="D31" t="s">
        <v>2593</v>
      </c>
      <c r="E31" t="s">
        <v>2594</v>
      </c>
      <c r="F31" t="s">
        <v>1890</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108">
        <v>1.7999999999999999E-2</v>
      </c>
    </row>
    <row r="32" spans="1:38" ht="14.95" customHeight="1">
      <c r="A32" s="118" t="s">
        <v>853</v>
      </c>
      <c r="B32" s="110" t="s">
        <v>818</v>
      </c>
      <c r="C32" t="s">
        <v>1269</v>
      </c>
      <c r="D32" t="s">
        <v>2595</v>
      </c>
      <c r="E32" t="s">
        <v>2596</v>
      </c>
      <c r="F32" t="s">
        <v>1890</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108">
        <v>5.1999999999999998E-2</v>
      </c>
    </row>
    <row r="33" spans="1:38" ht="14.95" customHeight="1">
      <c r="A33" s="118" t="s">
        <v>113</v>
      </c>
      <c r="B33" s="110" t="s">
        <v>817</v>
      </c>
      <c r="C33" t="s">
        <v>1278</v>
      </c>
      <c r="D33" t="s">
        <v>2597</v>
      </c>
      <c r="E33" t="s">
        <v>2598</v>
      </c>
      <c r="F33" t="s">
        <v>1890</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108">
        <v>5.8999999999999997E-2</v>
      </c>
    </row>
    <row r="34" spans="1:38" ht="14.95" customHeight="1">
      <c r="A34" s="118" t="s">
        <v>114</v>
      </c>
      <c r="B34" s="110" t="s">
        <v>816</v>
      </c>
      <c r="C34" t="s">
        <v>2544</v>
      </c>
      <c r="D34" t="s">
        <v>2599</v>
      </c>
      <c r="E34" t="s">
        <v>2600</v>
      </c>
      <c r="F34" t="s">
        <v>1890</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108">
        <v>6.9000000000000006E-2</v>
      </c>
    </row>
    <row r="35" spans="1:38" ht="14.95" customHeight="1">
      <c r="A35" s="118" t="s">
        <v>112</v>
      </c>
      <c r="B35" s="110" t="s">
        <v>815</v>
      </c>
      <c r="C35" t="s">
        <v>1573</v>
      </c>
      <c r="D35" t="s">
        <v>2601</v>
      </c>
      <c r="E35" t="s">
        <v>2602</v>
      </c>
      <c r="F35" t="s">
        <v>1890</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108">
        <v>0.129</v>
      </c>
    </row>
    <row r="36" spans="1:38" ht="14.95" customHeight="1">
      <c r="A36" s="118" t="s">
        <v>116</v>
      </c>
      <c r="B36" s="110" t="s">
        <v>814</v>
      </c>
      <c r="C36" t="s">
        <v>2545</v>
      </c>
      <c r="D36" t="s">
        <v>2603</v>
      </c>
      <c r="E36" t="s">
        <v>2604</v>
      </c>
      <c r="F36" t="s">
        <v>1890</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108">
        <v>0.14499999999999999</v>
      </c>
    </row>
    <row r="37" spans="1:38" ht="14.95" customHeight="1">
      <c r="A37" s="118" t="s">
        <v>116</v>
      </c>
      <c r="B37" s="110" t="s">
        <v>813</v>
      </c>
      <c r="C37" t="s">
        <v>2546</v>
      </c>
      <c r="D37" t="s">
        <v>2605</v>
      </c>
      <c r="E37" t="s">
        <v>2606</v>
      </c>
      <c r="F37" t="s">
        <v>1890</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108">
        <v>0.14499999999999999</v>
      </c>
    </row>
    <row r="38" spans="1:38" ht="14.95" customHeight="1">
      <c r="A38" s="118" t="s">
        <v>854</v>
      </c>
      <c r="B38" s="110" t="s">
        <v>812</v>
      </c>
      <c r="C38" t="s">
        <v>1577</v>
      </c>
      <c r="D38" t="s">
        <v>2607</v>
      </c>
      <c r="E38" t="s">
        <v>2608</v>
      </c>
      <c r="F38" t="s">
        <v>1890</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108">
        <v>0.14499999999999999</v>
      </c>
    </row>
    <row r="39" spans="1:38" ht="14.95" customHeight="1">
      <c r="B39" s="110" t="s">
        <v>811</v>
      </c>
      <c r="C39" t="s">
        <v>2548</v>
      </c>
      <c r="D39" t="s">
        <v>2609</v>
      </c>
      <c r="E39" t="s">
        <v>2610</v>
      </c>
      <c r="F39" t="s">
        <v>1890</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108">
        <v>2.5000000000000001E-2</v>
      </c>
    </row>
    <row r="40" spans="1:38" ht="14.95" customHeight="1">
      <c r="C40" t="s">
        <v>2549</v>
      </c>
      <c r="E40" t="s">
        <v>2611</v>
      </c>
    </row>
    <row r="41" spans="1:38" ht="14.95" customHeight="1">
      <c r="A41" s="118" t="s">
        <v>115</v>
      </c>
      <c r="B41" s="110" t="s">
        <v>810</v>
      </c>
      <c r="C41" t="s">
        <v>1262</v>
      </c>
      <c r="D41" t="s">
        <v>2612</v>
      </c>
      <c r="E41" t="s">
        <v>2613</v>
      </c>
      <c r="F41" t="s">
        <v>1890</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108">
        <v>8.9999999999999993E-3</v>
      </c>
    </row>
    <row r="42" spans="1:38" ht="14.95" customHeight="1">
      <c r="A42" s="118" t="s">
        <v>114</v>
      </c>
      <c r="B42" s="110" t="s">
        <v>809</v>
      </c>
      <c r="C42" t="s">
        <v>1348</v>
      </c>
      <c r="D42" t="s">
        <v>2614</v>
      </c>
      <c r="E42" t="s">
        <v>2615</v>
      </c>
      <c r="F42" t="s">
        <v>1890</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108">
        <v>-1.9E-2</v>
      </c>
    </row>
    <row r="43" spans="1:38" ht="14.95" customHeight="1">
      <c r="A43" s="118" t="s">
        <v>853</v>
      </c>
      <c r="B43" s="110" t="s">
        <v>808</v>
      </c>
      <c r="C43" t="s">
        <v>1269</v>
      </c>
      <c r="D43" t="s">
        <v>2616</v>
      </c>
      <c r="E43" t="s">
        <v>2617</v>
      </c>
      <c r="F43" t="s">
        <v>1890</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108">
        <v>2.8000000000000001E-2</v>
      </c>
    </row>
    <row r="44" spans="1:38" ht="14.95" customHeight="1">
      <c r="A44" s="118" t="s">
        <v>113</v>
      </c>
      <c r="B44" s="110" t="s">
        <v>807</v>
      </c>
      <c r="C44" t="s">
        <v>1278</v>
      </c>
      <c r="D44" t="s">
        <v>2618</v>
      </c>
      <c r="E44" t="s">
        <v>2619</v>
      </c>
      <c r="F44" t="s">
        <v>1890</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108">
        <v>2.9000000000000001E-2</v>
      </c>
    </row>
    <row r="45" spans="1:38" ht="14.95" customHeight="1">
      <c r="A45" s="118" t="s">
        <v>114</v>
      </c>
      <c r="B45" s="110" t="s">
        <v>806</v>
      </c>
      <c r="C45" t="s">
        <v>2544</v>
      </c>
      <c r="D45" t="s">
        <v>2620</v>
      </c>
      <c r="E45" t="s">
        <v>2621</v>
      </c>
      <c r="F45" t="s">
        <v>1890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ht="14.95" customHeight="1">
      <c r="A46" s="118" t="s">
        <v>112</v>
      </c>
      <c r="B46" s="110" t="s">
        <v>805</v>
      </c>
      <c r="C46" t="s">
        <v>1573</v>
      </c>
      <c r="D46" t="s">
        <v>2622</v>
      </c>
      <c r="E46" t="s">
        <v>2623</v>
      </c>
      <c r="F46" t="s">
        <v>1890</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108">
        <v>0.127</v>
      </c>
    </row>
    <row r="47" spans="1:38" ht="14.95" customHeight="1">
      <c r="A47" s="118" t="s">
        <v>116</v>
      </c>
      <c r="B47" s="110" t="s">
        <v>804</v>
      </c>
      <c r="C47" t="s">
        <v>2545</v>
      </c>
      <c r="D47" t="s">
        <v>2624</v>
      </c>
      <c r="E47" t="s">
        <v>2625</v>
      </c>
      <c r="F47" t="s">
        <v>1890</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108">
        <v>0.11600000000000001</v>
      </c>
    </row>
    <row r="48" spans="1:38" ht="14.95" customHeight="1">
      <c r="A48" s="118" t="s">
        <v>116</v>
      </c>
      <c r="B48" s="110" t="s">
        <v>803</v>
      </c>
      <c r="C48" t="s">
        <v>2546</v>
      </c>
      <c r="D48" t="s">
        <v>2626</v>
      </c>
      <c r="E48" t="s">
        <v>2627</v>
      </c>
      <c r="F48" t="s">
        <v>1890</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108">
        <v>0.11600000000000001</v>
      </c>
    </row>
    <row r="49" spans="1:38" ht="14.95" customHeight="1">
      <c r="A49" s="118" t="s">
        <v>854</v>
      </c>
      <c r="B49" s="110" t="s">
        <v>802</v>
      </c>
      <c r="C49" t="s">
        <v>1577</v>
      </c>
      <c r="D49" t="s">
        <v>2628</v>
      </c>
      <c r="E49" t="s">
        <v>2629</v>
      </c>
      <c r="F49" t="s">
        <v>1890</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108">
        <v>0.11899999999999999</v>
      </c>
    </row>
    <row r="50" spans="1:38" ht="14.95" customHeight="1">
      <c r="B50" s="110" t="s">
        <v>801</v>
      </c>
      <c r="C50" t="s">
        <v>2550</v>
      </c>
      <c r="D50" t="s">
        <v>2630</v>
      </c>
      <c r="E50" t="s">
        <v>2631</v>
      </c>
      <c r="F50" t="s">
        <v>1890</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108">
        <v>8.9999999999999993E-3</v>
      </c>
    </row>
    <row r="51" spans="1:38" ht="14.95" customHeight="1">
      <c r="B51" s="110" t="s">
        <v>800</v>
      </c>
      <c r="C51" t="s">
        <v>2551</v>
      </c>
      <c r="D51" t="s">
        <v>2632</v>
      </c>
      <c r="E51" t="s">
        <v>2633</v>
      </c>
      <c r="F51" t="s">
        <v>1890</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108">
        <v>1.6E-2</v>
      </c>
    </row>
    <row r="52" spans="1:38" ht="14.95" customHeight="1">
      <c r="C52" t="s">
        <v>2552</v>
      </c>
      <c r="E52" t="s">
        <v>2634</v>
      </c>
    </row>
    <row r="53" spans="1:38" ht="14.95" customHeight="1">
      <c r="C53" t="s">
        <v>1217</v>
      </c>
      <c r="E53" t="s">
        <v>2635</v>
      </c>
    </row>
    <row r="54" spans="1:38" ht="14.95" customHeight="1">
      <c r="A54" s="118" t="s">
        <v>115</v>
      </c>
      <c r="B54" s="110" t="s">
        <v>799</v>
      </c>
      <c r="C54" t="s">
        <v>1262</v>
      </c>
      <c r="D54" t="s">
        <v>2636</v>
      </c>
      <c r="E54" t="s">
        <v>2637</v>
      </c>
      <c r="F54" t="s">
        <v>1290</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108">
        <v>8.0000000000000002E-3</v>
      </c>
    </row>
    <row r="55" spans="1:38" ht="14.95" customHeight="1">
      <c r="A55" s="118" t="s">
        <v>114</v>
      </c>
      <c r="B55" s="110" t="s">
        <v>798</v>
      </c>
      <c r="C55" t="s">
        <v>1348</v>
      </c>
      <c r="D55" t="s">
        <v>2638</v>
      </c>
      <c r="E55" t="s">
        <v>2639</v>
      </c>
      <c r="F55" t="s">
        <v>1290</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108">
        <v>1.2999999999999999E-2</v>
      </c>
    </row>
    <row r="56" spans="1:38" ht="14.95" customHeight="1">
      <c r="A56" s="118" t="s">
        <v>853</v>
      </c>
      <c r="B56" s="110" t="s">
        <v>797</v>
      </c>
      <c r="C56" t="s">
        <v>1269</v>
      </c>
      <c r="D56" t="s">
        <v>2640</v>
      </c>
      <c r="E56" t="s">
        <v>2641</v>
      </c>
      <c r="F56" t="s">
        <v>1290</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108">
        <v>9.8000000000000004E-2</v>
      </c>
    </row>
    <row r="57" spans="1:38" ht="14.95" customHeight="1">
      <c r="A57" s="118" t="s">
        <v>113</v>
      </c>
      <c r="B57" s="110" t="s">
        <v>796</v>
      </c>
      <c r="C57" t="s">
        <v>1278</v>
      </c>
      <c r="D57" t="s">
        <v>2642</v>
      </c>
      <c r="E57" t="s">
        <v>2643</v>
      </c>
      <c r="F57" t="s">
        <v>1290</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108">
        <v>7.0999999999999994E-2</v>
      </c>
    </row>
    <row r="58" spans="1:38" ht="14.95" customHeight="1">
      <c r="A58" s="118" t="s">
        <v>114</v>
      </c>
      <c r="B58" s="110" t="s">
        <v>795</v>
      </c>
      <c r="C58" t="s">
        <v>2544</v>
      </c>
      <c r="D58" t="s">
        <v>2644</v>
      </c>
      <c r="E58" t="s">
        <v>2645</v>
      </c>
      <c r="F58" t="s">
        <v>1290</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108">
        <v>4.8000000000000001E-2</v>
      </c>
    </row>
    <row r="59" spans="1:38" ht="14.95" customHeight="1">
      <c r="A59" s="118" t="s">
        <v>112</v>
      </c>
      <c r="B59" s="110" t="s">
        <v>794</v>
      </c>
      <c r="C59" t="s">
        <v>1573</v>
      </c>
      <c r="D59" t="s">
        <v>2646</v>
      </c>
      <c r="E59" t="s">
        <v>2647</v>
      </c>
      <c r="F59" t="s">
        <v>1290</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108">
        <v>0.13200000000000001</v>
      </c>
    </row>
    <row r="60" spans="1:38" ht="14.95" customHeight="1">
      <c r="A60" s="118" t="s">
        <v>116</v>
      </c>
      <c r="B60" s="110" t="s">
        <v>793</v>
      </c>
      <c r="C60" t="s">
        <v>2545</v>
      </c>
      <c r="D60" t="s">
        <v>2648</v>
      </c>
      <c r="E60" t="s">
        <v>2649</v>
      </c>
      <c r="F60" t="s">
        <v>1290</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108">
        <v>0.13500000000000001</v>
      </c>
    </row>
    <row r="61" spans="1:38" ht="14.95" customHeight="1">
      <c r="A61" s="118" t="s">
        <v>116</v>
      </c>
      <c r="B61" s="110" t="s">
        <v>792</v>
      </c>
      <c r="C61" t="s">
        <v>2546</v>
      </c>
      <c r="D61" t="s">
        <v>2650</v>
      </c>
      <c r="E61" t="s">
        <v>2651</v>
      </c>
      <c r="F61" t="s">
        <v>1290</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108">
        <v>0.14000000000000001</v>
      </c>
    </row>
    <row r="62" spans="1:38" ht="14.95" customHeight="1">
      <c r="A62" s="118" t="s">
        <v>854</v>
      </c>
      <c r="B62" s="110" t="s">
        <v>791</v>
      </c>
      <c r="C62" t="s">
        <v>1577</v>
      </c>
      <c r="D62" t="s">
        <v>2652</v>
      </c>
      <c r="E62" t="s">
        <v>2653</v>
      </c>
      <c r="F62" t="s">
        <v>1290</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108">
        <v>0.111</v>
      </c>
    </row>
    <row r="63" spans="1:38" ht="14.95" customHeight="1">
      <c r="B63" s="110" t="s">
        <v>790</v>
      </c>
      <c r="C63" t="s">
        <v>2547</v>
      </c>
      <c r="D63" t="s">
        <v>2654</v>
      </c>
      <c r="E63" t="s">
        <v>2655</v>
      </c>
      <c r="F63" t="s">
        <v>1290</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108">
        <v>1.4999999999999999E-2</v>
      </c>
    </row>
    <row r="64" spans="1:38" ht="14.95" customHeight="1">
      <c r="C64" t="s">
        <v>1219</v>
      </c>
      <c r="E64" t="s">
        <v>2656</v>
      </c>
    </row>
    <row r="65" spans="1:38" ht="14.95" customHeight="1">
      <c r="A65" s="118" t="s">
        <v>115</v>
      </c>
      <c r="B65" s="110" t="s">
        <v>789</v>
      </c>
      <c r="C65" t="s">
        <v>1262</v>
      </c>
      <c r="D65" t="s">
        <v>2657</v>
      </c>
      <c r="E65" t="s">
        <v>2658</v>
      </c>
      <c r="F65" t="s">
        <v>1290</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108">
        <v>1.4999999999999999E-2</v>
      </c>
    </row>
    <row r="66" spans="1:38" ht="14.95" customHeight="1">
      <c r="A66" s="118" t="s">
        <v>114</v>
      </c>
      <c r="B66" s="110" t="s">
        <v>788</v>
      </c>
      <c r="C66" t="s">
        <v>1348</v>
      </c>
      <c r="D66" t="s">
        <v>2659</v>
      </c>
      <c r="E66" t="s">
        <v>2660</v>
      </c>
      <c r="F66" t="s">
        <v>1290</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108">
        <v>8.0000000000000002E-3</v>
      </c>
    </row>
    <row r="67" spans="1:38" ht="14.95" customHeight="1">
      <c r="A67" s="118" t="s">
        <v>853</v>
      </c>
      <c r="B67" s="110" t="s">
        <v>787</v>
      </c>
      <c r="C67" t="s">
        <v>1269</v>
      </c>
      <c r="D67" t="s">
        <v>2661</v>
      </c>
      <c r="E67" t="s">
        <v>2662</v>
      </c>
      <c r="F67" t="s">
        <v>1290</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108">
        <v>4.1000000000000002E-2</v>
      </c>
    </row>
    <row r="68" spans="1:38" ht="14.95" customHeight="1">
      <c r="A68" s="118" t="s">
        <v>113</v>
      </c>
      <c r="B68" s="110" t="s">
        <v>786</v>
      </c>
      <c r="C68" t="s">
        <v>1278</v>
      </c>
      <c r="D68" t="s">
        <v>2663</v>
      </c>
      <c r="E68" t="s">
        <v>2664</v>
      </c>
      <c r="F68" t="s">
        <v>1290</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108">
        <v>4.8000000000000001E-2</v>
      </c>
    </row>
    <row r="69" spans="1:38" ht="14.95" customHeight="1">
      <c r="A69" s="118" t="s">
        <v>114</v>
      </c>
      <c r="B69" s="110" t="s">
        <v>785</v>
      </c>
      <c r="C69" t="s">
        <v>2544</v>
      </c>
      <c r="D69" t="s">
        <v>2665</v>
      </c>
      <c r="E69" t="s">
        <v>2666</v>
      </c>
      <c r="F69" t="s">
        <v>1290</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108">
        <v>5.8999999999999997E-2</v>
      </c>
    </row>
    <row r="70" spans="1:38" ht="14.95" customHeight="1">
      <c r="A70" s="118" t="s">
        <v>112</v>
      </c>
      <c r="B70" s="110" t="s">
        <v>784</v>
      </c>
      <c r="C70" t="s">
        <v>1573</v>
      </c>
      <c r="D70" t="s">
        <v>2667</v>
      </c>
      <c r="E70" t="s">
        <v>2668</v>
      </c>
      <c r="F70" t="s">
        <v>1290</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108">
        <v>0.123</v>
      </c>
    </row>
    <row r="71" spans="1:38" ht="14.95" customHeight="1">
      <c r="A71" s="118" t="s">
        <v>116</v>
      </c>
      <c r="B71" s="110" t="s">
        <v>783</v>
      </c>
      <c r="C71" t="s">
        <v>2545</v>
      </c>
      <c r="D71" t="s">
        <v>2669</v>
      </c>
      <c r="E71" t="s">
        <v>2670</v>
      </c>
      <c r="F71" t="s">
        <v>1290</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108">
        <v>0.13500000000000001</v>
      </c>
    </row>
    <row r="72" spans="1:38" ht="14.95" customHeight="1">
      <c r="A72" s="118" t="s">
        <v>116</v>
      </c>
      <c r="B72" s="110" t="s">
        <v>782</v>
      </c>
      <c r="C72" t="s">
        <v>2546</v>
      </c>
      <c r="D72" t="s">
        <v>2671</v>
      </c>
      <c r="E72" t="s">
        <v>2672</v>
      </c>
      <c r="F72" t="s">
        <v>1290</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108">
        <v>0.13600000000000001</v>
      </c>
    </row>
    <row r="73" spans="1:38" ht="14.95" customHeight="1">
      <c r="A73" s="118" t="s">
        <v>854</v>
      </c>
      <c r="B73" s="110" t="s">
        <v>781</v>
      </c>
      <c r="C73" t="s">
        <v>1577</v>
      </c>
      <c r="D73" t="s">
        <v>2673</v>
      </c>
      <c r="E73" t="s">
        <v>2674</v>
      </c>
      <c r="F73" t="s">
        <v>1290</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108">
        <v>0.14499999999999999</v>
      </c>
    </row>
    <row r="74" spans="1:38" ht="14.95" customHeight="1">
      <c r="B74" s="110" t="s">
        <v>780</v>
      </c>
      <c r="C74" t="s">
        <v>2548</v>
      </c>
      <c r="D74" t="s">
        <v>2675</v>
      </c>
      <c r="E74" t="s">
        <v>2676</v>
      </c>
      <c r="F74" t="s">
        <v>1290</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108">
        <v>1.4E-2</v>
      </c>
    </row>
    <row r="75" spans="1:38" ht="14.95" customHeight="1">
      <c r="C75" t="s">
        <v>2549</v>
      </c>
      <c r="E75" t="s">
        <v>2677</v>
      </c>
    </row>
    <row r="76" spans="1:38" ht="14.95" customHeight="1">
      <c r="A76" s="118" t="s">
        <v>115</v>
      </c>
      <c r="B76" s="110" t="s">
        <v>779</v>
      </c>
      <c r="C76" t="s">
        <v>1262</v>
      </c>
      <c r="D76" t="s">
        <v>2678</v>
      </c>
      <c r="E76" t="s">
        <v>2679</v>
      </c>
      <c r="F76" t="s">
        <v>1290</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108">
        <v>0</v>
      </c>
    </row>
    <row r="77" spans="1:38" ht="14.95" customHeight="1">
      <c r="A77" s="118" t="s">
        <v>114</v>
      </c>
      <c r="B77" s="110" t="s">
        <v>778</v>
      </c>
      <c r="C77" t="s">
        <v>1348</v>
      </c>
      <c r="D77" t="s">
        <v>2680</v>
      </c>
      <c r="E77" t="s">
        <v>2681</v>
      </c>
      <c r="F77" t="s">
        <v>1290</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108">
        <v>-2.9000000000000001E-2</v>
      </c>
    </row>
    <row r="78" spans="1:38" ht="14.95" customHeight="1">
      <c r="A78" s="118" t="s">
        <v>853</v>
      </c>
      <c r="B78" s="110" t="s">
        <v>777</v>
      </c>
      <c r="C78" t="s">
        <v>1269</v>
      </c>
      <c r="D78" t="s">
        <v>2682</v>
      </c>
      <c r="E78" t="s">
        <v>2683</v>
      </c>
      <c r="F78" t="s">
        <v>1290</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108">
        <v>0.02</v>
      </c>
    </row>
    <row r="79" spans="1:38" ht="14.95" customHeight="1">
      <c r="A79" s="118" t="s">
        <v>113</v>
      </c>
      <c r="B79" s="110" t="s">
        <v>776</v>
      </c>
      <c r="C79" t="s">
        <v>1278</v>
      </c>
      <c r="D79" t="s">
        <v>2684</v>
      </c>
      <c r="E79" t="s">
        <v>2685</v>
      </c>
      <c r="F79" t="s">
        <v>1290</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108">
        <v>2.1000000000000001E-2</v>
      </c>
    </row>
    <row r="80" spans="1:38" ht="14.95" customHeight="1">
      <c r="A80" s="118" t="s">
        <v>114</v>
      </c>
      <c r="B80" s="110" t="s">
        <v>775</v>
      </c>
      <c r="C80" t="s">
        <v>2544</v>
      </c>
      <c r="D80" t="s">
        <v>2686</v>
      </c>
      <c r="E80" t="s">
        <v>2687</v>
      </c>
      <c r="F80" t="s">
        <v>1290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1:38" ht="14.95" customHeight="1">
      <c r="A81" s="118" t="s">
        <v>112</v>
      </c>
      <c r="B81" s="110" t="s">
        <v>774</v>
      </c>
      <c r="C81" t="s">
        <v>1573</v>
      </c>
      <c r="D81" t="s">
        <v>2688</v>
      </c>
      <c r="E81" t="s">
        <v>2689</v>
      </c>
      <c r="F81" t="s">
        <v>1290</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108">
        <v>0.113</v>
      </c>
    </row>
    <row r="82" spans="1:38" ht="14.95" customHeight="1">
      <c r="A82" s="118" t="s">
        <v>116</v>
      </c>
      <c r="B82" s="110" t="s">
        <v>773</v>
      </c>
      <c r="C82" t="s">
        <v>2545</v>
      </c>
      <c r="D82" t="s">
        <v>2690</v>
      </c>
      <c r="E82" t="s">
        <v>2691</v>
      </c>
      <c r="F82" t="s">
        <v>1290</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108">
        <v>7.2999999999999995E-2</v>
      </c>
    </row>
    <row r="83" spans="1:38" ht="14.95" customHeight="1">
      <c r="A83" s="118" t="s">
        <v>116</v>
      </c>
      <c r="B83" s="110" t="s">
        <v>772</v>
      </c>
      <c r="C83" t="s">
        <v>2546</v>
      </c>
      <c r="D83" t="s">
        <v>2692</v>
      </c>
      <c r="E83" t="s">
        <v>2693</v>
      </c>
      <c r="F83" t="s">
        <v>1290</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108">
        <v>7.2999999999999995E-2</v>
      </c>
    </row>
    <row r="84" spans="1:38" ht="14.95" customHeight="1">
      <c r="A84" s="118" t="s">
        <v>854</v>
      </c>
      <c r="B84" s="110" t="s">
        <v>771</v>
      </c>
      <c r="C84" t="s">
        <v>1577</v>
      </c>
      <c r="D84" t="s">
        <v>2694</v>
      </c>
      <c r="E84" t="s">
        <v>2695</v>
      </c>
      <c r="F84" t="s">
        <v>1290</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108">
        <v>0.11600000000000001</v>
      </c>
    </row>
    <row r="85" spans="1:38" ht="14.95" customHeight="1">
      <c r="B85" s="110" t="s">
        <v>770</v>
      </c>
      <c r="C85" t="s">
        <v>2550</v>
      </c>
      <c r="D85" t="s">
        <v>2696</v>
      </c>
      <c r="E85" t="s">
        <v>2697</v>
      </c>
      <c r="F85" t="s">
        <v>1290</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108">
        <v>1E-3</v>
      </c>
    </row>
    <row r="86" spans="1:38" ht="14.95" customHeight="1">
      <c r="C86" t="s">
        <v>1217</v>
      </c>
      <c r="D86" t="s">
        <v>2698</v>
      </c>
      <c r="E86" t="s">
        <v>2699</v>
      </c>
      <c r="G86" t="s">
        <v>2700</v>
      </c>
    </row>
    <row r="87" spans="1:38" ht="14.95" customHeight="1">
      <c r="A87" s="118" t="s">
        <v>115</v>
      </c>
      <c r="B87" s="110" t="s">
        <v>769</v>
      </c>
      <c r="C87" t="s">
        <v>1262</v>
      </c>
      <c r="D87" t="s">
        <v>2701</v>
      </c>
      <c r="E87" t="s">
        <v>2702</v>
      </c>
      <c r="F87" t="s">
        <v>1290</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108">
        <v>3.0000000000000001E-3</v>
      </c>
    </row>
    <row r="88" spans="1:38" ht="14.95" customHeight="1">
      <c r="A88" s="118" t="s">
        <v>114</v>
      </c>
      <c r="B88" s="110" t="s">
        <v>768</v>
      </c>
      <c r="C88" t="s">
        <v>1348</v>
      </c>
      <c r="D88" t="s">
        <v>2703</v>
      </c>
      <c r="E88" t="s">
        <v>2704</v>
      </c>
      <c r="F88" t="s">
        <v>1290</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108">
        <v>0.01</v>
      </c>
    </row>
    <row r="89" spans="1:38" ht="14.95" customHeight="1">
      <c r="A89" s="118" t="s">
        <v>853</v>
      </c>
      <c r="B89" s="110" t="s">
        <v>767</v>
      </c>
      <c r="C89" t="s">
        <v>1269</v>
      </c>
      <c r="D89" t="s">
        <v>2705</v>
      </c>
      <c r="E89" t="s">
        <v>2706</v>
      </c>
      <c r="F89" t="s">
        <v>1290</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108">
        <v>4.4999999999999998E-2</v>
      </c>
    </row>
    <row r="90" spans="1:38" ht="14.95" customHeight="1">
      <c r="A90" s="118" t="s">
        <v>113</v>
      </c>
      <c r="B90" s="110" t="s">
        <v>766</v>
      </c>
      <c r="C90" t="s">
        <v>1278</v>
      </c>
      <c r="D90" t="s">
        <v>2707</v>
      </c>
      <c r="E90" t="s">
        <v>2708</v>
      </c>
      <c r="F90" t="s">
        <v>1290</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108">
        <v>2.1999999999999999E-2</v>
      </c>
    </row>
    <row r="91" spans="1:38" ht="14.95" customHeight="1">
      <c r="A91" s="118" t="s">
        <v>114</v>
      </c>
      <c r="B91" s="110" t="s">
        <v>765</v>
      </c>
      <c r="C91" t="s">
        <v>2544</v>
      </c>
      <c r="D91" t="s">
        <v>2709</v>
      </c>
      <c r="E91" t="s">
        <v>2710</v>
      </c>
      <c r="F91" t="s">
        <v>1290</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108">
        <v>5.0999999999999997E-2</v>
      </c>
    </row>
    <row r="92" spans="1:38" ht="14.95" customHeight="1">
      <c r="A92" s="118" t="s">
        <v>112</v>
      </c>
      <c r="B92" s="110" t="s">
        <v>764</v>
      </c>
      <c r="C92" t="s">
        <v>1573</v>
      </c>
      <c r="D92" t="s">
        <v>2711</v>
      </c>
      <c r="E92" t="s">
        <v>2712</v>
      </c>
      <c r="F92" t="s">
        <v>1290</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108">
        <v>0.124</v>
      </c>
    </row>
    <row r="93" spans="1:38" ht="14.95" customHeight="1">
      <c r="A93" s="118" t="s">
        <v>116</v>
      </c>
      <c r="B93" s="110" t="s">
        <v>763</v>
      </c>
      <c r="C93" t="s">
        <v>2545</v>
      </c>
      <c r="D93" t="s">
        <v>2713</v>
      </c>
      <c r="E93" t="s">
        <v>2714</v>
      </c>
      <c r="F93" t="s">
        <v>1290</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108">
        <v>0.11</v>
      </c>
    </row>
    <row r="94" spans="1:38" ht="14.95" customHeight="1">
      <c r="A94" s="118" t="s">
        <v>116</v>
      </c>
      <c r="B94" s="110" t="s">
        <v>762</v>
      </c>
      <c r="C94" t="s">
        <v>2546</v>
      </c>
      <c r="D94" t="s">
        <v>2715</v>
      </c>
      <c r="E94" t="s">
        <v>2716</v>
      </c>
      <c r="F94" t="s">
        <v>1290</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108">
        <v>0.114</v>
      </c>
    </row>
    <row r="95" spans="1:38" ht="14.95" customHeight="1">
      <c r="A95" s="118" t="s">
        <v>854</v>
      </c>
      <c r="B95" s="110" t="s">
        <v>761</v>
      </c>
      <c r="C95" t="s">
        <v>1577</v>
      </c>
      <c r="D95" t="s">
        <v>2717</v>
      </c>
      <c r="E95" t="s">
        <v>2718</v>
      </c>
      <c r="F95" t="s">
        <v>1290</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108">
        <v>0.13400000000000001</v>
      </c>
    </row>
    <row r="96" spans="1:38" ht="14.95" customHeight="1">
      <c r="B96" s="110" t="s">
        <v>760</v>
      </c>
      <c r="C96" t="s">
        <v>594</v>
      </c>
      <c r="D96" t="s">
        <v>2719</v>
      </c>
      <c r="E96" t="s">
        <v>2720</v>
      </c>
      <c r="F96" t="s">
        <v>1290</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108">
        <v>5.0000000000000001E-3</v>
      </c>
    </row>
    <row r="97" spans="1:38" ht="14.95" customHeight="1">
      <c r="C97" t="s">
        <v>2553</v>
      </c>
      <c r="E97" t="s">
        <v>2721</v>
      </c>
    </row>
    <row r="98" spans="1:38" ht="14.95" customHeight="1">
      <c r="C98" t="s">
        <v>1217</v>
      </c>
      <c r="E98" t="s">
        <v>2722</v>
      </c>
    </row>
    <row r="99" spans="1:38" ht="14.95" customHeight="1">
      <c r="A99" s="118" t="s">
        <v>115</v>
      </c>
      <c r="B99" s="110" t="s">
        <v>759</v>
      </c>
      <c r="C99" t="s">
        <v>1262</v>
      </c>
      <c r="D99" t="s">
        <v>2723</v>
      </c>
      <c r="E99" t="s">
        <v>2724</v>
      </c>
      <c r="F99" t="s">
        <v>2725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108">
        <v>8.0000000000000002E-3</v>
      </c>
    </row>
    <row r="100" spans="1:38" ht="14.95" customHeight="1">
      <c r="A100" s="118" t="s">
        <v>114</v>
      </c>
      <c r="B100" s="110" t="s">
        <v>758</v>
      </c>
      <c r="C100" t="s">
        <v>1348</v>
      </c>
      <c r="D100" t="s">
        <v>2726</v>
      </c>
      <c r="E100" t="s">
        <v>2727</v>
      </c>
      <c r="F100" t="s">
        <v>1714</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108">
        <v>1.0999999999999999E-2</v>
      </c>
    </row>
    <row r="101" spans="1:38" ht="14.95" customHeight="1">
      <c r="A101" s="118" t="s">
        <v>853</v>
      </c>
      <c r="B101" s="110" t="s">
        <v>757</v>
      </c>
      <c r="C101" t="s">
        <v>1269</v>
      </c>
      <c r="D101" t="s">
        <v>2728</v>
      </c>
      <c r="E101" t="s">
        <v>2729</v>
      </c>
      <c r="F101" t="s">
        <v>1714</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108">
        <v>5.0000000000000001E-3</v>
      </c>
    </row>
    <row r="102" spans="1:38" ht="14.95" customHeight="1">
      <c r="A102" s="118" t="s">
        <v>113</v>
      </c>
      <c r="B102" s="110" t="s">
        <v>756</v>
      </c>
      <c r="C102" t="s">
        <v>1278</v>
      </c>
      <c r="D102" t="s">
        <v>2730</v>
      </c>
      <c r="E102" t="s">
        <v>2731</v>
      </c>
      <c r="F102" t="s">
        <v>1714</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108">
        <v>7.0000000000000001E-3</v>
      </c>
    </row>
    <row r="103" spans="1:38" ht="14.95" customHeight="1">
      <c r="A103" s="118" t="s">
        <v>114</v>
      </c>
      <c r="B103" s="110" t="s">
        <v>755</v>
      </c>
      <c r="C103" t="s">
        <v>2544</v>
      </c>
      <c r="D103" t="s">
        <v>2732</v>
      </c>
      <c r="E103" t="s">
        <v>2733</v>
      </c>
      <c r="F103" t="s">
        <v>1714</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108">
        <v>8.9999999999999993E-3</v>
      </c>
    </row>
    <row r="104" spans="1:38" ht="14.95" customHeight="1">
      <c r="A104" s="118" t="s">
        <v>112</v>
      </c>
      <c r="B104" s="110" t="s">
        <v>754</v>
      </c>
      <c r="C104" t="s">
        <v>1573</v>
      </c>
      <c r="D104" t="s">
        <v>2734</v>
      </c>
      <c r="E104" t="s">
        <v>2735</v>
      </c>
      <c r="F104" t="s">
        <v>2725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108">
        <v>3.0000000000000001E-3</v>
      </c>
    </row>
    <row r="105" spans="1:38" ht="14.95" customHeight="1">
      <c r="A105" s="118" t="s">
        <v>116</v>
      </c>
      <c r="B105" s="110" t="s">
        <v>753</v>
      </c>
      <c r="C105" t="s">
        <v>2545</v>
      </c>
      <c r="D105" t="s">
        <v>2736</v>
      </c>
      <c r="E105" t="s">
        <v>2737</v>
      </c>
      <c r="F105" t="s">
        <v>2725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108">
        <v>8.0000000000000002E-3</v>
      </c>
    </row>
    <row r="106" spans="1:38" ht="14.95" customHeight="1">
      <c r="A106" s="118" t="s">
        <v>116</v>
      </c>
      <c r="B106" s="110" t="s">
        <v>752</v>
      </c>
      <c r="C106" t="s">
        <v>2546</v>
      </c>
      <c r="D106" t="s">
        <v>2738</v>
      </c>
      <c r="E106" t="s">
        <v>2739</v>
      </c>
      <c r="F106" t="s">
        <v>1714</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108">
        <v>4.0000000000000001E-3</v>
      </c>
    </row>
    <row r="107" spans="1:38" ht="14.95" customHeight="1">
      <c r="A107" s="118" t="s">
        <v>854</v>
      </c>
      <c r="B107" s="110" t="s">
        <v>751</v>
      </c>
      <c r="C107" t="s">
        <v>1577</v>
      </c>
      <c r="D107" t="s">
        <v>2740</v>
      </c>
      <c r="E107" t="s">
        <v>2741</v>
      </c>
      <c r="F107" t="s">
        <v>2725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108">
        <v>-4.0000000000000001E-3</v>
      </c>
    </row>
    <row r="108" spans="1:38" ht="14.95" customHeight="1">
      <c r="B108" s="110" t="s">
        <v>750</v>
      </c>
      <c r="C108" t="s">
        <v>2554</v>
      </c>
      <c r="D108" t="s">
        <v>2742</v>
      </c>
      <c r="E108" t="s">
        <v>2743</v>
      </c>
      <c r="G108">
        <v>13.189800999999999</v>
      </c>
      <c r="H108">
        <v>13.375156</v>
      </c>
      <c r="I108">
        <v>13.572721</v>
      </c>
      <c r="J108">
        <v>13.777642</v>
      </c>
      <c r="K108">
        <v>13.995559</v>
      </c>
      <c r="L108">
        <v>14.225581999999999</v>
      </c>
      <c r="M108">
        <v>14.460044999999999</v>
      </c>
      <c r="N108">
        <v>14.692441000000001</v>
      </c>
      <c r="O108">
        <v>14.913171</v>
      </c>
      <c r="P108">
        <v>15.124737</v>
      </c>
      <c r="Q108">
        <v>15.319850000000001</v>
      </c>
      <c r="R108">
        <v>15.500711000000001</v>
      </c>
      <c r="S108">
        <v>15.664879000000001</v>
      </c>
      <c r="T108">
        <v>15.812077</v>
      </c>
      <c r="U108">
        <v>15.943821</v>
      </c>
      <c r="V108">
        <v>16.063237999999998</v>
      </c>
      <c r="W108">
        <v>16.169933</v>
      </c>
      <c r="X108">
        <v>16.265076000000001</v>
      </c>
      <c r="Y108">
        <v>16.351177</v>
      </c>
      <c r="Z108">
        <v>16.427665999999999</v>
      </c>
      <c r="AA108">
        <v>16.494938000000001</v>
      </c>
      <c r="AB108">
        <v>16.551075000000001</v>
      </c>
      <c r="AC108">
        <v>16.599229999999999</v>
      </c>
      <c r="AD108">
        <v>16.638247</v>
      </c>
      <c r="AE108">
        <v>16.66939</v>
      </c>
      <c r="AF108">
        <v>16.695119999999999</v>
      </c>
      <c r="AG108">
        <v>16.716131000000001</v>
      </c>
      <c r="AH108">
        <v>16.732790000000001</v>
      </c>
      <c r="AI108">
        <v>16.746760999999999</v>
      </c>
      <c r="AJ108">
        <v>16.759088999999999</v>
      </c>
      <c r="AK108">
        <v>16.770112999999998</v>
      </c>
      <c r="AL108" s="108">
        <v>8.0000000000000002E-3</v>
      </c>
    </row>
    <row r="109" spans="1:38" ht="14.95" customHeight="1">
      <c r="C109" t="s">
        <v>1219</v>
      </c>
      <c r="E109" t="s">
        <v>2744</v>
      </c>
    </row>
    <row r="110" spans="1:38" ht="14.95" customHeight="1">
      <c r="A110" s="118" t="s">
        <v>115</v>
      </c>
      <c r="B110" s="110" t="s">
        <v>749</v>
      </c>
      <c r="C110" t="s">
        <v>1262</v>
      </c>
      <c r="D110" t="s">
        <v>2745</v>
      </c>
      <c r="E110" t="s">
        <v>2746</v>
      </c>
      <c r="F110" t="s">
        <v>2725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108">
        <v>1.2E-2</v>
      </c>
    </row>
    <row r="111" spans="1:38" ht="14.95" customHeight="1">
      <c r="A111" s="118" t="s">
        <v>114</v>
      </c>
      <c r="B111" s="110" t="s">
        <v>748</v>
      </c>
      <c r="C111" t="s">
        <v>1348</v>
      </c>
      <c r="D111" t="s">
        <v>2747</v>
      </c>
      <c r="E111" t="s">
        <v>2748</v>
      </c>
      <c r="F111" t="s">
        <v>1714</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108">
        <v>0.01</v>
      </c>
    </row>
    <row r="112" spans="1:38" ht="14.95" customHeight="1">
      <c r="A112" s="118" t="s">
        <v>853</v>
      </c>
      <c r="B112" s="110" t="s">
        <v>747</v>
      </c>
      <c r="C112" t="s">
        <v>1269</v>
      </c>
      <c r="D112" t="s">
        <v>2749</v>
      </c>
      <c r="E112" t="s">
        <v>2750</v>
      </c>
      <c r="F112" t="s">
        <v>1714</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108">
        <v>0.01</v>
      </c>
    </row>
    <row r="113" spans="1:38" ht="14.95" customHeight="1">
      <c r="A113" s="118" t="s">
        <v>113</v>
      </c>
      <c r="B113" s="110" t="s">
        <v>746</v>
      </c>
      <c r="C113" t="s">
        <v>1278</v>
      </c>
      <c r="D113" t="s">
        <v>2751</v>
      </c>
      <c r="E113" t="s">
        <v>2752</v>
      </c>
      <c r="F113" t="s">
        <v>1714</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108">
        <v>1.0999999999999999E-2</v>
      </c>
    </row>
    <row r="114" spans="1:38" ht="14.95" customHeight="1">
      <c r="A114" s="118" t="s">
        <v>114</v>
      </c>
      <c r="B114" s="110" t="s">
        <v>745</v>
      </c>
      <c r="C114" t="s">
        <v>2544</v>
      </c>
      <c r="D114" t="s">
        <v>2753</v>
      </c>
      <c r="E114" t="s">
        <v>2754</v>
      </c>
      <c r="F114" t="s">
        <v>2755</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108">
        <v>8.9999999999999993E-3</v>
      </c>
    </row>
    <row r="115" spans="1:38" ht="14.95" customHeight="1">
      <c r="A115" s="118" t="s">
        <v>112</v>
      </c>
      <c r="B115" s="110" t="s">
        <v>744</v>
      </c>
      <c r="C115" t="s">
        <v>1573</v>
      </c>
      <c r="D115" t="s">
        <v>2756</v>
      </c>
      <c r="E115" t="s">
        <v>2757</v>
      </c>
      <c r="F115" t="s">
        <v>1714</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108">
        <v>5.0000000000000001E-3</v>
      </c>
    </row>
    <row r="116" spans="1:38" ht="14.95" customHeight="1">
      <c r="A116" s="118" t="s">
        <v>116</v>
      </c>
      <c r="B116" s="110" t="s">
        <v>743</v>
      </c>
      <c r="C116" t="s">
        <v>2545</v>
      </c>
      <c r="D116" t="s">
        <v>2758</v>
      </c>
      <c r="E116" t="s">
        <v>2759</v>
      </c>
      <c r="F116" t="s">
        <v>1714</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108">
        <v>8.0000000000000002E-3</v>
      </c>
    </row>
    <row r="117" spans="1:38" ht="14.95" customHeight="1">
      <c r="A117" s="118" t="s">
        <v>116</v>
      </c>
      <c r="B117" s="110" t="s">
        <v>742</v>
      </c>
      <c r="C117" t="s">
        <v>2546</v>
      </c>
      <c r="D117" t="s">
        <v>2760</v>
      </c>
      <c r="E117" t="s">
        <v>2761</v>
      </c>
      <c r="F117" t="s">
        <v>1714</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108">
        <v>8.0000000000000002E-3</v>
      </c>
    </row>
    <row r="118" spans="1:38" ht="14.95" customHeight="1">
      <c r="A118" s="118" t="s">
        <v>854</v>
      </c>
      <c r="B118" s="110" t="s">
        <v>741</v>
      </c>
      <c r="C118" t="s">
        <v>1577</v>
      </c>
      <c r="D118" t="s">
        <v>2762</v>
      </c>
      <c r="E118" t="s">
        <v>2763</v>
      </c>
      <c r="F118" t="s">
        <v>1714</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108">
        <v>0</v>
      </c>
    </row>
    <row r="119" spans="1:38" ht="14.95" customHeight="1">
      <c r="B119" s="110" t="s">
        <v>740</v>
      </c>
      <c r="C119" t="s">
        <v>2555</v>
      </c>
      <c r="D119" t="s">
        <v>2764</v>
      </c>
      <c r="E119" t="s">
        <v>2765</v>
      </c>
      <c r="G119">
        <v>8.0269100000000009</v>
      </c>
      <c r="H119">
        <v>8.1093650000000004</v>
      </c>
      <c r="I119">
        <v>8.2135390000000008</v>
      </c>
      <c r="J119">
        <v>8.3347049999999996</v>
      </c>
      <c r="K119">
        <v>8.4702009999999994</v>
      </c>
      <c r="L119">
        <v>8.6213639999999998</v>
      </c>
      <c r="M119">
        <v>8.7775839999999992</v>
      </c>
      <c r="N119">
        <v>8.9348960000000002</v>
      </c>
      <c r="O119">
        <v>9.0845920000000007</v>
      </c>
      <c r="P119">
        <v>9.2408459999999994</v>
      </c>
      <c r="Q119">
        <v>9.403511</v>
      </c>
      <c r="R119">
        <v>9.5731300000000008</v>
      </c>
      <c r="S119">
        <v>9.7428299999999997</v>
      </c>
      <c r="T119">
        <v>9.9062400000000004</v>
      </c>
      <c r="U119">
        <v>10.060589</v>
      </c>
      <c r="V119">
        <v>10.206059</v>
      </c>
      <c r="W119">
        <v>10.342311</v>
      </c>
      <c r="X119">
        <v>10.462132</v>
      </c>
      <c r="Y119">
        <v>10.572412</v>
      </c>
      <c r="Z119">
        <v>10.673792000000001</v>
      </c>
      <c r="AA119">
        <v>10.769824</v>
      </c>
      <c r="AB119">
        <v>10.858295</v>
      </c>
      <c r="AC119">
        <v>10.937979</v>
      </c>
      <c r="AD119">
        <v>11.006994000000001</v>
      </c>
      <c r="AE119">
        <v>11.066654</v>
      </c>
      <c r="AF119">
        <v>11.120628</v>
      </c>
      <c r="AG119">
        <v>11.170114999999999</v>
      </c>
      <c r="AH119">
        <v>11.214213000000001</v>
      </c>
      <c r="AI119">
        <v>11.253644</v>
      </c>
      <c r="AJ119">
        <v>11.290132</v>
      </c>
      <c r="AK119">
        <v>11.324723000000001</v>
      </c>
      <c r="AL119" s="108">
        <v>1.2E-2</v>
      </c>
    </row>
    <row r="120" spans="1:38" ht="14.95" customHeight="1">
      <c r="C120" t="s">
        <v>2549</v>
      </c>
      <c r="E120" t="s">
        <v>2766</v>
      </c>
    </row>
    <row r="121" spans="1:38" ht="14.95" customHeight="1">
      <c r="A121" s="118" t="s">
        <v>115</v>
      </c>
      <c r="B121" s="110" t="s">
        <v>739</v>
      </c>
      <c r="C121" t="s">
        <v>1262</v>
      </c>
      <c r="D121" t="s">
        <v>2767</v>
      </c>
      <c r="E121" t="s">
        <v>2768</v>
      </c>
      <c r="F121" t="s">
        <v>2725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108">
        <v>8.0000000000000002E-3</v>
      </c>
    </row>
    <row r="122" spans="1:38" ht="14.95" customHeight="1">
      <c r="A122" s="118" t="s">
        <v>114</v>
      </c>
      <c r="B122" s="110" t="s">
        <v>738</v>
      </c>
      <c r="C122" t="s">
        <v>1348</v>
      </c>
      <c r="D122" t="s">
        <v>2769</v>
      </c>
      <c r="E122" t="s">
        <v>2770</v>
      </c>
      <c r="F122" t="s">
        <v>1714</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108">
        <v>0.01</v>
      </c>
    </row>
    <row r="123" spans="1:38" ht="14.95" customHeight="1">
      <c r="A123" s="118" t="s">
        <v>853</v>
      </c>
      <c r="B123" s="110" t="s">
        <v>737</v>
      </c>
      <c r="C123" t="s">
        <v>1269</v>
      </c>
      <c r="D123" t="s">
        <v>2771</v>
      </c>
      <c r="E123" t="s">
        <v>2772</v>
      </c>
      <c r="F123" t="s">
        <v>1714</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108">
        <v>7.0000000000000001E-3</v>
      </c>
    </row>
    <row r="124" spans="1:38" ht="14.95" customHeight="1">
      <c r="A124" s="118" t="s">
        <v>113</v>
      </c>
      <c r="B124" s="110" t="s">
        <v>736</v>
      </c>
      <c r="C124" t="s">
        <v>1278</v>
      </c>
      <c r="D124" t="s">
        <v>2773</v>
      </c>
      <c r="E124" t="s">
        <v>2774</v>
      </c>
      <c r="F124" t="s">
        <v>2725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108">
        <v>8.0000000000000002E-3</v>
      </c>
    </row>
    <row r="125" spans="1:38" ht="14.95" customHeight="1">
      <c r="A125" s="118" t="s">
        <v>114</v>
      </c>
      <c r="B125" s="110" t="s">
        <v>735</v>
      </c>
      <c r="C125" t="s">
        <v>2544</v>
      </c>
      <c r="D125" t="s">
        <v>2775</v>
      </c>
      <c r="E125" t="s">
        <v>2776</v>
      </c>
      <c r="F125" t="s">
        <v>1714</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146</v>
      </c>
    </row>
    <row r="126" spans="1:38" ht="14.95" customHeight="1">
      <c r="A126" s="118" t="s">
        <v>112</v>
      </c>
      <c r="B126" s="110" t="s">
        <v>734</v>
      </c>
      <c r="C126" t="s">
        <v>1573</v>
      </c>
      <c r="D126" t="s">
        <v>2777</v>
      </c>
      <c r="E126" t="s">
        <v>2778</v>
      </c>
      <c r="F126" t="s">
        <v>2725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108">
        <v>1.2E-2</v>
      </c>
    </row>
    <row r="127" spans="1:38" ht="14.95" customHeight="1">
      <c r="A127" s="118" t="s">
        <v>116</v>
      </c>
      <c r="B127" s="110" t="s">
        <v>733</v>
      </c>
      <c r="C127" t="s">
        <v>2545</v>
      </c>
      <c r="D127" t="s">
        <v>2779</v>
      </c>
      <c r="E127" t="s">
        <v>2780</v>
      </c>
      <c r="F127" t="s">
        <v>2725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108">
        <v>0.04</v>
      </c>
    </row>
    <row r="128" spans="1:38" ht="14.95" customHeight="1">
      <c r="A128" s="118" t="s">
        <v>116</v>
      </c>
      <c r="B128" s="110" t="s">
        <v>732</v>
      </c>
      <c r="C128" t="s">
        <v>2546</v>
      </c>
      <c r="D128" t="s">
        <v>2781</v>
      </c>
      <c r="E128" t="s">
        <v>2782</v>
      </c>
      <c r="F128" t="s">
        <v>1714</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108">
        <v>0.04</v>
      </c>
    </row>
    <row r="129" spans="1:38" ht="14.95" customHeight="1">
      <c r="A129" s="118" t="s">
        <v>854</v>
      </c>
      <c r="B129" s="110" t="s">
        <v>731</v>
      </c>
      <c r="C129" t="s">
        <v>1577</v>
      </c>
      <c r="D129" t="s">
        <v>2783</v>
      </c>
      <c r="E129" t="s">
        <v>2784</v>
      </c>
      <c r="F129" t="s">
        <v>2725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108">
        <v>2E-3</v>
      </c>
    </row>
    <row r="130" spans="1:38" ht="14.95" customHeight="1">
      <c r="B130" s="110" t="s">
        <v>730</v>
      </c>
      <c r="C130" t="s">
        <v>2556</v>
      </c>
      <c r="D130" t="s">
        <v>2785</v>
      </c>
      <c r="E130" t="s">
        <v>2786</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108">
        <v>8.0000000000000002E-3</v>
      </c>
    </row>
    <row r="131" spans="1:38" s="36" customFormat="1" ht="14.95" customHeight="1">
      <c r="A131" s="114"/>
      <c r="B131" s="35" t="s">
        <v>729</v>
      </c>
      <c r="C131" s="36" t="s">
        <v>2557</v>
      </c>
      <c r="D131" s="36" t="s">
        <v>2787</v>
      </c>
      <c r="E131" s="36" t="s">
        <v>2788</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112">
        <v>1.0999999999999999E-2</v>
      </c>
    </row>
    <row r="132" spans="1:38" ht="14.95" customHeight="1">
      <c r="C132" t="s">
        <v>2558</v>
      </c>
      <c r="E132" t="s">
        <v>2789</v>
      </c>
    </row>
    <row r="133" spans="1:38" ht="14.95" customHeight="1">
      <c r="C133" t="s">
        <v>1217</v>
      </c>
      <c r="E133" t="s">
        <v>2790</v>
      </c>
    </row>
    <row r="134" spans="1:38" ht="14.95" customHeight="1">
      <c r="A134" s="118" t="s">
        <v>115</v>
      </c>
      <c r="B134" s="110" t="s">
        <v>728</v>
      </c>
      <c r="C134" t="s">
        <v>1262</v>
      </c>
      <c r="D134" t="s">
        <v>2791</v>
      </c>
      <c r="E134" t="s">
        <v>2792</v>
      </c>
      <c r="F134" t="s">
        <v>1860</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108">
        <v>2.1999999999999999E-2</v>
      </c>
    </row>
    <row r="135" spans="1:38" ht="14.95" customHeight="1">
      <c r="A135" s="118" t="s">
        <v>114</v>
      </c>
      <c r="B135" s="110" t="s">
        <v>727</v>
      </c>
      <c r="C135" t="s">
        <v>1348</v>
      </c>
      <c r="D135" t="s">
        <v>2793</v>
      </c>
      <c r="E135" t="s">
        <v>2794</v>
      </c>
      <c r="F135" t="s">
        <v>1860</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108">
        <v>2.1000000000000001E-2</v>
      </c>
    </row>
    <row r="136" spans="1:38" ht="14.95" customHeight="1">
      <c r="A136" s="118" t="s">
        <v>853</v>
      </c>
      <c r="B136" s="110" t="s">
        <v>726</v>
      </c>
      <c r="C136" t="s">
        <v>1269</v>
      </c>
      <c r="D136" t="s">
        <v>2795</v>
      </c>
      <c r="E136" t="s">
        <v>2796</v>
      </c>
      <c r="F136" t="s">
        <v>1860</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108">
        <v>0.11600000000000001</v>
      </c>
    </row>
    <row r="137" spans="1:38" ht="14.95" customHeight="1">
      <c r="A137" s="118" t="s">
        <v>113</v>
      </c>
      <c r="B137" s="110" t="s">
        <v>725</v>
      </c>
      <c r="C137" t="s">
        <v>1278</v>
      </c>
      <c r="D137" t="s">
        <v>2797</v>
      </c>
      <c r="E137" t="s">
        <v>2798</v>
      </c>
      <c r="F137" t="s">
        <v>1860</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108">
        <v>0.10100000000000001</v>
      </c>
    </row>
    <row r="138" spans="1:38" ht="14.95" customHeight="1">
      <c r="A138" s="118" t="s">
        <v>114</v>
      </c>
      <c r="B138" s="110" t="s">
        <v>724</v>
      </c>
      <c r="C138" t="s">
        <v>2544</v>
      </c>
      <c r="D138" t="s">
        <v>2799</v>
      </c>
      <c r="E138" t="s">
        <v>2800</v>
      </c>
      <c r="F138" t="s">
        <v>1860</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108">
        <v>6.6000000000000003E-2</v>
      </c>
    </row>
    <row r="139" spans="1:38" ht="14.95" customHeight="1">
      <c r="A139" s="118" t="s">
        <v>112</v>
      </c>
      <c r="B139" s="110" t="s">
        <v>723</v>
      </c>
      <c r="C139" t="s">
        <v>1573</v>
      </c>
      <c r="D139" t="s">
        <v>2801</v>
      </c>
      <c r="E139" t="s">
        <v>2802</v>
      </c>
      <c r="F139" t="s">
        <v>1860</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108">
        <v>0.14299999999999999</v>
      </c>
    </row>
    <row r="140" spans="1:38" ht="14.95" customHeight="1">
      <c r="A140" s="118" t="s">
        <v>116</v>
      </c>
      <c r="B140" s="110" t="s">
        <v>722</v>
      </c>
      <c r="C140" t="s">
        <v>2545</v>
      </c>
      <c r="D140" t="s">
        <v>2803</v>
      </c>
      <c r="E140" t="s">
        <v>2804</v>
      </c>
      <c r="F140" t="s">
        <v>1860</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108">
        <v>0.153</v>
      </c>
    </row>
    <row r="141" spans="1:38" ht="14.95" customHeight="1">
      <c r="A141" s="118" t="s">
        <v>116</v>
      </c>
      <c r="B141" s="110" t="s">
        <v>721</v>
      </c>
      <c r="C141" t="s">
        <v>2546</v>
      </c>
      <c r="D141" t="s">
        <v>2805</v>
      </c>
      <c r="E141" t="s">
        <v>2806</v>
      </c>
      <c r="F141" t="s">
        <v>1860</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108">
        <v>0.153</v>
      </c>
    </row>
    <row r="142" spans="1:38" ht="14.95" customHeight="1">
      <c r="A142" s="118" t="s">
        <v>854</v>
      </c>
      <c r="B142" s="110" t="s">
        <v>720</v>
      </c>
      <c r="C142" t="s">
        <v>1577</v>
      </c>
      <c r="D142" t="s">
        <v>2807</v>
      </c>
      <c r="E142" t="s">
        <v>2808</v>
      </c>
      <c r="F142" t="s">
        <v>1860</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108">
        <v>0.123</v>
      </c>
    </row>
    <row r="143" spans="1:38" ht="14.95" customHeight="1">
      <c r="B143" s="110" t="s">
        <v>719</v>
      </c>
      <c r="C143" t="s">
        <v>2547</v>
      </c>
      <c r="D143" t="s">
        <v>2809</v>
      </c>
      <c r="E143" t="s">
        <v>2810</v>
      </c>
      <c r="F143" t="s">
        <v>1860</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108">
        <v>2.7E-2</v>
      </c>
    </row>
    <row r="144" spans="1:38" ht="14.95" customHeight="1">
      <c r="C144" t="s">
        <v>1219</v>
      </c>
      <c r="E144" t="s">
        <v>2811</v>
      </c>
    </row>
    <row r="145" spans="1:38" ht="14.95" customHeight="1">
      <c r="A145" s="118" t="s">
        <v>115</v>
      </c>
      <c r="B145" s="110" t="s">
        <v>718</v>
      </c>
      <c r="C145" t="s">
        <v>1262</v>
      </c>
      <c r="D145" t="s">
        <v>2812</v>
      </c>
      <c r="E145" t="s">
        <v>2813</v>
      </c>
      <c r="F145" t="s">
        <v>1860</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108">
        <v>2.1000000000000001E-2</v>
      </c>
    </row>
    <row r="146" spans="1:38" ht="14.95" customHeight="1">
      <c r="A146" s="118" t="s">
        <v>114</v>
      </c>
      <c r="B146" s="110" t="s">
        <v>717</v>
      </c>
      <c r="C146" t="s">
        <v>1348</v>
      </c>
      <c r="D146" t="s">
        <v>2814</v>
      </c>
      <c r="E146" t="s">
        <v>2815</v>
      </c>
      <c r="F146" t="s">
        <v>1860</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108">
        <v>1.4E-2</v>
      </c>
    </row>
    <row r="147" spans="1:38" ht="14.95" customHeight="1">
      <c r="A147" s="118" t="s">
        <v>853</v>
      </c>
      <c r="B147" s="110" t="s">
        <v>716</v>
      </c>
      <c r="C147" t="s">
        <v>1269</v>
      </c>
      <c r="D147" t="s">
        <v>2816</v>
      </c>
      <c r="E147" t="s">
        <v>2817</v>
      </c>
      <c r="F147" t="s">
        <v>1860</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108">
        <v>4.2999999999999997E-2</v>
      </c>
    </row>
    <row r="148" spans="1:38" ht="14.95" customHeight="1">
      <c r="A148" s="118" t="s">
        <v>113</v>
      </c>
      <c r="B148" s="110" t="s">
        <v>715</v>
      </c>
      <c r="C148" t="s">
        <v>1278</v>
      </c>
      <c r="D148" t="s">
        <v>2818</v>
      </c>
      <c r="E148" t="s">
        <v>2819</v>
      </c>
      <c r="F148" t="s">
        <v>1860</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108">
        <v>6.4000000000000001E-2</v>
      </c>
    </row>
    <row r="149" spans="1:38" ht="14.95" customHeight="1">
      <c r="A149" s="118" t="s">
        <v>114</v>
      </c>
      <c r="B149" s="110" t="s">
        <v>714</v>
      </c>
      <c r="C149" t="s">
        <v>2544</v>
      </c>
      <c r="D149" t="s">
        <v>2820</v>
      </c>
      <c r="E149" t="s">
        <v>2821</v>
      </c>
      <c r="F149" t="s">
        <v>1860</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108">
        <v>7.3999999999999996E-2</v>
      </c>
    </row>
    <row r="150" spans="1:38" ht="14.95" customHeight="1">
      <c r="A150" s="118" t="s">
        <v>112</v>
      </c>
      <c r="B150" s="110" t="s">
        <v>713</v>
      </c>
      <c r="C150" t="s">
        <v>1573</v>
      </c>
      <c r="D150" t="s">
        <v>2822</v>
      </c>
      <c r="E150" t="s">
        <v>2823</v>
      </c>
      <c r="F150" t="s">
        <v>1860</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108">
        <v>0.13900000000000001</v>
      </c>
    </row>
    <row r="151" spans="1:38" ht="14.95" customHeight="1">
      <c r="A151" s="118" t="s">
        <v>116</v>
      </c>
      <c r="B151" s="110" t="s">
        <v>712</v>
      </c>
      <c r="C151" t="s">
        <v>2545</v>
      </c>
      <c r="D151" t="s">
        <v>2824</v>
      </c>
      <c r="E151" t="s">
        <v>2825</v>
      </c>
      <c r="F151" t="s">
        <v>1860</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108">
        <v>0.157</v>
      </c>
    </row>
    <row r="152" spans="1:38" ht="14.95" customHeight="1">
      <c r="A152" s="118" t="s">
        <v>116</v>
      </c>
      <c r="B152" s="110" t="s">
        <v>711</v>
      </c>
      <c r="C152" t="s">
        <v>2546</v>
      </c>
      <c r="D152" t="s">
        <v>2826</v>
      </c>
      <c r="E152" t="s">
        <v>2827</v>
      </c>
      <c r="F152" t="s">
        <v>1860</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108">
        <v>0.157</v>
      </c>
    </row>
    <row r="153" spans="1:38" ht="14.95" customHeight="1">
      <c r="A153" s="118" t="s">
        <v>854</v>
      </c>
      <c r="B153" s="110" t="s">
        <v>710</v>
      </c>
      <c r="C153" t="s">
        <v>1577</v>
      </c>
      <c r="D153" t="s">
        <v>2828</v>
      </c>
      <c r="E153" t="s">
        <v>2829</v>
      </c>
      <c r="F153" t="s">
        <v>1860</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108">
        <v>0.157</v>
      </c>
    </row>
    <row r="154" spans="1:38" ht="14.95" customHeight="1">
      <c r="B154" s="110" t="s">
        <v>709</v>
      </c>
      <c r="C154" t="s">
        <v>2548</v>
      </c>
      <c r="D154" t="s">
        <v>2830</v>
      </c>
      <c r="E154" t="s">
        <v>2831</v>
      </c>
      <c r="F154" t="s">
        <v>1860</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108">
        <v>0.02</v>
      </c>
    </row>
    <row r="155" spans="1:38" ht="14.95" customHeight="1">
      <c r="C155" t="s">
        <v>2549</v>
      </c>
      <c r="E155" t="s">
        <v>2832</v>
      </c>
    </row>
    <row r="156" spans="1:38" ht="14.95" customHeight="1">
      <c r="A156" s="118" t="s">
        <v>115</v>
      </c>
      <c r="B156" s="110" t="s">
        <v>708</v>
      </c>
      <c r="C156" t="s">
        <v>1262</v>
      </c>
      <c r="D156" t="s">
        <v>2833</v>
      </c>
      <c r="E156" t="s">
        <v>2834</v>
      </c>
      <c r="F156" t="s">
        <v>1860</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108">
        <v>8.0000000000000002E-3</v>
      </c>
    </row>
    <row r="157" spans="1:38" ht="14.95" customHeight="1">
      <c r="A157" s="118" t="s">
        <v>114</v>
      </c>
      <c r="B157" s="110" t="s">
        <v>707</v>
      </c>
      <c r="C157" t="s">
        <v>1348</v>
      </c>
      <c r="D157" t="s">
        <v>2835</v>
      </c>
      <c r="E157" t="s">
        <v>2836</v>
      </c>
      <c r="F157" t="s">
        <v>1860</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108">
        <v>-4.2000000000000003E-2</v>
      </c>
    </row>
    <row r="158" spans="1:38" ht="14.95" customHeight="1">
      <c r="A158" s="118" t="s">
        <v>853</v>
      </c>
      <c r="B158" s="110" t="s">
        <v>706</v>
      </c>
      <c r="C158" t="s">
        <v>1269</v>
      </c>
      <c r="D158" t="s">
        <v>2837</v>
      </c>
      <c r="E158" t="s">
        <v>2838</v>
      </c>
      <c r="F158" t="s">
        <v>1860</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108">
        <v>0.02</v>
      </c>
    </row>
    <row r="159" spans="1:38" ht="14.95" customHeight="1">
      <c r="A159" s="118" t="s">
        <v>113</v>
      </c>
      <c r="B159" s="110" t="s">
        <v>705</v>
      </c>
      <c r="C159" t="s">
        <v>1278</v>
      </c>
      <c r="D159" t="s">
        <v>2839</v>
      </c>
      <c r="E159" t="s">
        <v>2840</v>
      </c>
      <c r="F159" t="s">
        <v>1860</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108">
        <v>3.4000000000000002E-2</v>
      </c>
    </row>
    <row r="160" spans="1:38" ht="14.95" customHeight="1">
      <c r="A160" s="118" t="s">
        <v>114</v>
      </c>
      <c r="B160" s="110" t="s">
        <v>704</v>
      </c>
      <c r="C160" t="s">
        <v>2544</v>
      </c>
      <c r="D160" t="s">
        <v>2841</v>
      </c>
      <c r="E160" t="s">
        <v>2842</v>
      </c>
      <c r="F160" t="s">
        <v>1860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146</v>
      </c>
    </row>
    <row r="161" spans="1:38" ht="14.95" customHeight="1">
      <c r="A161" s="118" t="s">
        <v>112</v>
      </c>
      <c r="B161" s="110" t="s">
        <v>703</v>
      </c>
      <c r="C161" t="s">
        <v>1573</v>
      </c>
      <c r="D161" t="s">
        <v>2843</v>
      </c>
      <c r="E161" t="s">
        <v>2844</v>
      </c>
      <c r="F161" t="s">
        <v>1860</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108">
        <v>0.13700000000000001</v>
      </c>
    </row>
    <row r="162" spans="1:38" ht="14.95" customHeight="1">
      <c r="A162" s="118" t="s">
        <v>116</v>
      </c>
      <c r="B162" s="110" t="s">
        <v>702</v>
      </c>
      <c r="C162" t="s">
        <v>2545</v>
      </c>
      <c r="D162" t="s">
        <v>2845</v>
      </c>
      <c r="E162" t="s">
        <v>2846</v>
      </c>
      <c r="F162" t="s">
        <v>1860</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108">
        <v>0.124</v>
      </c>
    </row>
    <row r="163" spans="1:38" ht="14.95" customHeight="1">
      <c r="A163" s="118" t="s">
        <v>116</v>
      </c>
      <c r="B163" s="110" t="s">
        <v>701</v>
      </c>
      <c r="C163" t="s">
        <v>2546</v>
      </c>
      <c r="D163" t="s">
        <v>2847</v>
      </c>
      <c r="E163" t="s">
        <v>2848</v>
      </c>
      <c r="F163" t="s">
        <v>1860</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108">
        <v>0.123</v>
      </c>
    </row>
    <row r="164" spans="1:38" ht="14.95" customHeight="1">
      <c r="A164" s="118" t="s">
        <v>854</v>
      </c>
      <c r="B164" s="110" t="s">
        <v>700</v>
      </c>
      <c r="C164" t="s">
        <v>1577</v>
      </c>
      <c r="D164" t="s">
        <v>2849</v>
      </c>
      <c r="E164" t="s">
        <v>2850</v>
      </c>
      <c r="F164" t="s">
        <v>1860</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108">
        <v>0.126</v>
      </c>
    </row>
    <row r="165" spans="1:38" ht="14.95" customHeight="1">
      <c r="B165" s="110" t="s">
        <v>699</v>
      </c>
      <c r="C165" t="s">
        <v>2550</v>
      </c>
      <c r="D165" t="s">
        <v>2851</v>
      </c>
      <c r="E165" t="s">
        <v>2852</v>
      </c>
      <c r="F165" t="s">
        <v>1860</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108">
        <v>8.9999999999999993E-3</v>
      </c>
    </row>
    <row r="166" spans="1:38" ht="14.95" customHeight="1">
      <c r="B166" s="110" t="s">
        <v>698</v>
      </c>
      <c r="C166" t="s">
        <v>2559</v>
      </c>
      <c r="D166" t="s">
        <v>2853</v>
      </c>
      <c r="E166" t="s">
        <v>2854</v>
      </c>
      <c r="F166" t="s">
        <v>1860</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108">
        <v>1.7999999999999999E-2</v>
      </c>
    </row>
    <row r="167" spans="1:38" ht="14.95" customHeight="1">
      <c r="C167" t="s">
        <v>697</v>
      </c>
      <c r="E167" t="s">
        <v>2855</v>
      </c>
    </row>
    <row r="168" spans="1:38" ht="14.95" customHeight="1">
      <c r="C168" t="s">
        <v>2553</v>
      </c>
      <c r="E168" t="s">
        <v>2856</v>
      </c>
    </row>
    <row r="169" spans="1:38" ht="14.95" customHeight="1">
      <c r="C169" t="s">
        <v>1217</v>
      </c>
      <c r="E169" t="s">
        <v>2857</v>
      </c>
    </row>
    <row r="170" spans="1:38" ht="14.95" customHeight="1">
      <c r="A170" s="118" t="s">
        <v>115</v>
      </c>
      <c r="B170" s="110" t="s">
        <v>696</v>
      </c>
      <c r="C170" t="s">
        <v>1262</v>
      </c>
      <c r="D170" t="s">
        <v>2858</v>
      </c>
      <c r="E170" t="s">
        <v>2859</v>
      </c>
      <c r="F170" t="s">
        <v>2725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108">
        <v>4.0000000000000001E-3</v>
      </c>
    </row>
    <row r="171" spans="1:38" ht="14.95" customHeight="1">
      <c r="A171" s="118" t="s">
        <v>114</v>
      </c>
      <c r="B171" s="110" t="s">
        <v>695</v>
      </c>
      <c r="C171" t="s">
        <v>1348</v>
      </c>
      <c r="D171" t="s">
        <v>2860</v>
      </c>
      <c r="E171" t="s">
        <v>2861</v>
      </c>
      <c r="F171" t="s">
        <v>1714</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108">
        <v>7.0000000000000001E-3</v>
      </c>
    </row>
    <row r="172" spans="1:38" ht="14.95" customHeight="1">
      <c r="A172" s="118" t="s">
        <v>853</v>
      </c>
      <c r="B172" s="110" t="s">
        <v>694</v>
      </c>
      <c r="C172" t="s">
        <v>1269</v>
      </c>
      <c r="D172" t="s">
        <v>2862</v>
      </c>
      <c r="E172" t="s">
        <v>2863</v>
      </c>
      <c r="F172" t="s">
        <v>1714</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108">
        <v>4.0000000000000001E-3</v>
      </c>
    </row>
    <row r="173" spans="1:38" ht="14.95" customHeight="1">
      <c r="A173" s="118" t="s">
        <v>113</v>
      </c>
      <c r="B173" s="110" t="s">
        <v>693</v>
      </c>
      <c r="C173" t="s">
        <v>1278</v>
      </c>
      <c r="D173" t="s">
        <v>2864</v>
      </c>
      <c r="E173" t="s">
        <v>2865</v>
      </c>
      <c r="F173" t="s">
        <v>1714</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108">
        <v>4.0000000000000001E-3</v>
      </c>
    </row>
    <row r="174" spans="1:38" ht="14.95" customHeight="1">
      <c r="A174" s="118" t="s">
        <v>114</v>
      </c>
      <c r="B174" s="110" t="s">
        <v>692</v>
      </c>
      <c r="C174" t="s">
        <v>2544</v>
      </c>
      <c r="D174" t="s">
        <v>2866</v>
      </c>
      <c r="E174" t="s">
        <v>2867</v>
      </c>
      <c r="F174" t="s">
        <v>1714</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108">
        <v>7.0000000000000001E-3</v>
      </c>
    </row>
    <row r="175" spans="1:38" ht="14.95" customHeight="1">
      <c r="A175" s="118" t="s">
        <v>112</v>
      </c>
      <c r="B175" s="110" t="s">
        <v>691</v>
      </c>
      <c r="C175" t="s">
        <v>1573</v>
      </c>
      <c r="D175" t="s">
        <v>2868</v>
      </c>
      <c r="E175" t="s">
        <v>2869</v>
      </c>
      <c r="F175" t="s">
        <v>2725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108">
        <v>3.0000000000000001E-3</v>
      </c>
    </row>
    <row r="176" spans="1:38" ht="14.95" customHeight="1">
      <c r="A176" s="118" t="s">
        <v>116</v>
      </c>
      <c r="B176" s="110" t="s">
        <v>690</v>
      </c>
      <c r="C176" t="s">
        <v>2545</v>
      </c>
      <c r="D176" t="s">
        <v>2870</v>
      </c>
      <c r="E176" t="s">
        <v>2871</v>
      </c>
      <c r="F176" t="s">
        <v>2725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108">
        <v>8.0000000000000002E-3</v>
      </c>
    </row>
    <row r="177" spans="1:38" ht="14.95" customHeight="1">
      <c r="A177" s="118" t="s">
        <v>116</v>
      </c>
      <c r="B177" s="110" t="s">
        <v>689</v>
      </c>
      <c r="C177" t="s">
        <v>2546</v>
      </c>
      <c r="D177" t="s">
        <v>2872</v>
      </c>
      <c r="E177" t="s">
        <v>2873</v>
      </c>
      <c r="F177" t="s">
        <v>1714</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108">
        <v>4.0000000000000001E-3</v>
      </c>
    </row>
    <row r="178" spans="1:38" ht="14.95" customHeight="1">
      <c r="A178" s="118" t="s">
        <v>854</v>
      </c>
      <c r="B178" s="110" t="s">
        <v>688</v>
      </c>
      <c r="C178" t="s">
        <v>1577</v>
      </c>
      <c r="D178" t="s">
        <v>2874</v>
      </c>
      <c r="E178" t="s">
        <v>2875</v>
      </c>
      <c r="F178" t="s">
        <v>2725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108">
        <v>-4.0000000000000001E-3</v>
      </c>
    </row>
    <row r="179" spans="1:38" ht="14.95" customHeight="1">
      <c r="B179" s="110" t="s">
        <v>687</v>
      </c>
      <c r="C179" t="s">
        <v>2554</v>
      </c>
      <c r="D179" t="s">
        <v>2876</v>
      </c>
      <c r="E179" t="s">
        <v>2877</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108">
        <v>4.0000000000000001E-3</v>
      </c>
    </row>
    <row r="180" spans="1:38" ht="14.95" customHeight="1">
      <c r="C180" t="s">
        <v>1219</v>
      </c>
      <c r="E180" t="s">
        <v>2878</v>
      </c>
    </row>
    <row r="181" spans="1:38" ht="14.95" customHeight="1">
      <c r="A181" s="118" t="s">
        <v>115</v>
      </c>
      <c r="B181" s="110" t="s">
        <v>686</v>
      </c>
      <c r="C181" t="s">
        <v>1262</v>
      </c>
      <c r="D181" t="s">
        <v>2879</v>
      </c>
      <c r="E181" t="s">
        <v>2880</v>
      </c>
      <c r="F181" t="s">
        <v>2725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108">
        <v>0.01</v>
      </c>
    </row>
    <row r="182" spans="1:38" ht="14.95" customHeight="1">
      <c r="A182" s="118" t="s">
        <v>114</v>
      </c>
      <c r="B182" s="110" t="s">
        <v>685</v>
      </c>
      <c r="C182" t="s">
        <v>1348</v>
      </c>
      <c r="D182" t="s">
        <v>2881</v>
      </c>
      <c r="E182" t="s">
        <v>2882</v>
      </c>
      <c r="F182" t="s">
        <v>1714</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108">
        <v>8.9999999999999993E-3</v>
      </c>
    </row>
    <row r="183" spans="1:38" ht="14.95" customHeight="1">
      <c r="A183" s="118" t="s">
        <v>853</v>
      </c>
      <c r="B183" s="110" t="s">
        <v>684</v>
      </c>
      <c r="C183" t="s">
        <v>1269</v>
      </c>
      <c r="D183" t="s">
        <v>2883</v>
      </c>
      <c r="E183" t="s">
        <v>2884</v>
      </c>
      <c r="F183" t="s">
        <v>1714</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108">
        <v>0.01</v>
      </c>
    </row>
    <row r="184" spans="1:38" ht="14.95" customHeight="1">
      <c r="A184" s="118" t="s">
        <v>113</v>
      </c>
      <c r="B184" s="110" t="s">
        <v>683</v>
      </c>
      <c r="C184" t="s">
        <v>1278</v>
      </c>
      <c r="D184" t="s">
        <v>2885</v>
      </c>
      <c r="E184" t="s">
        <v>2886</v>
      </c>
      <c r="F184" t="s">
        <v>1714</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108">
        <v>0.01</v>
      </c>
    </row>
    <row r="185" spans="1:38" ht="14.95" customHeight="1">
      <c r="A185" s="118" t="s">
        <v>114</v>
      </c>
      <c r="B185" s="110" t="s">
        <v>682</v>
      </c>
      <c r="C185" t="s">
        <v>2544</v>
      </c>
      <c r="D185" t="s">
        <v>2887</v>
      </c>
      <c r="E185" t="s">
        <v>2888</v>
      </c>
      <c r="F185" t="s">
        <v>2755</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108">
        <v>8.9999999999999993E-3</v>
      </c>
    </row>
    <row r="186" spans="1:38" ht="14.95" customHeight="1">
      <c r="A186" s="118" t="s">
        <v>112</v>
      </c>
      <c r="B186" s="110" t="s">
        <v>681</v>
      </c>
      <c r="C186" t="s">
        <v>1573</v>
      </c>
      <c r="D186" t="s">
        <v>2889</v>
      </c>
      <c r="E186" t="s">
        <v>2890</v>
      </c>
      <c r="F186" t="s">
        <v>1714</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108">
        <v>7.0000000000000001E-3</v>
      </c>
    </row>
    <row r="187" spans="1:38" ht="14.95" customHeight="1">
      <c r="A187" s="118" t="s">
        <v>116</v>
      </c>
      <c r="B187" s="110" t="s">
        <v>680</v>
      </c>
      <c r="C187" t="s">
        <v>2545</v>
      </c>
      <c r="D187" t="s">
        <v>2891</v>
      </c>
      <c r="E187" t="s">
        <v>2892</v>
      </c>
      <c r="F187" t="s">
        <v>1714</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108">
        <v>8.9999999999999993E-3</v>
      </c>
    </row>
    <row r="188" spans="1:38" ht="14.95" customHeight="1">
      <c r="A188" s="118" t="s">
        <v>116</v>
      </c>
      <c r="B188" s="110" t="s">
        <v>679</v>
      </c>
      <c r="C188" t="s">
        <v>2546</v>
      </c>
      <c r="D188" t="s">
        <v>2893</v>
      </c>
      <c r="E188" t="s">
        <v>2894</v>
      </c>
      <c r="F188" t="s">
        <v>1714</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108">
        <v>8.0000000000000002E-3</v>
      </c>
    </row>
    <row r="189" spans="1:38" ht="14.95" customHeight="1">
      <c r="A189" s="118" t="s">
        <v>854</v>
      </c>
      <c r="B189" s="110" t="s">
        <v>678</v>
      </c>
      <c r="C189" t="s">
        <v>1577</v>
      </c>
      <c r="D189" t="s">
        <v>2895</v>
      </c>
      <c r="E189" t="s">
        <v>2896</v>
      </c>
      <c r="F189" t="s">
        <v>1714</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108">
        <v>0</v>
      </c>
    </row>
    <row r="190" spans="1:38" ht="14.95" customHeight="1">
      <c r="B190" s="110" t="s">
        <v>677</v>
      </c>
      <c r="C190" t="s">
        <v>2555</v>
      </c>
      <c r="D190" t="s">
        <v>2897</v>
      </c>
      <c r="E190" t="s">
        <v>2898</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108">
        <v>8.9999999999999993E-3</v>
      </c>
    </row>
    <row r="191" spans="1:38" ht="14.95" customHeight="1">
      <c r="C191" t="s">
        <v>2549</v>
      </c>
      <c r="E191" t="s">
        <v>2899</v>
      </c>
    </row>
    <row r="192" spans="1:38" ht="14.95" customHeight="1">
      <c r="A192" s="118" t="s">
        <v>115</v>
      </c>
      <c r="B192" s="110" t="s">
        <v>676</v>
      </c>
      <c r="C192" t="s">
        <v>1262</v>
      </c>
      <c r="D192" t="s">
        <v>2900</v>
      </c>
      <c r="E192" t="s">
        <v>2901</v>
      </c>
      <c r="F192" t="s">
        <v>2725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108">
        <v>8.0000000000000002E-3</v>
      </c>
    </row>
    <row r="193" spans="1:38" ht="14.95" customHeight="1">
      <c r="A193" s="118" t="s">
        <v>114</v>
      </c>
      <c r="B193" s="110" t="s">
        <v>675</v>
      </c>
      <c r="C193" t="s">
        <v>1348</v>
      </c>
      <c r="D193" t="s">
        <v>2902</v>
      </c>
      <c r="E193" t="s">
        <v>2903</v>
      </c>
      <c r="F193" t="s">
        <v>1714</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108">
        <v>7.0000000000000001E-3</v>
      </c>
    </row>
    <row r="194" spans="1:38" ht="14.95" customHeight="1">
      <c r="A194" s="118" t="s">
        <v>853</v>
      </c>
      <c r="B194" s="110" t="s">
        <v>674</v>
      </c>
      <c r="C194" t="s">
        <v>1269</v>
      </c>
      <c r="D194" t="s">
        <v>2904</v>
      </c>
      <c r="E194" t="s">
        <v>2905</v>
      </c>
      <c r="F194" t="s">
        <v>1714</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108">
        <v>6.0000000000000001E-3</v>
      </c>
    </row>
    <row r="195" spans="1:38" ht="14.95" customHeight="1">
      <c r="A195" s="118" t="s">
        <v>113</v>
      </c>
      <c r="B195" s="110" t="s">
        <v>673</v>
      </c>
      <c r="C195" t="s">
        <v>1278</v>
      </c>
      <c r="D195" t="s">
        <v>2906</v>
      </c>
      <c r="E195" t="s">
        <v>2907</v>
      </c>
      <c r="F195" t="s">
        <v>2725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108">
        <v>8.9999999999999993E-3</v>
      </c>
    </row>
    <row r="196" spans="1:38" ht="14.95" customHeight="1">
      <c r="A196" s="118" t="s">
        <v>114</v>
      </c>
      <c r="B196" s="110" t="s">
        <v>672</v>
      </c>
      <c r="C196" t="s">
        <v>2544</v>
      </c>
      <c r="D196" t="s">
        <v>2908</v>
      </c>
      <c r="E196" t="s">
        <v>2909</v>
      </c>
      <c r="F196" t="s">
        <v>1714</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146</v>
      </c>
    </row>
    <row r="197" spans="1:38" ht="14.95" customHeight="1">
      <c r="A197" s="118" t="s">
        <v>112</v>
      </c>
      <c r="B197" s="110" t="s">
        <v>671</v>
      </c>
      <c r="C197" t="s">
        <v>1573</v>
      </c>
      <c r="D197" t="s">
        <v>2910</v>
      </c>
      <c r="E197" t="s">
        <v>2911</v>
      </c>
      <c r="F197" t="s">
        <v>2725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108">
        <v>1.7000000000000001E-2</v>
      </c>
    </row>
    <row r="198" spans="1:38" ht="14.95" customHeight="1">
      <c r="A198" s="118" t="s">
        <v>116</v>
      </c>
      <c r="B198" s="110" t="s">
        <v>670</v>
      </c>
      <c r="C198" t="s">
        <v>2545</v>
      </c>
      <c r="D198" t="s">
        <v>2912</v>
      </c>
      <c r="E198" t="s">
        <v>2913</v>
      </c>
      <c r="F198" t="s">
        <v>2725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108">
        <v>0.01</v>
      </c>
    </row>
    <row r="199" spans="1:38" ht="14.95" customHeight="1">
      <c r="A199" s="118" t="s">
        <v>116</v>
      </c>
      <c r="B199" s="110" t="s">
        <v>669</v>
      </c>
      <c r="C199" t="s">
        <v>2546</v>
      </c>
      <c r="D199" t="s">
        <v>2914</v>
      </c>
      <c r="E199" t="s">
        <v>2915</v>
      </c>
      <c r="F199" t="s">
        <v>1714</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108">
        <v>7.0000000000000001E-3</v>
      </c>
    </row>
    <row r="200" spans="1:38" ht="14.95" customHeight="1">
      <c r="A200" s="118" t="s">
        <v>854</v>
      </c>
      <c r="B200" s="110" t="s">
        <v>668</v>
      </c>
      <c r="C200" t="s">
        <v>1577</v>
      </c>
      <c r="D200" t="s">
        <v>2916</v>
      </c>
      <c r="E200" t="s">
        <v>2917</v>
      </c>
      <c r="F200" t="s">
        <v>2725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108">
        <v>3.0000000000000001E-3</v>
      </c>
    </row>
    <row r="201" spans="1:38" ht="14.95" customHeight="1">
      <c r="B201" s="110" t="s">
        <v>667</v>
      </c>
      <c r="C201" t="s">
        <v>2556</v>
      </c>
      <c r="D201" t="s">
        <v>2918</v>
      </c>
      <c r="E201" t="s">
        <v>2919</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108">
        <v>8.0000000000000002E-3</v>
      </c>
    </row>
    <row r="202" spans="1:38" s="36" customFormat="1" ht="14.95" customHeight="1">
      <c r="A202" s="114"/>
      <c r="B202" s="35" t="s">
        <v>666</v>
      </c>
      <c r="C202" s="36" t="s">
        <v>2557</v>
      </c>
      <c r="D202" s="36" t="s">
        <v>2920</v>
      </c>
      <c r="E202" s="36" t="s">
        <v>2921</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112">
        <v>8.9999999999999993E-3</v>
      </c>
    </row>
    <row r="203" spans="1:38" ht="14.95" customHeight="1">
      <c r="C203" t="s">
        <v>2560</v>
      </c>
      <c r="E203" t="s">
        <v>2922</v>
      </c>
    </row>
    <row r="204" spans="1:38" ht="14.95" customHeight="1">
      <c r="C204" t="s">
        <v>1217</v>
      </c>
      <c r="E204" t="s">
        <v>2923</v>
      </c>
    </row>
    <row r="205" spans="1:38" ht="14.95" customHeight="1">
      <c r="A205" s="118" t="s">
        <v>115</v>
      </c>
      <c r="B205" s="110" t="s">
        <v>665</v>
      </c>
      <c r="C205" t="s">
        <v>1262</v>
      </c>
      <c r="D205" t="s">
        <v>2924</v>
      </c>
      <c r="E205" t="s">
        <v>2925</v>
      </c>
      <c r="F205" t="s">
        <v>1584</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108">
        <v>7.0000000000000001E-3</v>
      </c>
    </row>
    <row r="206" spans="1:38" ht="14.95" customHeight="1">
      <c r="A206" s="118" t="s">
        <v>114</v>
      </c>
      <c r="B206" s="110" t="s">
        <v>664</v>
      </c>
      <c r="C206" t="s">
        <v>1348</v>
      </c>
      <c r="D206" t="s">
        <v>2926</v>
      </c>
      <c r="E206" t="s">
        <v>2927</v>
      </c>
      <c r="F206" t="s">
        <v>1584</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108">
        <v>2.7E-2</v>
      </c>
    </row>
    <row r="207" spans="1:38" ht="14.95" customHeight="1">
      <c r="A207" s="118" t="s">
        <v>853</v>
      </c>
      <c r="B207" s="110" t="s">
        <v>663</v>
      </c>
      <c r="C207" t="s">
        <v>1269</v>
      </c>
      <c r="D207" t="s">
        <v>2928</v>
      </c>
      <c r="E207" t="s">
        <v>2929</v>
      </c>
      <c r="F207" t="s">
        <v>1584</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108">
        <v>4.9000000000000002E-2</v>
      </c>
    </row>
    <row r="208" spans="1:38" ht="14.95" customHeight="1">
      <c r="A208" s="118" t="s">
        <v>113</v>
      </c>
      <c r="B208" s="110" t="s">
        <v>662</v>
      </c>
      <c r="C208" t="s">
        <v>1278</v>
      </c>
      <c r="D208" t="s">
        <v>2930</v>
      </c>
      <c r="E208" t="s">
        <v>2931</v>
      </c>
      <c r="F208" t="s">
        <v>1584</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108">
        <v>2.4E-2</v>
      </c>
    </row>
    <row r="209" spans="1:38" ht="14.95" customHeight="1">
      <c r="A209" s="118" t="s">
        <v>114</v>
      </c>
      <c r="B209" s="110" t="s">
        <v>661</v>
      </c>
      <c r="C209" t="s">
        <v>2544</v>
      </c>
      <c r="D209" t="s">
        <v>2932</v>
      </c>
      <c r="E209" t="s">
        <v>2933</v>
      </c>
      <c r="F209" t="s">
        <v>1584</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108">
        <v>4.8000000000000001E-2</v>
      </c>
    </row>
    <row r="210" spans="1:38" ht="14.95" customHeight="1">
      <c r="A210" s="118" t="s">
        <v>112</v>
      </c>
      <c r="B210" s="110" t="s">
        <v>660</v>
      </c>
      <c r="C210" t="s">
        <v>1573</v>
      </c>
      <c r="D210" t="s">
        <v>2934</v>
      </c>
      <c r="E210" t="s">
        <v>2935</v>
      </c>
      <c r="F210" t="s">
        <v>1584</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108">
        <v>4.8000000000000001E-2</v>
      </c>
    </row>
    <row r="211" spans="1:38" ht="14.95" customHeight="1">
      <c r="A211" s="118" t="s">
        <v>116</v>
      </c>
      <c r="B211" s="110" t="s">
        <v>659</v>
      </c>
      <c r="C211" t="s">
        <v>2545</v>
      </c>
      <c r="D211" t="s">
        <v>2936</v>
      </c>
      <c r="E211" t="s">
        <v>2937</v>
      </c>
      <c r="F211" t="s">
        <v>1584</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108">
        <v>4.9000000000000002E-2</v>
      </c>
    </row>
    <row r="212" spans="1:38" ht="14.95" customHeight="1">
      <c r="A212" s="118" t="s">
        <v>116</v>
      </c>
      <c r="B212" s="110" t="s">
        <v>658</v>
      </c>
      <c r="C212" t="s">
        <v>2546</v>
      </c>
      <c r="D212" t="s">
        <v>2938</v>
      </c>
      <c r="E212" t="s">
        <v>2939</v>
      </c>
      <c r="F212" t="s">
        <v>1584</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108">
        <v>4.9000000000000002E-2</v>
      </c>
    </row>
    <row r="213" spans="1:38" ht="14.95" customHeight="1">
      <c r="A213" s="118" t="s">
        <v>854</v>
      </c>
      <c r="B213" s="110" t="s">
        <v>657</v>
      </c>
      <c r="C213" t="s">
        <v>1577</v>
      </c>
      <c r="D213" t="s">
        <v>2940</v>
      </c>
      <c r="E213" t="s">
        <v>2941</v>
      </c>
      <c r="F213" t="s">
        <v>1584</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108">
        <v>-4.0000000000000001E-3</v>
      </c>
    </row>
    <row r="214" spans="1:38" ht="14.95" customHeight="1">
      <c r="B214" s="110" t="s">
        <v>656</v>
      </c>
      <c r="C214" t="s">
        <v>2547</v>
      </c>
      <c r="D214" t="s">
        <v>2942</v>
      </c>
      <c r="E214" t="s">
        <v>2943</v>
      </c>
      <c r="F214" t="s">
        <v>1584</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108">
        <v>1.9E-2</v>
      </c>
    </row>
    <row r="215" spans="1:38" ht="14.95" customHeight="1">
      <c r="C215" t="s">
        <v>1219</v>
      </c>
      <c r="E215" t="s">
        <v>2944</v>
      </c>
    </row>
    <row r="216" spans="1:38" ht="14.95" customHeight="1">
      <c r="A216" s="118" t="s">
        <v>115</v>
      </c>
      <c r="B216" s="110" t="s">
        <v>655</v>
      </c>
      <c r="C216" t="s">
        <v>1262</v>
      </c>
      <c r="D216" t="s">
        <v>2945</v>
      </c>
      <c r="E216" t="s">
        <v>2946</v>
      </c>
      <c r="F216" t="s">
        <v>1584</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108">
        <v>2.9000000000000001E-2</v>
      </c>
    </row>
    <row r="217" spans="1:38" ht="14.95" customHeight="1">
      <c r="A217" s="118" t="s">
        <v>114</v>
      </c>
      <c r="B217" s="110" t="s">
        <v>654</v>
      </c>
      <c r="C217" t="s">
        <v>1348</v>
      </c>
      <c r="D217" t="s">
        <v>2947</v>
      </c>
      <c r="E217" t="s">
        <v>2948</v>
      </c>
      <c r="F217" t="s">
        <v>1584</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108">
        <v>2.5999999999999999E-2</v>
      </c>
    </row>
    <row r="218" spans="1:38" ht="14.95" customHeight="1">
      <c r="A218" s="118" t="s">
        <v>853</v>
      </c>
      <c r="B218" s="110" t="s">
        <v>653</v>
      </c>
      <c r="C218" t="s">
        <v>1269</v>
      </c>
      <c r="D218" t="s">
        <v>2949</v>
      </c>
      <c r="E218" t="s">
        <v>2950</v>
      </c>
      <c r="F218" t="s">
        <v>1584</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108">
        <v>0.06</v>
      </c>
    </row>
    <row r="219" spans="1:38" ht="14.95" customHeight="1">
      <c r="A219" s="118" t="s">
        <v>113</v>
      </c>
      <c r="B219" s="110" t="s">
        <v>652</v>
      </c>
      <c r="C219" t="s">
        <v>1278</v>
      </c>
      <c r="D219" t="s">
        <v>2951</v>
      </c>
      <c r="E219" t="s">
        <v>2952</v>
      </c>
      <c r="F219" t="s">
        <v>1584</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108">
        <v>3.2000000000000001E-2</v>
      </c>
    </row>
    <row r="220" spans="1:38" ht="14.95" customHeight="1">
      <c r="A220" s="118" t="s">
        <v>114</v>
      </c>
      <c r="B220" s="110" t="s">
        <v>651</v>
      </c>
      <c r="C220" t="s">
        <v>2544</v>
      </c>
      <c r="D220" t="s">
        <v>2953</v>
      </c>
      <c r="E220" t="s">
        <v>2954</v>
      </c>
      <c r="F220" t="s">
        <v>1584</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108">
        <v>5.3999999999999999E-2</v>
      </c>
    </row>
    <row r="221" spans="1:38" ht="14.95" customHeight="1">
      <c r="A221" s="118" t="s">
        <v>112</v>
      </c>
      <c r="B221" s="110" t="s">
        <v>650</v>
      </c>
      <c r="C221" t="s">
        <v>1573</v>
      </c>
      <c r="D221" t="s">
        <v>2955</v>
      </c>
      <c r="E221" t="s">
        <v>2956</v>
      </c>
      <c r="F221" t="s">
        <v>1584</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108">
        <v>0.06</v>
      </c>
    </row>
    <row r="222" spans="1:38" ht="14.95" customHeight="1">
      <c r="A222" s="118" t="s">
        <v>116</v>
      </c>
      <c r="B222" s="110" t="s">
        <v>649</v>
      </c>
      <c r="C222" t="s">
        <v>2545</v>
      </c>
      <c r="D222" t="s">
        <v>2957</v>
      </c>
      <c r="E222" t="s">
        <v>2958</v>
      </c>
      <c r="F222" t="s">
        <v>1584</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108">
        <v>0.06</v>
      </c>
    </row>
    <row r="223" spans="1:38" ht="14.95" customHeight="1">
      <c r="A223" s="118" t="s">
        <v>116</v>
      </c>
      <c r="B223" s="110" t="s">
        <v>648</v>
      </c>
      <c r="C223" t="s">
        <v>2546</v>
      </c>
      <c r="D223" t="s">
        <v>2959</v>
      </c>
      <c r="E223" t="s">
        <v>2960</v>
      </c>
      <c r="F223" t="s">
        <v>1584</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108">
        <v>0.06</v>
      </c>
    </row>
    <row r="224" spans="1:38" ht="14.95" customHeight="1">
      <c r="A224" s="118" t="s">
        <v>854</v>
      </c>
      <c r="B224" s="110" t="s">
        <v>647</v>
      </c>
      <c r="C224" t="s">
        <v>1577</v>
      </c>
      <c r="D224" t="s">
        <v>2961</v>
      </c>
      <c r="E224" t="s">
        <v>2962</v>
      </c>
      <c r="F224" t="s">
        <v>1584</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108">
        <v>0.06</v>
      </c>
    </row>
    <row r="225" spans="1:38" ht="14.95" customHeight="1">
      <c r="B225" s="110" t="s">
        <v>646</v>
      </c>
      <c r="C225" t="s">
        <v>2548</v>
      </c>
      <c r="D225" t="s">
        <v>2963</v>
      </c>
      <c r="E225" t="s">
        <v>2964</v>
      </c>
      <c r="F225" t="s">
        <v>1584</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108">
        <v>2.9000000000000001E-2</v>
      </c>
    </row>
    <row r="226" spans="1:38" ht="14.95" customHeight="1">
      <c r="C226" t="s">
        <v>2549</v>
      </c>
      <c r="E226" t="s">
        <v>2965</v>
      </c>
    </row>
    <row r="227" spans="1:38" ht="14.95" customHeight="1">
      <c r="A227" s="118" t="s">
        <v>115</v>
      </c>
      <c r="B227" s="110" t="s">
        <v>645</v>
      </c>
      <c r="C227" t="s">
        <v>1262</v>
      </c>
      <c r="D227" t="s">
        <v>2966</v>
      </c>
      <c r="E227" t="s">
        <v>2967</v>
      </c>
      <c r="F227" t="s">
        <v>1584</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108">
        <v>6.0000000000000001E-3</v>
      </c>
    </row>
    <row r="228" spans="1:38" ht="14.95" customHeight="1">
      <c r="A228" s="118" t="s">
        <v>114</v>
      </c>
      <c r="B228" s="110" t="s">
        <v>644</v>
      </c>
      <c r="C228" t="s">
        <v>1348</v>
      </c>
      <c r="D228" t="s">
        <v>2968</v>
      </c>
      <c r="E228" t="s">
        <v>2969</v>
      </c>
      <c r="F228" t="s">
        <v>1584</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108">
        <v>6.0000000000000001E-3</v>
      </c>
    </row>
    <row r="229" spans="1:38" ht="14.95" customHeight="1">
      <c r="A229" s="118" t="s">
        <v>853</v>
      </c>
      <c r="B229" s="110" t="s">
        <v>643</v>
      </c>
      <c r="C229" t="s">
        <v>1269</v>
      </c>
      <c r="D229" t="s">
        <v>2970</v>
      </c>
      <c r="E229" t="s">
        <v>2971</v>
      </c>
      <c r="F229" t="s">
        <v>1584</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108">
        <v>5.0000000000000001E-3</v>
      </c>
    </row>
    <row r="230" spans="1:38" ht="14.95" customHeight="1">
      <c r="A230" s="118" t="s">
        <v>113</v>
      </c>
      <c r="B230" s="110" t="s">
        <v>642</v>
      </c>
      <c r="C230" t="s">
        <v>1278</v>
      </c>
      <c r="D230" t="s">
        <v>2972</v>
      </c>
      <c r="E230" t="s">
        <v>2973</v>
      </c>
      <c r="F230" t="s">
        <v>1584</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108">
        <v>3.1E-2</v>
      </c>
    </row>
    <row r="231" spans="1:38" ht="14.95" customHeight="1">
      <c r="A231" s="118" t="s">
        <v>114</v>
      </c>
      <c r="B231" s="110" t="s">
        <v>641</v>
      </c>
      <c r="C231" t="s">
        <v>2544</v>
      </c>
      <c r="D231" t="s">
        <v>2974</v>
      </c>
      <c r="E231" t="s">
        <v>2975</v>
      </c>
      <c r="F231" t="s">
        <v>1584</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146</v>
      </c>
    </row>
    <row r="232" spans="1:38" ht="14.95" customHeight="1">
      <c r="A232" s="118" t="s">
        <v>112</v>
      </c>
      <c r="B232" s="110" t="s">
        <v>640</v>
      </c>
      <c r="C232" t="s">
        <v>1573</v>
      </c>
      <c r="D232" t="s">
        <v>2976</v>
      </c>
      <c r="E232" t="s">
        <v>2977</v>
      </c>
      <c r="F232" t="s">
        <v>1584</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108">
        <v>3.5999999999999997E-2</v>
      </c>
    </row>
    <row r="233" spans="1:38" ht="14.95" customHeight="1">
      <c r="A233" s="118" t="s">
        <v>116</v>
      </c>
      <c r="B233" s="110" t="s">
        <v>639</v>
      </c>
      <c r="C233" t="s">
        <v>2545</v>
      </c>
      <c r="D233" t="s">
        <v>2978</v>
      </c>
      <c r="E233" t="s">
        <v>2979</v>
      </c>
      <c r="F233" t="s">
        <v>1584</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108">
        <v>3.6999999999999998E-2</v>
      </c>
    </row>
    <row r="234" spans="1:38" ht="14.95" customHeight="1">
      <c r="A234" s="118" t="s">
        <v>116</v>
      </c>
      <c r="B234" s="110" t="s">
        <v>638</v>
      </c>
      <c r="C234" t="s">
        <v>2546</v>
      </c>
      <c r="D234" t="s">
        <v>2980</v>
      </c>
      <c r="E234" t="s">
        <v>2981</v>
      </c>
      <c r="F234" t="s">
        <v>1584</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108">
        <v>3.6999999999999998E-2</v>
      </c>
    </row>
    <row r="235" spans="1:38" ht="14.95" customHeight="1">
      <c r="A235" s="118" t="s">
        <v>854</v>
      </c>
      <c r="B235" s="110" t="s">
        <v>637</v>
      </c>
      <c r="C235" t="s">
        <v>1577</v>
      </c>
      <c r="D235" t="s">
        <v>2982</v>
      </c>
      <c r="E235" t="s">
        <v>2983</v>
      </c>
      <c r="F235" t="s">
        <v>1584</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108">
        <v>3.6999999999999998E-2</v>
      </c>
    </row>
    <row r="236" spans="1:38" ht="14.95" customHeight="1">
      <c r="B236" s="110" t="s">
        <v>636</v>
      </c>
      <c r="C236" t="s">
        <v>2550</v>
      </c>
      <c r="D236" t="s">
        <v>2984</v>
      </c>
      <c r="E236" t="s">
        <v>2985</v>
      </c>
      <c r="F236" t="s">
        <v>1584</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108">
        <v>6.0000000000000001E-3</v>
      </c>
    </row>
    <row r="237" spans="1:38" ht="14.95" customHeight="1">
      <c r="B237" s="110" t="s">
        <v>635</v>
      </c>
      <c r="C237" t="s">
        <v>1569</v>
      </c>
      <c r="D237" t="s">
        <v>2986</v>
      </c>
      <c r="E237" t="s">
        <v>2987</v>
      </c>
      <c r="F237" t="s">
        <v>1584</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108">
        <v>1.7999999999999999E-2</v>
      </c>
    </row>
    <row r="238" spans="1:38" ht="14.95" customHeight="1">
      <c r="C238" t="s">
        <v>634</v>
      </c>
      <c r="E238" t="s">
        <v>2988</v>
      </c>
    </row>
    <row r="239" spans="1:38" ht="14.95" customHeight="1">
      <c r="B239" s="110" t="s">
        <v>633</v>
      </c>
      <c r="C239" t="s">
        <v>2561</v>
      </c>
      <c r="D239" t="s">
        <v>2989</v>
      </c>
      <c r="E239" t="s">
        <v>2990</v>
      </c>
      <c r="F239" t="s">
        <v>2991</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108">
        <v>8.0000000000000002E-3</v>
      </c>
    </row>
    <row r="240" spans="1:38" ht="14.95" customHeight="1">
      <c r="B240" s="110" t="s">
        <v>632</v>
      </c>
      <c r="C240" t="s">
        <v>2562</v>
      </c>
      <c r="D240" t="s">
        <v>2992</v>
      </c>
      <c r="E240" t="s">
        <v>2993</v>
      </c>
      <c r="F240" t="s">
        <v>2994</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108">
        <v>6.0000000000000001E-3</v>
      </c>
    </row>
    <row r="241" spans="2:38" ht="14.95" customHeight="1">
      <c r="C241" t="s">
        <v>133</v>
      </c>
      <c r="E241" t="s">
        <v>2995</v>
      </c>
    </row>
    <row r="242" spans="2:38" ht="14.95" customHeight="1">
      <c r="B242" s="110" t="s">
        <v>631</v>
      </c>
      <c r="C242" t="s">
        <v>1347</v>
      </c>
      <c r="D242" t="s">
        <v>2996</v>
      </c>
      <c r="E242" t="s">
        <v>2997</v>
      </c>
      <c r="F242" t="s">
        <v>1290</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108">
        <v>-1.7000000000000001E-2</v>
      </c>
    </row>
    <row r="243" spans="2:38" ht="14.95" customHeight="1">
      <c r="B243" s="110" t="s">
        <v>630</v>
      </c>
      <c r="C243" t="s">
        <v>1253</v>
      </c>
      <c r="D243" t="s">
        <v>2998</v>
      </c>
      <c r="E243" t="s">
        <v>2999</v>
      </c>
      <c r="F243" t="s">
        <v>1290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146</v>
      </c>
    </row>
    <row r="244" spans="2:38" ht="14.95" customHeight="1">
      <c r="B244" s="110" t="s">
        <v>629</v>
      </c>
      <c r="C244" t="s">
        <v>1350</v>
      </c>
      <c r="D244" t="s">
        <v>3000</v>
      </c>
      <c r="E244" t="s">
        <v>3001</v>
      </c>
      <c r="F244" t="s">
        <v>1290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146</v>
      </c>
    </row>
    <row r="245" spans="2:38" ht="14.95" customHeight="1">
      <c r="B245" s="110" t="s">
        <v>628</v>
      </c>
      <c r="C245" t="s">
        <v>1351</v>
      </c>
      <c r="D245" t="s">
        <v>3002</v>
      </c>
      <c r="E245" t="s">
        <v>3003</v>
      </c>
      <c r="F245" t="s">
        <v>1290</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108">
        <v>0.223</v>
      </c>
    </row>
    <row r="246" spans="2:38" ht="14.95" customHeight="1">
      <c r="C246" t="s">
        <v>627</v>
      </c>
      <c r="E246" t="s">
        <v>3004</v>
      </c>
    </row>
    <row r="247" spans="2:38" ht="14.95" customHeight="1">
      <c r="B247" s="110" t="s">
        <v>626</v>
      </c>
      <c r="C247" t="s">
        <v>2563</v>
      </c>
      <c r="D247" t="s">
        <v>3005</v>
      </c>
      <c r="E247" t="s">
        <v>3006</v>
      </c>
      <c r="F247" t="s">
        <v>2991</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108">
        <v>-8.0000000000000002E-3</v>
      </c>
    </row>
    <row r="248" spans="2:38" ht="14.95" customHeight="1">
      <c r="B248" s="110" t="s">
        <v>625</v>
      </c>
      <c r="C248" t="s">
        <v>2562</v>
      </c>
      <c r="D248" t="s">
        <v>3007</v>
      </c>
      <c r="E248" t="s">
        <v>3008</v>
      </c>
      <c r="F248" t="s">
        <v>2994</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108">
        <v>6.0000000000000001E-3</v>
      </c>
    </row>
    <row r="249" spans="2:38" ht="14.95" customHeight="1">
      <c r="C249" t="s">
        <v>133</v>
      </c>
      <c r="E249" t="s">
        <v>3009</v>
      </c>
    </row>
    <row r="250" spans="2:38" ht="14.95" customHeight="1">
      <c r="B250" s="110" t="s">
        <v>624</v>
      </c>
      <c r="C250" t="s">
        <v>1347</v>
      </c>
      <c r="D250" t="s">
        <v>3010</v>
      </c>
      <c r="E250" t="s">
        <v>3011</v>
      </c>
      <c r="F250" t="s">
        <v>1290</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108">
        <v>-1.4E-2</v>
      </c>
    </row>
    <row r="251" spans="2:38" ht="14.95" customHeight="1">
      <c r="B251" s="110" t="s">
        <v>623</v>
      </c>
      <c r="C251" t="s">
        <v>1253</v>
      </c>
      <c r="D251" t="s">
        <v>3012</v>
      </c>
      <c r="E251" t="s">
        <v>3013</v>
      </c>
      <c r="F251" t="s">
        <v>1290</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108">
        <v>-6.0999999999999999E-2</v>
      </c>
    </row>
    <row r="252" spans="2:38" ht="14.95" customHeight="1">
      <c r="B252" s="110" t="s">
        <v>622</v>
      </c>
      <c r="C252" t="s">
        <v>1350</v>
      </c>
      <c r="D252" t="s">
        <v>3014</v>
      </c>
      <c r="E252" t="s">
        <v>3015</v>
      </c>
      <c r="F252" t="s">
        <v>1290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146</v>
      </c>
    </row>
    <row r="253" spans="2:38" ht="14.95" customHeight="1">
      <c r="B253" s="110" t="s">
        <v>621</v>
      </c>
      <c r="C253" t="s">
        <v>1351</v>
      </c>
      <c r="D253" t="s">
        <v>3016</v>
      </c>
      <c r="E253" t="s">
        <v>3017</v>
      </c>
      <c r="F253" t="s">
        <v>1290</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108">
        <v>4.8000000000000001E-2</v>
      </c>
    </row>
    <row r="254" spans="2:38" ht="14.95" customHeight="1">
      <c r="C254" t="s">
        <v>620</v>
      </c>
      <c r="E254" t="s">
        <v>3018</v>
      </c>
    </row>
    <row r="255" spans="2:38" ht="14.95" customHeight="1">
      <c r="B255" s="110" t="s">
        <v>619</v>
      </c>
      <c r="C255" t="s">
        <v>2564</v>
      </c>
      <c r="D255" t="s">
        <v>3019</v>
      </c>
      <c r="E255" t="s">
        <v>3020</v>
      </c>
      <c r="F255" t="s">
        <v>3021</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108">
        <v>0.04</v>
      </c>
    </row>
    <row r="256" spans="2:38" ht="14.95" customHeight="1">
      <c r="B256" s="110" t="s">
        <v>618</v>
      </c>
      <c r="C256" t="s">
        <v>2565</v>
      </c>
      <c r="D256" t="s">
        <v>3022</v>
      </c>
      <c r="E256" t="s">
        <v>3023</v>
      </c>
      <c r="F256" t="s">
        <v>3021</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108">
        <v>4.2000000000000003E-2</v>
      </c>
    </row>
    <row r="257" spans="2:38" ht="14.95" customHeight="1">
      <c r="B257" s="110" t="s">
        <v>617</v>
      </c>
      <c r="C257" t="s">
        <v>2566</v>
      </c>
      <c r="D257" t="s">
        <v>3024</v>
      </c>
      <c r="E257" t="s">
        <v>3025</v>
      </c>
      <c r="F257" t="s">
        <v>3021</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108">
        <v>3.7999999999999999E-2</v>
      </c>
    </row>
    <row r="258" spans="2:38" ht="14.95" customHeight="1">
      <c r="C258" t="s">
        <v>133</v>
      </c>
      <c r="E258" t="s">
        <v>3026</v>
      </c>
    </row>
    <row r="259" spans="2:38" ht="14.95" customHeight="1">
      <c r="B259" s="110" t="s">
        <v>616</v>
      </c>
      <c r="C259" t="s">
        <v>1347</v>
      </c>
      <c r="D259" t="s">
        <v>3027</v>
      </c>
      <c r="E259" t="s">
        <v>3028</v>
      </c>
      <c r="F259" t="s">
        <v>1290</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108">
        <v>-0.01</v>
      </c>
    </row>
    <row r="260" spans="2:38" ht="14.95" customHeight="1">
      <c r="B260" s="110" t="s">
        <v>615</v>
      </c>
      <c r="C260" t="s">
        <v>1253</v>
      </c>
      <c r="D260" t="s">
        <v>3029</v>
      </c>
      <c r="E260" t="s">
        <v>3030</v>
      </c>
      <c r="F260" t="s">
        <v>1290</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108">
        <v>5.0000000000000001E-3</v>
      </c>
    </row>
    <row r="261" spans="2:38" ht="14.95" customHeight="1">
      <c r="B261" s="110" t="s">
        <v>614</v>
      </c>
      <c r="C261" t="s">
        <v>1350</v>
      </c>
      <c r="D261" t="s">
        <v>3031</v>
      </c>
      <c r="E261" t="s">
        <v>3032</v>
      </c>
      <c r="F261" t="s">
        <v>1290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146</v>
      </c>
    </row>
    <row r="262" spans="2:38" ht="14.95" customHeight="1">
      <c r="B262" s="110" t="s">
        <v>613</v>
      </c>
      <c r="C262" t="s">
        <v>1351</v>
      </c>
      <c r="D262" t="s">
        <v>3033</v>
      </c>
      <c r="E262" t="s">
        <v>3034</v>
      </c>
      <c r="F262" t="s">
        <v>1290</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108">
        <v>6.0999999999999999E-2</v>
      </c>
    </row>
    <row r="263" spans="2:38" ht="14.95" customHeight="1"/>
    <row r="264" spans="2:38" ht="14.95" customHeight="1"/>
    <row r="265" spans="2:38" ht="14.95" customHeight="1"/>
    <row r="266" spans="2:38" ht="14.95" customHeight="1"/>
    <row r="267" spans="2:38" ht="14.95" customHeight="1"/>
    <row r="268" spans="2:38" ht="14.95" customHeight="1"/>
    <row r="269" spans="2:38" ht="14.95" customHeight="1"/>
    <row r="270" spans="2:38" ht="14.95" customHeight="1"/>
  </sheetData>
  <phoneticPr fontId="5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262"/>
  <sheetViews>
    <sheetView topLeftCell="A107" workbookViewId="0">
      <selection sqref="A1:XFD1048576"/>
    </sheetView>
  </sheetViews>
  <sheetFormatPr defaultColWidth="9.125" defaultRowHeight="12.9"/>
  <sheetData>
    <row r="1" spans="2:38" ht="14.9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3061</v>
      </c>
    </row>
    <row r="11" spans="2:38">
      <c r="B11" t="s">
        <v>2540</v>
      </c>
    </row>
    <row r="12" spans="2:38">
      <c r="B12" t="s">
        <v>3062</v>
      </c>
    </row>
    <row r="13" spans="2:38">
      <c r="B13" t="s">
        <v>3063</v>
      </c>
    </row>
    <row r="14" spans="2:38">
      <c r="B14" t="s">
        <v>1194</v>
      </c>
    </row>
    <row r="15" spans="2:38">
      <c r="C15" t="s">
        <v>1195</v>
      </c>
      <c r="D15" t="s">
        <v>1284</v>
      </c>
      <c r="E15" t="s">
        <v>1285</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3061</v>
      </c>
    </row>
    <row r="16" spans="2:38">
      <c r="B16" t="s">
        <v>831</v>
      </c>
      <c r="D16" t="s">
        <v>3064</v>
      </c>
    </row>
    <row r="17" spans="1:38">
      <c r="B17" t="s">
        <v>2543</v>
      </c>
      <c r="D17" t="s">
        <v>3065</v>
      </c>
    </row>
    <row r="18" spans="1:38">
      <c r="B18" t="s">
        <v>1217</v>
      </c>
      <c r="D18" t="s">
        <v>3066</v>
      </c>
    </row>
    <row r="19" spans="1:38">
      <c r="A19" s="13" t="s">
        <v>115</v>
      </c>
      <c r="B19" t="s">
        <v>1262</v>
      </c>
      <c r="C19" t="s">
        <v>2570</v>
      </c>
      <c r="D19" t="s">
        <v>3067</v>
      </c>
      <c r="E19" t="s">
        <v>1890</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108">
        <v>1.0999999999999999E-2</v>
      </c>
    </row>
    <row r="20" spans="1:38">
      <c r="A20" s="13" t="s">
        <v>114</v>
      </c>
      <c r="B20" t="s">
        <v>1348</v>
      </c>
      <c r="C20" t="s">
        <v>2572</v>
      </c>
      <c r="D20" t="s">
        <v>3068</v>
      </c>
      <c r="E20" t="s">
        <v>1890</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108">
        <v>2.4E-2</v>
      </c>
    </row>
    <row r="21" spans="1:38">
      <c r="A21" s="13" t="s">
        <v>853</v>
      </c>
      <c r="B21" t="s">
        <v>1269</v>
      </c>
      <c r="C21" t="s">
        <v>2574</v>
      </c>
      <c r="D21" t="s">
        <v>3069</v>
      </c>
      <c r="E21" t="s">
        <v>1890</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108">
        <v>9.4E-2</v>
      </c>
    </row>
    <row r="22" spans="1:38">
      <c r="A22" s="13" t="s">
        <v>113</v>
      </c>
      <c r="B22" t="s">
        <v>1278</v>
      </c>
      <c r="C22" t="s">
        <v>2576</v>
      </c>
      <c r="D22" t="s">
        <v>3070</v>
      </c>
      <c r="E22" t="s">
        <v>1890</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108">
        <v>8.3000000000000004E-2</v>
      </c>
    </row>
    <row r="23" spans="1:38">
      <c r="A23" s="13" t="s">
        <v>114</v>
      </c>
      <c r="B23" t="s">
        <v>2544</v>
      </c>
      <c r="C23" t="s">
        <v>2578</v>
      </c>
      <c r="D23" t="s">
        <v>3071</v>
      </c>
      <c r="E23" t="s">
        <v>1890</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108">
        <v>5.2999999999999999E-2</v>
      </c>
    </row>
    <row r="24" spans="1:38">
      <c r="A24" s="13" t="s">
        <v>112</v>
      </c>
      <c r="B24" t="s">
        <v>1573</v>
      </c>
      <c r="C24" t="s">
        <v>2580</v>
      </c>
      <c r="D24" t="s">
        <v>3072</v>
      </c>
      <c r="E24" t="s">
        <v>1890</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108">
        <v>0.184</v>
      </c>
    </row>
    <row r="25" spans="1:38">
      <c r="A25" s="13" t="s">
        <v>116</v>
      </c>
      <c r="B25" t="s">
        <v>2545</v>
      </c>
      <c r="C25" t="s">
        <v>2582</v>
      </c>
      <c r="D25" t="s">
        <v>3073</v>
      </c>
      <c r="E25" t="s">
        <v>1890</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146</v>
      </c>
    </row>
    <row r="26" spans="1:38">
      <c r="A26" s="13" t="s">
        <v>116</v>
      </c>
      <c r="B26" t="s">
        <v>2546</v>
      </c>
      <c r="C26" t="s">
        <v>2584</v>
      </c>
      <c r="D26" t="s">
        <v>3074</v>
      </c>
      <c r="E26" t="s">
        <v>1890</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146</v>
      </c>
    </row>
    <row r="27" spans="1:38">
      <c r="A27" s="13" t="s">
        <v>854</v>
      </c>
      <c r="B27" t="s">
        <v>1577</v>
      </c>
      <c r="C27" t="s">
        <v>2586</v>
      </c>
      <c r="D27" t="s">
        <v>3075</v>
      </c>
      <c r="E27" t="s">
        <v>1890</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146</v>
      </c>
    </row>
    <row r="28" spans="1:38">
      <c r="B28" t="s">
        <v>2547</v>
      </c>
      <c r="C28" t="s">
        <v>2588</v>
      </c>
      <c r="D28" t="s">
        <v>3076</v>
      </c>
      <c r="E28" t="s">
        <v>1890</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108">
        <v>1.9E-2</v>
      </c>
    </row>
    <row r="29" spans="1:38">
      <c r="B29" t="s">
        <v>1219</v>
      </c>
      <c r="D29" t="s">
        <v>3077</v>
      </c>
    </row>
    <row r="30" spans="1:38">
      <c r="A30" s="13" t="s">
        <v>115</v>
      </c>
      <c r="B30" t="s">
        <v>1262</v>
      </c>
      <c r="C30" t="s">
        <v>2591</v>
      </c>
      <c r="D30" t="s">
        <v>3078</v>
      </c>
      <c r="E30" t="s">
        <v>1890</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108">
        <v>2.3E-2</v>
      </c>
    </row>
    <row r="31" spans="1:38">
      <c r="A31" s="13" t="s">
        <v>114</v>
      </c>
      <c r="B31" t="s">
        <v>1348</v>
      </c>
      <c r="C31" t="s">
        <v>2593</v>
      </c>
      <c r="D31" t="s">
        <v>3079</v>
      </c>
      <c r="E31" t="s">
        <v>1890</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108">
        <v>1.9E-2</v>
      </c>
    </row>
    <row r="32" spans="1:38">
      <c r="A32" s="13" t="s">
        <v>853</v>
      </c>
      <c r="B32" t="s">
        <v>1269</v>
      </c>
      <c r="C32" t="s">
        <v>2595</v>
      </c>
      <c r="D32" t="s">
        <v>3080</v>
      </c>
      <c r="E32" t="s">
        <v>1890</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108">
        <v>4.3999999999999997E-2</v>
      </c>
    </row>
    <row r="33" spans="1:38">
      <c r="A33" s="13" t="s">
        <v>113</v>
      </c>
      <c r="B33" t="s">
        <v>1278</v>
      </c>
      <c r="C33" t="s">
        <v>2597</v>
      </c>
      <c r="D33" t="s">
        <v>3081</v>
      </c>
      <c r="E33" t="s">
        <v>1890</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108">
        <v>5.6000000000000001E-2</v>
      </c>
    </row>
    <row r="34" spans="1:38">
      <c r="A34" s="13" t="s">
        <v>114</v>
      </c>
      <c r="B34" t="s">
        <v>2544</v>
      </c>
      <c r="C34" t="s">
        <v>2599</v>
      </c>
      <c r="D34" t="s">
        <v>3082</v>
      </c>
      <c r="E34" t="s">
        <v>1890</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108">
        <v>6.0999999999999999E-2</v>
      </c>
    </row>
    <row r="35" spans="1:38">
      <c r="A35" s="13" t="s">
        <v>112</v>
      </c>
      <c r="B35" t="s">
        <v>1573</v>
      </c>
      <c r="C35" t="s">
        <v>2601</v>
      </c>
      <c r="D35" t="s">
        <v>3083</v>
      </c>
      <c r="E35" t="s">
        <v>1890</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108">
        <v>0.29299999999999998</v>
      </c>
    </row>
    <row r="36" spans="1:38">
      <c r="A36" s="13" t="s">
        <v>116</v>
      </c>
      <c r="B36" t="s">
        <v>2545</v>
      </c>
      <c r="C36" t="s">
        <v>2603</v>
      </c>
      <c r="D36" t="s">
        <v>3084</v>
      </c>
      <c r="E36" t="s">
        <v>1890</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146</v>
      </c>
    </row>
    <row r="37" spans="1:38">
      <c r="A37" s="13" t="s">
        <v>116</v>
      </c>
      <c r="B37" t="s">
        <v>2546</v>
      </c>
      <c r="C37" t="s">
        <v>2605</v>
      </c>
      <c r="D37" t="s">
        <v>3085</v>
      </c>
      <c r="E37" t="s">
        <v>1890</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146</v>
      </c>
    </row>
    <row r="38" spans="1:38">
      <c r="A38" s="13" t="s">
        <v>854</v>
      </c>
      <c r="B38" t="s">
        <v>1577</v>
      </c>
      <c r="C38" t="s">
        <v>2607</v>
      </c>
      <c r="D38" t="s">
        <v>3086</v>
      </c>
      <c r="E38" t="s">
        <v>1890</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146</v>
      </c>
    </row>
    <row r="39" spans="1:38">
      <c r="B39" t="s">
        <v>2548</v>
      </c>
      <c r="C39" t="s">
        <v>2609</v>
      </c>
      <c r="D39" t="s">
        <v>3087</v>
      </c>
      <c r="E39" t="s">
        <v>1890</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108">
        <v>2.3E-2</v>
      </c>
    </row>
    <row r="40" spans="1:38">
      <c r="B40" t="s">
        <v>2549</v>
      </c>
      <c r="D40" t="s">
        <v>3088</v>
      </c>
    </row>
    <row r="41" spans="1:38">
      <c r="A41" s="13" t="s">
        <v>115</v>
      </c>
      <c r="B41" t="s">
        <v>1262</v>
      </c>
      <c r="C41" t="s">
        <v>2612</v>
      </c>
      <c r="D41" t="s">
        <v>3089</v>
      </c>
      <c r="E41" t="s">
        <v>1890</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108">
        <v>6.0000000000000001E-3</v>
      </c>
    </row>
    <row r="42" spans="1:38">
      <c r="A42" s="13" t="s">
        <v>114</v>
      </c>
      <c r="B42" t="s">
        <v>1348</v>
      </c>
      <c r="C42" t="s">
        <v>2614</v>
      </c>
      <c r="D42" t="s">
        <v>3090</v>
      </c>
      <c r="E42" t="s">
        <v>1890</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108">
        <v>-2.9000000000000001E-2</v>
      </c>
    </row>
    <row r="43" spans="1:38">
      <c r="A43" s="13" t="s">
        <v>853</v>
      </c>
      <c r="B43" t="s">
        <v>1269</v>
      </c>
      <c r="C43" t="s">
        <v>2616</v>
      </c>
      <c r="D43" t="s">
        <v>3091</v>
      </c>
      <c r="E43" t="s">
        <v>1890</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108">
        <v>0.02</v>
      </c>
    </row>
    <row r="44" spans="1:38">
      <c r="A44" s="13" t="s">
        <v>113</v>
      </c>
      <c r="B44" t="s">
        <v>1278</v>
      </c>
      <c r="C44" t="s">
        <v>2618</v>
      </c>
      <c r="D44" t="s">
        <v>3092</v>
      </c>
      <c r="E44" t="s">
        <v>1890</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108">
        <v>3.5999999999999997E-2</v>
      </c>
    </row>
    <row r="45" spans="1:38">
      <c r="A45" s="13" t="s">
        <v>114</v>
      </c>
      <c r="B45" t="s">
        <v>2544</v>
      </c>
      <c r="C45" t="s">
        <v>2620</v>
      </c>
      <c r="D45" t="s">
        <v>3093</v>
      </c>
      <c r="E45" t="s">
        <v>1890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146</v>
      </c>
    </row>
    <row r="46" spans="1:38">
      <c r="A46" s="13" t="s">
        <v>112</v>
      </c>
      <c r="B46" t="s">
        <v>1573</v>
      </c>
      <c r="C46" t="s">
        <v>2622</v>
      </c>
      <c r="D46" t="s">
        <v>3094</v>
      </c>
      <c r="E46" t="s">
        <v>1890</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146</v>
      </c>
    </row>
    <row r="47" spans="1:38">
      <c r="A47" s="13" t="s">
        <v>116</v>
      </c>
      <c r="B47" t="s">
        <v>2545</v>
      </c>
      <c r="C47" t="s">
        <v>2624</v>
      </c>
      <c r="D47" t="s">
        <v>3095</v>
      </c>
      <c r="E47" t="s">
        <v>1890</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108">
        <v>0.13</v>
      </c>
    </row>
    <row r="48" spans="1:38">
      <c r="A48" s="13" t="s">
        <v>116</v>
      </c>
      <c r="B48" t="s">
        <v>2546</v>
      </c>
      <c r="C48" t="s">
        <v>2626</v>
      </c>
      <c r="D48" t="s">
        <v>3096</v>
      </c>
      <c r="E48" t="s">
        <v>1890</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108">
        <v>0.129</v>
      </c>
    </row>
    <row r="49" spans="1:38">
      <c r="A49" s="13" t="s">
        <v>854</v>
      </c>
      <c r="B49" t="s">
        <v>1577</v>
      </c>
      <c r="C49" t="s">
        <v>2628</v>
      </c>
      <c r="D49" t="s">
        <v>3097</v>
      </c>
      <c r="E49" t="s">
        <v>1890</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108">
        <v>0.13700000000000001</v>
      </c>
    </row>
    <row r="50" spans="1:38">
      <c r="B50" t="s">
        <v>2550</v>
      </c>
      <c r="C50" t="s">
        <v>2630</v>
      </c>
      <c r="D50" t="s">
        <v>3098</v>
      </c>
      <c r="E50" t="s">
        <v>1890</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108">
        <v>6.0000000000000001E-3</v>
      </c>
    </row>
    <row r="51" spans="1:38">
      <c r="B51" t="s">
        <v>2551</v>
      </c>
      <c r="C51" t="s">
        <v>2632</v>
      </c>
      <c r="D51" t="s">
        <v>3099</v>
      </c>
      <c r="E51" t="s">
        <v>1890</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108">
        <v>1.2999999999999999E-2</v>
      </c>
    </row>
    <row r="52" spans="1:38">
      <c r="B52" t="s">
        <v>2552</v>
      </c>
      <c r="D52" t="s">
        <v>3100</v>
      </c>
    </row>
    <row r="53" spans="1:38">
      <c r="B53" t="s">
        <v>1217</v>
      </c>
      <c r="D53" t="s">
        <v>3101</v>
      </c>
    </row>
    <row r="54" spans="1:38">
      <c r="A54" s="13" t="s">
        <v>115</v>
      </c>
      <c r="B54" t="s">
        <v>1262</v>
      </c>
      <c r="C54" t="s">
        <v>2636</v>
      </c>
      <c r="D54" t="s">
        <v>3102</v>
      </c>
      <c r="E54" t="s">
        <v>1290</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108">
        <v>3.0000000000000001E-3</v>
      </c>
    </row>
    <row r="55" spans="1:38">
      <c r="A55" s="13" t="s">
        <v>114</v>
      </c>
      <c r="B55" t="s">
        <v>1348</v>
      </c>
      <c r="C55" t="s">
        <v>2638</v>
      </c>
      <c r="D55" t="s">
        <v>3103</v>
      </c>
      <c r="E55" t="s">
        <v>1290</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108">
        <v>1.2999999999999999E-2</v>
      </c>
    </row>
    <row r="56" spans="1:38">
      <c r="A56" s="13" t="s">
        <v>853</v>
      </c>
      <c r="B56" t="s">
        <v>1269</v>
      </c>
      <c r="C56" t="s">
        <v>2640</v>
      </c>
      <c r="D56" t="s">
        <v>3104</v>
      </c>
      <c r="E56" t="s">
        <v>1290</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108">
        <v>8.6999999999999994E-2</v>
      </c>
    </row>
    <row r="57" spans="1:38">
      <c r="A57" s="13" t="s">
        <v>113</v>
      </c>
      <c r="B57" t="s">
        <v>1278</v>
      </c>
      <c r="C57" t="s">
        <v>2642</v>
      </c>
      <c r="D57" t="s">
        <v>3105</v>
      </c>
      <c r="E57" t="s">
        <v>1290</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108">
        <v>0.08</v>
      </c>
    </row>
    <row r="58" spans="1:38">
      <c r="A58" s="13" t="s">
        <v>114</v>
      </c>
      <c r="B58" t="s">
        <v>2544</v>
      </c>
      <c r="C58" t="s">
        <v>2644</v>
      </c>
      <c r="D58" t="s">
        <v>3106</v>
      </c>
      <c r="E58" t="s">
        <v>1290</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108">
        <v>4.3999999999999997E-2</v>
      </c>
    </row>
    <row r="59" spans="1:38">
      <c r="A59" s="13" t="s">
        <v>112</v>
      </c>
      <c r="B59" t="s">
        <v>1573</v>
      </c>
      <c r="C59" t="s">
        <v>2646</v>
      </c>
      <c r="D59" t="s">
        <v>3107</v>
      </c>
      <c r="E59" t="s">
        <v>1290</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108">
        <v>0.17599999999999999</v>
      </c>
    </row>
    <row r="60" spans="1:38">
      <c r="A60" s="13" t="s">
        <v>116</v>
      </c>
      <c r="B60" t="s">
        <v>2545</v>
      </c>
      <c r="C60" t="s">
        <v>2648</v>
      </c>
      <c r="D60" t="s">
        <v>3108</v>
      </c>
      <c r="E60" t="s">
        <v>1290</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146</v>
      </c>
    </row>
    <row r="61" spans="1:38">
      <c r="A61" s="13" t="s">
        <v>116</v>
      </c>
      <c r="B61" t="s">
        <v>2546</v>
      </c>
      <c r="C61" t="s">
        <v>2650</v>
      </c>
      <c r="D61" t="s">
        <v>3109</v>
      </c>
      <c r="E61" t="s">
        <v>1290</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146</v>
      </c>
    </row>
    <row r="62" spans="1:38">
      <c r="A62" s="13" t="s">
        <v>854</v>
      </c>
      <c r="B62" t="s">
        <v>1577</v>
      </c>
      <c r="C62" t="s">
        <v>2652</v>
      </c>
      <c r="D62" t="s">
        <v>3110</v>
      </c>
      <c r="E62" t="s">
        <v>1290</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146</v>
      </c>
    </row>
    <row r="63" spans="1:38">
      <c r="B63" t="s">
        <v>2547</v>
      </c>
      <c r="C63" t="s">
        <v>2654</v>
      </c>
      <c r="D63" t="s">
        <v>3111</v>
      </c>
      <c r="E63" t="s">
        <v>1290</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108">
        <v>1.0999999999999999E-2</v>
      </c>
    </row>
    <row r="64" spans="1:38">
      <c r="B64" t="s">
        <v>1219</v>
      </c>
      <c r="D64" t="s">
        <v>3112</v>
      </c>
    </row>
    <row r="65" spans="1:38">
      <c r="A65" s="13" t="s">
        <v>115</v>
      </c>
      <c r="B65" t="s">
        <v>1262</v>
      </c>
      <c r="C65" t="s">
        <v>2657</v>
      </c>
      <c r="D65" t="s">
        <v>3113</v>
      </c>
      <c r="E65" t="s">
        <v>1290</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108">
        <v>1.0999999999999999E-2</v>
      </c>
    </row>
    <row r="66" spans="1:38">
      <c r="A66" s="13" t="s">
        <v>114</v>
      </c>
      <c r="B66" t="s">
        <v>1348</v>
      </c>
      <c r="C66" t="s">
        <v>2659</v>
      </c>
      <c r="D66" t="s">
        <v>3114</v>
      </c>
      <c r="E66" t="s">
        <v>1290</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108">
        <v>8.9999999999999993E-3</v>
      </c>
    </row>
    <row r="67" spans="1:38">
      <c r="A67" s="13" t="s">
        <v>853</v>
      </c>
      <c r="B67" t="s">
        <v>1269</v>
      </c>
      <c r="C67" t="s">
        <v>2661</v>
      </c>
      <c r="D67" t="s">
        <v>3115</v>
      </c>
      <c r="E67" t="s">
        <v>1290</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108">
        <v>3.4000000000000002E-2</v>
      </c>
    </row>
    <row r="68" spans="1:38">
      <c r="A68" s="13" t="s">
        <v>113</v>
      </c>
      <c r="B68" t="s">
        <v>1278</v>
      </c>
      <c r="C68" t="s">
        <v>2663</v>
      </c>
      <c r="D68" t="s">
        <v>3116</v>
      </c>
      <c r="E68" t="s">
        <v>1290</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108">
        <v>4.4999999999999998E-2</v>
      </c>
    </row>
    <row r="69" spans="1:38">
      <c r="A69" s="13" t="s">
        <v>114</v>
      </c>
      <c r="B69" t="s">
        <v>2544</v>
      </c>
      <c r="C69" t="s">
        <v>2665</v>
      </c>
      <c r="D69" t="s">
        <v>3117</v>
      </c>
      <c r="E69" t="s">
        <v>1290</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108">
        <v>5.2999999999999999E-2</v>
      </c>
    </row>
    <row r="70" spans="1:38">
      <c r="A70" s="13" t="s">
        <v>112</v>
      </c>
      <c r="B70" t="s">
        <v>1573</v>
      </c>
      <c r="C70" t="s">
        <v>2667</v>
      </c>
      <c r="D70" t="s">
        <v>3118</v>
      </c>
      <c r="E70" t="s">
        <v>1290</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146</v>
      </c>
    </row>
    <row r="71" spans="1:38">
      <c r="A71" s="13" t="s">
        <v>116</v>
      </c>
      <c r="B71" t="s">
        <v>2545</v>
      </c>
      <c r="C71" t="s">
        <v>2669</v>
      </c>
      <c r="D71" t="s">
        <v>3119</v>
      </c>
      <c r="E71" t="s">
        <v>1290</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146</v>
      </c>
    </row>
    <row r="72" spans="1:38">
      <c r="A72" s="13" t="s">
        <v>116</v>
      </c>
      <c r="B72" t="s">
        <v>2546</v>
      </c>
      <c r="C72" t="s">
        <v>2671</v>
      </c>
      <c r="D72" t="s">
        <v>3120</v>
      </c>
      <c r="E72" t="s">
        <v>1290</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146</v>
      </c>
    </row>
    <row r="73" spans="1:38">
      <c r="A73" s="13" t="s">
        <v>854</v>
      </c>
      <c r="B73" t="s">
        <v>1577</v>
      </c>
      <c r="C73" t="s">
        <v>2673</v>
      </c>
      <c r="D73" t="s">
        <v>3121</v>
      </c>
      <c r="E73" t="s">
        <v>1290</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146</v>
      </c>
    </row>
    <row r="74" spans="1:38">
      <c r="B74" t="s">
        <v>2548</v>
      </c>
      <c r="C74" t="s">
        <v>2675</v>
      </c>
      <c r="D74" t="s">
        <v>3122</v>
      </c>
      <c r="E74" t="s">
        <v>1290</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108">
        <v>1.2E-2</v>
      </c>
    </row>
    <row r="75" spans="1:38">
      <c r="B75" t="s">
        <v>2549</v>
      </c>
      <c r="D75" t="s">
        <v>3123</v>
      </c>
    </row>
    <row r="76" spans="1:38">
      <c r="A76" s="13" t="s">
        <v>115</v>
      </c>
      <c r="B76" t="s">
        <v>1262</v>
      </c>
      <c r="C76" t="s">
        <v>2678</v>
      </c>
      <c r="D76" t="s">
        <v>3124</v>
      </c>
      <c r="E76" t="s">
        <v>1290</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108">
        <v>-3.0000000000000001E-3</v>
      </c>
    </row>
    <row r="77" spans="1:38">
      <c r="A77" s="13" t="s">
        <v>114</v>
      </c>
      <c r="B77" t="s">
        <v>1348</v>
      </c>
      <c r="C77" t="s">
        <v>2680</v>
      </c>
      <c r="D77" t="s">
        <v>3125</v>
      </c>
      <c r="E77" t="s">
        <v>1290</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108">
        <v>-3.9E-2</v>
      </c>
    </row>
    <row r="78" spans="1:38">
      <c r="A78" s="13" t="s">
        <v>853</v>
      </c>
      <c r="B78" t="s">
        <v>1269</v>
      </c>
      <c r="C78" t="s">
        <v>2682</v>
      </c>
      <c r="D78" t="s">
        <v>3126</v>
      </c>
      <c r="E78" t="s">
        <v>1290</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108">
        <v>1.0999999999999999E-2</v>
      </c>
    </row>
    <row r="79" spans="1:38">
      <c r="A79" s="13" t="s">
        <v>113</v>
      </c>
      <c r="B79" t="s">
        <v>1278</v>
      </c>
      <c r="C79" t="s">
        <v>2684</v>
      </c>
      <c r="D79" t="s">
        <v>3127</v>
      </c>
      <c r="E79" t="s">
        <v>1290</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108">
        <v>2.8000000000000001E-2</v>
      </c>
    </row>
    <row r="80" spans="1:38">
      <c r="A80" s="13" t="s">
        <v>114</v>
      </c>
      <c r="B80" t="s">
        <v>2544</v>
      </c>
      <c r="C80" t="s">
        <v>2686</v>
      </c>
      <c r="D80" t="s">
        <v>3128</v>
      </c>
      <c r="E80" t="s">
        <v>1290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146</v>
      </c>
    </row>
    <row r="81" spans="1:38">
      <c r="A81" s="13" t="s">
        <v>112</v>
      </c>
      <c r="B81" t="s">
        <v>1573</v>
      </c>
      <c r="C81" t="s">
        <v>2688</v>
      </c>
      <c r="D81" t="s">
        <v>3129</v>
      </c>
      <c r="E81" t="s">
        <v>1290</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146</v>
      </c>
    </row>
    <row r="82" spans="1:38">
      <c r="A82" s="13" t="s">
        <v>116</v>
      </c>
      <c r="B82" t="s">
        <v>2545</v>
      </c>
      <c r="C82" t="s">
        <v>2690</v>
      </c>
      <c r="D82" t="s">
        <v>3130</v>
      </c>
      <c r="E82" t="s">
        <v>1290</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108">
        <v>7.8E-2</v>
      </c>
    </row>
    <row r="83" spans="1:38">
      <c r="A83" s="13" t="s">
        <v>116</v>
      </c>
      <c r="B83" t="s">
        <v>2546</v>
      </c>
      <c r="C83" t="s">
        <v>2692</v>
      </c>
      <c r="D83" t="s">
        <v>3131</v>
      </c>
      <c r="E83" t="s">
        <v>1290</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108">
        <v>7.6999999999999999E-2</v>
      </c>
    </row>
    <row r="84" spans="1:38">
      <c r="A84" s="13" t="s">
        <v>854</v>
      </c>
      <c r="B84" t="s">
        <v>1577</v>
      </c>
      <c r="C84" t="s">
        <v>2694</v>
      </c>
      <c r="D84" t="s">
        <v>3132</v>
      </c>
      <c r="E84" t="s">
        <v>1290</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108">
        <v>0.13500000000000001</v>
      </c>
    </row>
    <row r="85" spans="1:38">
      <c r="B85" t="s">
        <v>2550</v>
      </c>
      <c r="C85" t="s">
        <v>2696</v>
      </c>
      <c r="D85" t="s">
        <v>3133</v>
      </c>
      <c r="E85" t="s">
        <v>1290</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108">
        <v>-2E-3</v>
      </c>
    </row>
    <row r="86" spans="1:38">
      <c r="B86" t="s">
        <v>1217</v>
      </c>
      <c r="C86" t="s">
        <v>2698</v>
      </c>
      <c r="D86" t="s">
        <v>2699</v>
      </c>
      <c r="F86" t="s">
        <v>3134</v>
      </c>
    </row>
    <row r="87" spans="1:38">
      <c r="A87" s="13" t="s">
        <v>115</v>
      </c>
      <c r="B87" t="s">
        <v>1262</v>
      </c>
      <c r="C87" t="s">
        <v>2701</v>
      </c>
      <c r="D87" t="s">
        <v>3135</v>
      </c>
      <c r="E87" t="s">
        <v>1290</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108">
        <v>0</v>
      </c>
    </row>
    <row r="88" spans="1:38">
      <c r="A88" s="13" t="s">
        <v>114</v>
      </c>
      <c r="B88" t="s">
        <v>1348</v>
      </c>
      <c r="C88" t="s">
        <v>2703</v>
      </c>
      <c r="D88" t="s">
        <v>3136</v>
      </c>
      <c r="E88" t="s">
        <v>1290</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108">
        <v>0.01</v>
      </c>
    </row>
    <row r="89" spans="1:38">
      <c r="A89" s="13" t="s">
        <v>853</v>
      </c>
      <c r="B89" t="s">
        <v>1269</v>
      </c>
      <c r="C89" t="s">
        <v>2705</v>
      </c>
      <c r="D89" t="s">
        <v>3137</v>
      </c>
      <c r="E89" t="s">
        <v>1290</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108">
        <v>3.4000000000000002E-2</v>
      </c>
    </row>
    <row r="90" spans="1:38">
      <c r="A90" s="13" t="s">
        <v>113</v>
      </c>
      <c r="B90" t="s">
        <v>1278</v>
      </c>
      <c r="C90" t="s">
        <v>2707</v>
      </c>
      <c r="D90" t="s">
        <v>3138</v>
      </c>
      <c r="E90" t="s">
        <v>1290</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108">
        <v>2.8000000000000001E-2</v>
      </c>
    </row>
    <row r="91" spans="1:38">
      <c r="A91" s="13" t="s">
        <v>114</v>
      </c>
      <c r="B91" t="s">
        <v>2544</v>
      </c>
      <c r="C91" t="s">
        <v>2709</v>
      </c>
      <c r="D91" t="s">
        <v>3139</v>
      </c>
      <c r="E91" t="s">
        <v>1290</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108">
        <v>4.5999999999999999E-2</v>
      </c>
    </row>
    <row r="92" spans="1:38">
      <c r="A92" s="13" t="s">
        <v>112</v>
      </c>
      <c r="B92" t="s">
        <v>1573</v>
      </c>
      <c r="C92" t="s">
        <v>2711</v>
      </c>
      <c r="D92" t="s">
        <v>3140</v>
      </c>
      <c r="E92" t="s">
        <v>1290</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108">
        <v>0.214</v>
      </c>
    </row>
    <row r="93" spans="1:38">
      <c r="A93" s="13" t="s">
        <v>116</v>
      </c>
      <c r="B93" t="s">
        <v>2545</v>
      </c>
      <c r="C93" t="s">
        <v>2713</v>
      </c>
      <c r="D93" t="s">
        <v>3141</v>
      </c>
      <c r="E93" t="s">
        <v>1290</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108">
        <v>0.14299999999999999</v>
      </c>
    </row>
    <row r="94" spans="1:38">
      <c r="A94" s="13" t="s">
        <v>116</v>
      </c>
      <c r="B94" t="s">
        <v>2546</v>
      </c>
      <c r="C94" t="s">
        <v>2715</v>
      </c>
      <c r="D94" t="s">
        <v>3142</v>
      </c>
      <c r="E94" t="s">
        <v>1290</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108">
        <v>0.14699999999999999</v>
      </c>
    </row>
    <row r="95" spans="1:38">
      <c r="A95" s="13" t="s">
        <v>854</v>
      </c>
      <c r="B95" t="s">
        <v>1577</v>
      </c>
      <c r="C95" t="s">
        <v>2717</v>
      </c>
      <c r="D95" t="s">
        <v>3143</v>
      </c>
      <c r="E95" t="s">
        <v>1290</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108">
        <v>0.19</v>
      </c>
    </row>
    <row r="96" spans="1:38">
      <c r="B96" t="s">
        <v>594</v>
      </c>
      <c r="C96" t="s">
        <v>2719</v>
      </c>
      <c r="D96" t="s">
        <v>3144</v>
      </c>
      <c r="E96" t="s">
        <v>1290</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108">
        <v>2E-3</v>
      </c>
    </row>
    <row r="97" spans="1:38">
      <c r="B97" t="s">
        <v>2553</v>
      </c>
      <c r="D97" t="s">
        <v>3145</v>
      </c>
    </row>
    <row r="98" spans="1:38">
      <c r="B98" t="s">
        <v>1217</v>
      </c>
      <c r="D98" t="s">
        <v>3146</v>
      </c>
    </row>
    <row r="99" spans="1:38">
      <c r="A99" s="13" t="s">
        <v>115</v>
      </c>
      <c r="B99" t="s">
        <v>1262</v>
      </c>
      <c r="C99" t="s">
        <v>2723</v>
      </c>
      <c r="D99" t="s">
        <v>3147</v>
      </c>
      <c r="E99" t="s">
        <v>2725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108">
        <v>8.0000000000000002E-3</v>
      </c>
    </row>
    <row r="100" spans="1:38">
      <c r="A100" s="13" t="s">
        <v>114</v>
      </c>
      <c r="B100" t="s">
        <v>1348</v>
      </c>
      <c r="C100" t="s">
        <v>2726</v>
      </c>
      <c r="D100" t="s">
        <v>3148</v>
      </c>
      <c r="E100" t="s">
        <v>1714</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108">
        <v>1.0999999999999999E-2</v>
      </c>
    </row>
    <row r="101" spans="1:38">
      <c r="A101" s="13" t="s">
        <v>853</v>
      </c>
      <c r="B101" t="s">
        <v>1269</v>
      </c>
      <c r="C101" t="s">
        <v>2728</v>
      </c>
      <c r="D101" t="s">
        <v>3149</v>
      </c>
      <c r="E101" t="s">
        <v>1714</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108">
        <v>6.0000000000000001E-3</v>
      </c>
    </row>
    <row r="102" spans="1:38">
      <c r="A102" s="13" t="s">
        <v>113</v>
      </c>
      <c r="B102" t="s">
        <v>1278</v>
      </c>
      <c r="C102" t="s">
        <v>2730</v>
      </c>
      <c r="D102" t="s">
        <v>3150</v>
      </c>
      <c r="E102" t="s">
        <v>1714</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108">
        <v>3.0000000000000001E-3</v>
      </c>
    </row>
    <row r="103" spans="1:38">
      <c r="A103" s="13" t="s">
        <v>114</v>
      </c>
      <c r="B103" t="s">
        <v>2544</v>
      </c>
      <c r="C103" t="s">
        <v>2732</v>
      </c>
      <c r="D103" t="s">
        <v>3151</v>
      </c>
      <c r="E103" t="s">
        <v>1714</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108">
        <v>8.9999999999999993E-3</v>
      </c>
    </row>
    <row r="104" spans="1:38">
      <c r="A104" s="13" t="s">
        <v>112</v>
      </c>
      <c r="B104" t="s">
        <v>1573</v>
      </c>
      <c r="C104" t="s">
        <v>2734</v>
      </c>
      <c r="D104" t="s">
        <v>3152</v>
      </c>
      <c r="E104" t="s">
        <v>2725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108">
        <v>6.0000000000000001E-3</v>
      </c>
    </row>
    <row r="105" spans="1:38">
      <c r="A105" s="13" t="s">
        <v>116</v>
      </c>
      <c r="B105" t="s">
        <v>2545</v>
      </c>
      <c r="C105" t="s">
        <v>2736</v>
      </c>
      <c r="D105" t="s">
        <v>3153</v>
      </c>
      <c r="E105" t="s">
        <v>2725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146</v>
      </c>
    </row>
    <row r="106" spans="1:38">
      <c r="A106" s="13" t="s">
        <v>116</v>
      </c>
      <c r="B106" t="s">
        <v>2546</v>
      </c>
      <c r="C106" t="s">
        <v>2738</v>
      </c>
      <c r="D106" t="s">
        <v>3154</v>
      </c>
      <c r="E106" t="s">
        <v>1714</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146</v>
      </c>
    </row>
    <row r="107" spans="1:38">
      <c r="A107" s="13" t="s">
        <v>854</v>
      </c>
      <c r="B107" t="s">
        <v>1577</v>
      </c>
      <c r="C107" t="s">
        <v>2740</v>
      </c>
      <c r="D107" t="s">
        <v>3155</v>
      </c>
      <c r="E107" t="s">
        <v>2725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146</v>
      </c>
    </row>
    <row r="108" spans="1:38">
      <c r="B108" t="s">
        <v>2554</v>
      </c>
      <c r="C108" t="s">
        <v>2742</v>
      </c>
      <c r="D108" t="s">
        <v>3156</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108">
        <v>8.0000000000000002E-3</v>
      </c>
    </row>
    <row r="109" spans="1:38">
      <c r="B109" t="s">
        <v>1219</v>
      </c>
      <c r="D109" t="s">
        <v>3157</v>
      </c>
    </row>
    <row r="110" spans="1:38">
      <c r="A110" s="13" t="s">
        <v>115</v>
      </c>
      <c r="B110" t="s">
        <v>1262</v>
      </c>
      <c r="C110" t="s">
        <v>2745</v>
      </c>
      <c r="D110" t="s">
        <v>3158</v>
      </c>
      <c r="E110" t="s">
        <v>2725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108">
        <v>1.0999999999999999E-2</v>
      </c>
    </row>
    <row r="111" spans="1:38">
      <c r="A111" s="13" t="s">
        <v>114</v>
      </c>
      <c r="B111" t="s">
        <v>1348</v>
      </c>
      <c r="C111" t="s">
        <v>2747</v>
      </c>
      <c r="D111" t="s">
        <v>3159</v>
      </c>
      <c r="E111" t="s">
        <v>1714</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108">
        <v>0.01</v>
      </c>
    </row>
    <row r="112" spans="1:38">
      <c r="A112" s="13" t="s">
        <v>853</v>
      </c>
      <c r="B112" t="s">
        <v>1269</v>
      </c>
      <c r="C112" t="s">
        <v>2749</v>
      </c>
      <c r="D112" t="s">
        <v>3160</v>
      </c>
      <c r="E112" t="s">
        <v>1714</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108">
        <v>0.01</v>
      </c>
    </row>
    <row r="113" spans="1:38">
      <c r="A113" s="13" t="s">
        <v>113</v>
      </c>
      <c r="B113" t="s">
        <v>1278</v>
      </c>
      <c r="C113" t="s">
        <v>2751</v>
      </c>
      <c r="D113" t="s">
        <v>3161</v>
      </c>
      <c r="E113" t="s">
        <v>1714</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108">
        <v>1.0999999999999999E-2</v>
      </c>
    </row>
    <row r="114" spans="1:38">
      <c r="A114" s="13" t="s">
        <v>114</v>
      </c>
      <c r="B114" t="s">
        <v>2544</v>
      </c>
      <c r="C114" t="s">
        <v>2753</v>
      </c>
      <c r="D114" t="s">
        <v>3162</v>
      </c>
      <c r="E114" t="s">
        <v>2755</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108">
        <v>8.0000000000000002E-3</v>
      </c>
    </row>
    <row r="115" spans="1:38">
      <c r="A115" s="13" t="s">
        <v>112</v>
      </c>
      <c r="B115" t="s">
        <v>1573</v>
      </c>
      <c r="C115" t="s">
        <v>2756</v>
      </c>
      <c r="D115" t="s">
        <v>3163</v>
      </c>
      <c r="E115" t="s">
        <v>1714</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146</v>
      </c>
    </row>
    <row r="116" spans="1:38">
      <c r="A116" s="13" t="s">
        <v>116</v>
      </c>
      <c r="B116" t="s">
        <v>2545</v>
      </c>
      <c r="C116" t="s">
        <v>2758</v>
      </c>
      <c r="D116" t="s">
        <v>3164</v>
      </c>
      <c r="E116" t="s">
        <v>1714</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146</v>
      </c>
    </row>
    <row r="117" spans="1:38">
      <c r="A117" s="13" t="s">
        <v>116</v>
      </c>
      <c r="B117" t="s">
        <v>2546</v>
      </c>
      <c r="C117" t="s">
        <v>2760</v>
      </c>
      <c r="D117" t="s">
        <v>3165</v>
      </c>
      <c r="E117" t="s">
        <v>1714</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146</v>
      </c>
    </row>
    <row r="118" spans="1:38">
      <c r="A118" s="13" t="s">
        <v>854</v>
      </c>
      <c r="B118" t="s">
        <v>1577</v>
      </c>
      <c r="C118" t="s">
        <v>2762</v>
      </c>
      <c r="D118" t="s">
        <v>3166</v>
      </c>
      <c r="E118" t="s">
        <v>1714</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146</v>
      </c>
    </row>
    <row r="119" spans="1:38">
      <c r="B119" t="s">
        <v>2555</v>
      </c>
      <c r="C119" t="s">
        <v>2764</v>
      </c>
      <c r="D119" t="s">
        <v>3167</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108">
        <v>1.0999999999999999E-2</v>
      </c>
    </row>
    <row r="120" spans="1:38">
      <c r="B120" t="s">
        <v>2549</v>
      </c>
      <c r="D120" t="s">
        <v>3168</v>
      </c>
    </row>
    <row r="121" spans="1:38">
      <c r="A121" s="13" t="s">
        <v>115</v>
      </c>
      <c r="B121" t="s">
        <v>1262</v>
      </c>
      <c r="C121" t="s">
        <v>2767</v>
      </c>
      <c r="D121" t="s">
        <v>3169</v>
      </c>
      <c r="E121" t="s">
        <v>2725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108">
        <v>8.0000000000000002E-3</v>
      </c>
    </row>
    <row r="122" spans="1:38">
      <c r="A122" s="13" t="s">
        <v>114</v>
      </c>
      <c r="B122" t="s">
        <v>1348</v>
      </c>
      <c r="C122" t="s">
        <v>2769</v>
      </c>
      <c r="D122" t="s">
        <v>3170</v>
      </c>
      <c r="E122" t="s">
        <v>1714</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108">
        <v>0.01</v>
      </c>
    </row>
    <row r="123" spans="1:38">
      <c r="A123" s="13" t="s">
        <v>853</v>
      </c>
      <c r="B123" t="s">
        <v>1269</v>
      </c>
      <c r="C123" t="s">
        <v>2771</v>
      </c>
      <c r="D123" t="s">
        <v>3171</v>
      </c>
      <c r="E123" t="s">
        <v>1714</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108">
        <v>8.0000000000000002E-3</v>
      </c>
    </row>
    <row r="124" spans="1:38">
      <c r="A124" s="13" t="s">
        <v>113</v>
      </c>
      <c r="B124" t="s">
        <v>1278</v>
      </c>
      <c r="C124" t="s">
        <v>2773</v>
      </c>
      <c r="D124" t="s">
        <v>3172</v>
      </c>
      <c r="E124" t="s">
        <v>2725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108">
        <v>8.0000000000000002E-3</v>
      </c>
    </row>
    <row r="125" spans="1:38">
      <c r="A125" s="13" t="s">
        <v>114</v>
      </c>
      <c r="B125" t="s">
        <v>2544</v>
      </c>
      <c r="C125" t="s">
        <v>2775</v>
      </c>
      <c r="D125" t="s">
        <v>3173</v>
      </c>
      <c r="E125" t="s">
        <v>1714</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146</v>
      </c>
    </row>
    <row r="126" spans="1:38">
      <c r="A126" s="13" t="s">
        <v>112</v>
      </c>
      <c r="B126" t="s">
        <v>1573</v>
      </c>
      <c r="C126" t="s">
        <v>2777</v>
      </c>
      <c r="D126" t="s">
        <v>3174</v>
      </c>
      <c r="E126" t="s">
        <v>2725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146</v>
      </c>
    </row>
    <row r="127" spans="1:38">
      <c r="A127" s="13" t="s">
        <v>116</v>
      </c>
      <c r="B127" t="s">
        <v>2545</v>
      </c>
      <c r="C127" t="s">
        <v>2779</v>
      </c>
      <c r="D127" t="s">
        <v>3175</v>
      </c>
      <c r="E127" t="s">
        <v>2725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108">
        <v>4.8000000000000001E-2</v>
      </c>
    </row>
    <row r="128" spans="1:38">
      <c r="A128" s="13" t="s">
        <v>116</v>
      </c>
      <c r="B128" t="s">
        <v>2546</v>
      </c>
      <c r="C128" t="s">
        <v>2781</v>
      </c>
      <c r="D128" t="s">
        <v>3176</v>
      </c>
      <c r="E128" t="s">
        <v>1714</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108">
        <v>4.8000000000000001E-2</v>
      </c>
    </row>
    <row r="129" spans="1:38">
      <c r="A129" s="13" t="s">
        <v>854</v>
      </c>
      <c r="B129" t="s">
        <v>1577</v>
      </c>
      <c r="C129" t="s">
        <v>2783</v>
      </c>
      <c r="D129" t="s">
        <v>3177</v>
      </c>
      <c r="E129" t="s">
        <v>2725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108">
        <v>1E-3</v>
      </c>
    </row>
    <row r="130" spans="1:38">
      <c r="B130" t="s">
        <v>2556</v>
      </c>
      <c r="C130" t="s">
        <v>2785</v>
      </c>
      <c r="D130" t="s">
        <v>3178</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108">
        <v>8.0000000000000002E-3</v>
      </c>
    </row>
    <row r="131" spans="1:38">
      <c r="B131" t="s">
        <v>2557</v>
      </c>
      <c r="C131" t="s">
        <v>2787</v>
      </c>
      <c r="D131" t="s">
        <v>3179</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108">
        <v>0.01</v>
      </c>
    </row>
    <row r="132" spans="1:38">
      <c r="B132" t="s">
        <v>2558</v>
      </c>
      <c r="D132" t="s">
        <v>3180</v>
      </c>
    </row>
    <row r="133" spans="1:38">
      <c r="B133" t="s">
        <v>1217</v>
      </c>
      <c r="D133" t="s">
        <v>3181</v>
      </c>
    </row>
    <row r="134" spans="1:38">
      <c r="A134" s="13" t="s">
        <v>115</v>
      </c>
      <c r="B134" t="s">
        <v>1262</v>
      </c>
      <c r="C134" t="s">
        <v>2791</v>
      </c>
      <c r="D134" t="s">
        <v>3182</v>
      </c>
      <c r="E134" t="s">
        <v>1860</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108">
        <v>1.9E-2</v>
      </c>
    </row>
    <row r="135" spans="1:38">
      <c r="A135" s="13" t="s">
        <v>114</v>
      </c>
      <c r="B135" t="s">
        <v>1348</v>
      </c>
      <c r="C135" t="s">
        <v>2793</v>
      </c>
      <c r="D135" t="s">
        <v>3183</v>
      </c>
      <c r="E135" t="s">
        <v>1860</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108">
        <v>2.5000000000000001E-2</v>
      </c>
    </row>
    <row r="136" spans="1:38">
      <c r="A136" s="13" t="s">
        <v>853</v>
      </c>
      <c r="B136" t="s">
        <v>1269</v>
      </c>
      <c r="C136" t="s">
        <v>2795</v>
      </c>
      <c r="D136" t="s">
        <v>3184</v>
      </c>
      <c r="E136" t="s">
        <v>1860</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108">
        <v>0.107</v>
      </c>
    </row>
    <row r="137" spans="1:38">
      <c r="A137" s="13" t="s">
        <v>113</v>
      </c>
      <c r="B137" t="s">
        <v>1278</v>
      </c>
      <c r="C137" t="s">
        <v>2797</v>
      </c>
      <c r="D137" t="s">
        <v>3185</v>
      </c>
      <c r="E137" t="s">
        <v>1860</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108">
        <v>0.104</v>
      </c>
    </row>
    <row r="138" spans="1:38">
      <c r="A138" s="13" t="s">
        <v>114</v>
      </c>
      <c r="B138" t="s">
        <v>2544</v>
      </c>
      <c r="C138" t="s">
        <v>2799</v>
      </c>
      <c r="D138" t="s">
        <v>3186</v>
      </c>
      <c r="E138" t="s">
        <v>1860</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108">
        <v>6.5000000000000002E-2</v>
      </c>
    </row>
    <row r="139" spans="1:38">
      <c r="A139" s="13" t="s">
        <v>112</v>
      </c>
      <c r="B139" t="s">
        <v>1573</v>
      </c>
      <c r="C139" t="s">
        <v>2801</v>
      </c>
      <c r="D139" t="s">
        <v>3187</v>
      </c>
      <c r="E139" t="s">
        <v>1860</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108">
        <v>0.188</v>
      </c>
    </row>
    <row r="140" spans="1:38">
      <c r="A140" s="13" t="s">
        <v>116</v>
      </c>
      <c r="B140" t="s">
        <v>2545</v>
      </c>
      <c r="C140" t="s">
        <v>2803</v>
      </c>
      <c r="D140" t="s">
        <v>3188</v>
      </c>
      <c r="E140" t="s">
        <v>1860</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146</v>
      </c>
    </row>
    <row r="141" spans="1:38">
      <c r="A141" s="13" t="s">
        <v>116</v>
      </c>
      <c r="B141" t="s">
        <v>2546</v>
      </c>
      <c r="C141" t="s">
        <v>2805</v>
      </c>
      <c r="D141" t="s">
        <v>3189</v>
      </c>
      <c r="E141" t="s">
        <v>1860</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146</v>
      </c>
    </row>
    <row r="142" spans="1:38">
      <c r="A142" s="13" t="s">
        <v>854</v>
      </c>
      <c r="B142" t="s">
        <v>1577</v>
      </c>
      <c r="C142" t="s">
        <v>2807</v>
      </c>
      <c r="D142" t="s">
        <v>3190</v>
      </c>
      <c r="E142" t="s">
        <v>1860</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146</v>
      </c>
    </row>
    <row r="143" spans="1:38">
      <c r="B143" t="s">
        <v>2547</v>
      </c>
      <c r="C143" t="s">
        <v>2809</v>
      </c>
      <c r="D143" t="s">
        <v>3191</v>
      </c>
      <c r="E143" t="s">
        <v>1860</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108">
        <v>2.5999999999999999E-2</v>
      </c>
    </row>
    <row r="144" spans="1:38">
      <c r="B144" t="s">
        <v>1219</v>
      </c>
      <c r="D144" t="s">
        <v>3192</v>
      </c>
    </row>
    <row r="145" spans="1:38">
      <c r="A145" s="13" t="s">
        <v>115</v>
      </c>
      <c r="B145" t="s">
        <v>1262</v>
      </c>
      <c r="C145" t="s">
        <v>2812</v>
      </c>
      <c r="D145" t="s">
        <v>3193</v>
      </c>
      <c r="E145" t="s">
        <v>1860</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108">
        <v>2.1000000000000001E-2</v>
      </c>
    </row>
    <row r="146" spans="1:38">
      <c r="A146" s="13" t="s">
        <v>114</v>
      </c>
      <c r="B146" t="s">
        <v>1348</v>
      </c>
      <c r="C146" t="s">
        <v>2814</v>
      </c>
      <c r="D146" t="s">
        <v>3194</v>
      </c>
      <c r="E146" t="s">
        <v>1860</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108">
        <v>1.7000000000000001E-2</v>
      </c>
    </row>
    <row r="147" spans="1:38">
      <c r="A147" s="13" t="s">
        <v>853</v>
      </c>
      <c r="B147" t="s">
        <v>1269</v>
      </c>
      <c r="C147" t="s">
        <v>2816</v>
      </c>
      <c r="D147" t="s">
        <v>3195</v>
      </c>
      <c r="E147" t="s">
        <v>1860</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108">
        <v>4.2999999999999997E-2</v>
      </c>
    </row>
    <row r="148" spans="1:38">
      <c r="A148" s="13" t="s">
        <v>113</v>
      </c>
      <c r="B148" t="s">
        <v>1278</v>
      </c>
      <c r="C148" t="s">
        <v>2818</v>
      </c>
      <c r="D148" t="s">
        <v>3196</v>
      </c>
      <c r="E148" t="s">
        <v>1860</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108">
        <v>6.4000000000000001E-2</v>
      </c>
    </row>
    <row r="149" spans="1:38">
      <c r="A149" s="13" t="s">
        <v>114</v>
      </c>
      <c r="B149" t="s">
        <v>2544</v>
      </c>
      <c r="C149" t="s">
        <v>2820</v>
      </c>
      <c r="D149" t="s">
        <v>3197</v>
      </c>
      <c r="E149" t="s">
        <v>1860</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108">
        <v>6.9000000000000006E-2</v>
      </c>
    </row>
    <row r="150" spans="1:38">
      <c r="A150" s="13" t="s">
        <v>112</v>
      </c>
      <c r="B150" t="s">
        <v>1573</v>
      </c>
      <c r="C150" t="s">
        <v>2822</v>
      </c>
      <c r="D150" t="s">
        <v>3198</v>
      </c>
      <c r="E150" t="s">
        <v>1860</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108">
        <v>0.30099999999999999</v>
      </c>
    </row>
    <row r="151" spans="1:38">
      <c r="A151" s="13" t="s">
        <v>116</v>
      </c>
      <c r="B151" t="s">
        <v>2545</v>
      </c>
      <c r="C151" t="s">
        <v>2824</v>
      </c>
      <c r="D151" t="s">
        <v>3199</v>
      </c>
      <c r="E151" t="s">
        <v>1860</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146</v>
      </c>
    </row>
    <row r="152" spans="1:38">
      <c r="A152" s="13" t="s">
        <v>116</v>
      </c>
      <c r="B152" t="s">
        <v>2546</v>
      </c>
      <c r="C152" t="s">
        <v>2826</v>
      </c>
      <c r="D152" t="s">
        <v>3200</v>
      </c>
      <c r="E152" t="s">
        <v>1860</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146</v>
      </c>
    </row>
    <row r="153" spans="1:38">
      <c r="A153" s="13" t="s">
        <v>854</v>
      </c>
      <c r="B153" t="s">
        <v>1577</v>
      </c>
      <c r="C153" t="s">
        <v>2828</v>
      </c>
      <c r="D153" t="s">
        <v>3201</v>
      </c>
      <c r="E153" t="s">
        <v>1860</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146</v>
      </c>
    </row>
    <row r="154" spans="1:38">
      <c r="B154" t="s">
        <v>2548</v>
      </c>
      <c r="C154" t="s">
        <v>2830</v>
      </c>
      <c r="D154" t="s">
        <v>3202</v>
      </c>
      <c r="E154" t="s">
        <v>1860</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108">
        <v>2.1000000000000001E-2</v>
      </c>
    </row>
    <row r="155" spans="1:38">
      <c r="B155" t="s">
        <v>2549</v>
      </c>
      <c r="D155" t="s">
        <v>3203</v>
      </c>
    </row>
    <row r="156" spans="1:38">
      <c r="A156" s="13" t="s">
        <v>115</v>
      </c>
      <c r="B156" t="s">
        <v>1262</v>
      </c>
      <c r="C156" t="s">
        <v>2833</v>
      </c>
      <c r="D156" t="s">
        <v>3204</v>
      </c>
      <c r="E156" t="s">
        <v>1860</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108">
        <v>8.9999999999999993E-3</v>
      </c>
    </row>
    <row r="157" spans="1:38">
      <c r="A157" s="13" t="s">
        <v>114</v>
      </c>
      <c r="B157" t="s">
        <v>1348</v>
      </c>
      <c r="C157" t="s">
        <v>2835</v>
      </c>
      <c r="D157" t="s">
        <v>3205</v>
      </c>
      <c r="E157" t="s">
        <v>1860</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108">
        <v>-4.8000000000000001E-2</v>
      </c>
    </row>
    <row r="158" spans="1:38">
      <c r="A158" s="13" t="s">
        <v>853</v>
      </c>
      <c r="B158" t="s">
        <v>1269</v>
      </c>
      <c r="C158" t="s">
        <v>2837</v>
      </c>
      <c r="D158" t="s">
        <v>3206</v>
      </c>
      <c r="E158" t="s">
        <v>1860</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108">
        <v>1.6E-2</v>
      </c>
    </row>
    <row r="159" spans="1:38">
      <c r="A159" s="13" t="s">
        <v>113</v>
      </c>
      <c r="B159" t="s">
        <v>1278</v>
      </c>
      <c r="C159" t="s">
        <v>2839</v>
      </c>
      <c r="D159" t="s">
        <v>3207</v>
      </c>
      <c r="E159" t="s">
        <v>1860</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108">
        <v>4.2000000000000003E-2</v>
      </c>
    </row>
    <row r="160" spans="1:38">
      <c r="A160" s="13" t="s">
        <v>114</v>
      </c>
      <c r="B160" t="s">
        <v>2544</v>
      </c>
      <c r="C160" t="s">
        <v>2841</v>
      </c>
      <c r="D160" t="s">
        <v>3208</v>
      </c>
      <c r="E160" t="s">
        <v>1860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146</v>
      </c>
    </row>
    <row r="161" spans="1:38">
      <c r="A161" s="13" t="s">
        <v>112</v>
      </c>
      <c r="B161" t="s">
        <v>1573</v>
      </c>
      <c r="C161" t="s">
        <v>2843</v>
      </c>
      <c r="D161" t="s">
        <v>3209</v>
      </c>
      <c r="E161" t="s">
        <v>1860</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146</v>
      </c>
    </row>
    <row r="162" spans="1:38">
      <c r="A162" s="13" t="s">
        <v>116</v>
      </c>
      <c r="B162" t="s">
        <v>2545</v>
      </c>
      <c r="C162" t="s">
        <v>2845</v>
      </c>
      <c r="D162" t="s">
        <v>3210</v>
      </c>
      <c r="E162" t="s">
        <v>1860</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108">
        <v>0.14099999999999999</v>
      </c>
    </row>
    <row r="163" spans="1:38">
      <c r="A163" s="13" t="s">
        <v>116</v>
      </c>
      <c r="B163" t="s">
        <v>2546</v>
      </c>
      <c r="C163" t="s">
        <v>2847</v>
      </c>
      <c r="D163" t="s">
        <v>3211</v>
      </c>
      <c r="E163" t="s">
        <v>1860</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108">
        <v>0.14000000000000001</v>
      </c>
    </row>
    <row r="164" spans="1:38">
      <c r="A164" s="13" t="s">
        <v>854</v>
      </c>
      <c r="B164" t="s">
        <v>1577</v>
      </c>
      <c r="C164" t="s">
        <v>2849</v>
      </c>
      <c r="D164" t="s">
        <v>3212</v>
      </c>
      <c r="E164" t="s">
        <v>1860</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108">
        <v>0.14799999999999999</v>
      </c>
    </row>
    <row r="165" spans="1:38">
      <c r="B165" t="s">
        <v>2550</v>
      </c>
      <c r="C165" t="s">
        <v>2851</v>
      </c>
      <c r="D165" t="s">
        <v>3213</v>
      </c>
      <c r="E165" t="s">
        <v>1860</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108">
        <v>8.9999999999999993E-3</v>
      </c>
    </row>
    <row r="166" spans="1:38">
      <c r="B166" t="s">
        <v>2559</v>
      </c>
      <c r="C166" t="s">
        <v>2853</v>
      </c>
      <c r="D166" t="s">
        <v>3214</v>
      </c>
      <c r="E166" t="s">
        <v>1860</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108">
        <v>1.7999999999999999E-2</v>
      </c>
    </row>
    <row r="167" spans="1:38">
      <c r="B167" t="s">
        <v>697</v>
      </c>
      <c r="D167" t="s">
        <v>3215</v>
      </c>
    </row>
    <row r="168" spans="1:38">
      <c r="B168" t="s">
        <v>2553</v>
      </c>
      <c r="D168" t="s">
        <v>3216</v>
      </c>
    </row>
    <row r="169" spans="1:38">
      <c r="B169" t="s">
        <v>1217</v>
      </c>
      <c r="D169" t="s">
        <v>3217</v>
      </c>
    </row>
    <row r="170" spans="1:38">
      <c r="B170" t="s">
        <v>1262</v>
      </c>
      <c r="C170" t="s">
        <v>2858</v>
      </c>
      <c r="D170" t="s">
        <v>3218</v>
      </c>
      <c r="E170" t="s">
        <v>2725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108">
        <v>5.0000000000000001E-3</v>
      </c>
    </row>
    <row r="171" spans="1:38">
      <c r="B171" t="s">
        <v>1348</v>
      </c>
      <c r="C171" t="s">
        <v>2860</v>
      </c>
      <c r="D171" t="s">
        <v>3219</v>
      </c>
      <c r="E171" t="s">
        <v>1714</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108">
        <v>8.9999999999999993E-3</v>
      </c>
    </row>
    <row r="172" spans="1:38">
      <c r="B172" t="s">
        <v>1269</v>
      </c>
      <c r="C172" t="s">
        <v>2862</v>
      </c>
      <c r="D172" t="s">
        <v>3220</v>
      </c>
      <c r="E172" t="s">
        <v>1714</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108">
        <v>5.0000000000000001E-3</v>
      </c>
    </row>
    <row r="173" spans="1:38">
      <c r="B173" t="s">
        <v>1278</v>
      </c>
      <c r="C173" t="s">
        <v>2864</v>
      </c>
      <c r="D173" t="s">
        <v>3221</v>
      </c>
      <c r="E173" t="s">
        <v>1714</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108">
        <v>3.0000000000000001E-3</v>
      </c>
    </row>
    <row r="174" spans="1:38">
      <c r="B174" t="s">
        <v>2544</v>
      </c>
      <c r="C174" t="s">
        <v>2866</v>
      </c>
      <c r="D174" t="s">
        <v>3222</v>
      </c>
      <c r="E174" t="s">
        <v>1714</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108">
        <v>8.0000000000000002E-3</v>
      </c>
    </row>
    <row r="175" spans="1:38">
      <c r="B175" t="s">
        <v>1573</v>
      </c>
      <c r="C175" t="s">
        <v>2868</v>
      </c>
      <c r="D175" t="s">
        <v>3223</v>
      </c>
      <c r="E175" t="s">
        <v>2725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108">
        <v>3.0000000000000001E-3</v>
      </c>
    </row>
    <row r="176" spans="1:38">
      <c r="B176" t="s">
        <v>2545</v>
      </c>
      <c r="C176" t="s">
        <v>2870</v>
      </c>
      <c r="D176" t="s">
        <v>3224</v>
      </c>
      <c r="E176" t="s">
        <v>2725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146</v>
      </c>
    </row>
    <row r="177" spans="2:38">
      <c r="B177" t="s">
        <v>2546</v>
      </c>
      <c r="C177" t="s">
        <v>2872</v>
      </c>
      <c r="D177" t="s">
        <v>3225</v>
      </c>
      <c r="E177" t="s">
        <v>1714</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146</v>
      </c>
    </row>
    <row r="178" spans="2:38">
      <c r="B178" t="s">
        <v>1577</v>
      </c>
      <c r="C178" t="s">
        <v>2874</v>
      </c>
      <c r="D178" t="s">
        <v>3226</v>
      </c>
      <c r="E178" t="s">
        <v>2725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146</v>
      </c>
    </row>
    <row r="179" spans="2:38">
      <c r="B179" t="s">
        <v>2554</v>
      </c>
      <c r="C179" t="s">
        <v>2876</v>
      </c>
      <c r="D179" t="s">
        <v>3227</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108">
        <v>5.0000000000000001E-3</v>
      </c>
    </row>
    <row r="180" spans="2:38">
      <c r="B180" t="s">
        <v>1219</v>
      </c>
      <c r="D180" t="s">
        <v>3228</v>
      </c>
    </row>
    <row r="181" spans="2:38">
      <c r="B181" t="s">
        <v>1262</v>
      </c>
      <c r="C181" t="s">
        <v>2879</v>
      </c>
      <c r="D181" t="s">
        <v>3229</v>
      </c>
      <c r="E181" t="s">
        <v>2725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108">
        <v>8.9999999999999993E-3</v>
      </c>
    </row>
    <row r="182" spans="2:38">
      <c r="B182" t="s">
        <v>1348</v>
      </c>
      <c r="C182" t="s">
        <v>2881</v>
      </c>
      <c r="D182" t="s">
        <v>3230</v>
      </c>
      <c r="E182" t="s">
        <v>1714</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108">
        <v>8.9999999999999993E-3</v>
      </c>
    </row>
    <row r="183" spans="2:38">
      <c r="B183" t="s">
        <v>1269</v>
      </c>
      <c r="C183" t="s">
        <v>2883</v>
      </c>
      <c r="D183" t="s">
        <v>3231</v>
      </c>
      <c r="E183" t="s">
        <v>1714</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108">
        <v>8.9999999999999993E-3</v>
      </c>
    </row>
    <row r="184" spans="2:38">
      <c r="B184" t="s">
        <v>1278</v>
      </c>
      <c r="C184" t="s">
        <v>2885</v>
      </c>
      <c r="D184" t="s">
        <v>3232</v>
      </c>
      <c r="E184" t="s">
        <v>1714</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108">
        <v>0.01</v>
      </c>
    </row>
    <row r="185" spans="2:38">
      <c r="B185" t="s">
        <v>2544</v>
      </c>
      <c r="C185" t="s">
        <v>2887</v>
      </c>
      <c r="D185" t="s">
        <v>3233</v>
      </c>
      <c r="E185" t="s">
        <v>2755</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108">
        <v>8.9999999999999993E-3</v>
      </c>
    </row>
    <row r="186" spans="2:38">
      <c r="B186" t="s">
        <v>1573</v>
      </c>
      <c r="C186" t="s">
        <v>2889</v>
      </c>
      <c r="D186" t="s">
        <v>3234</v>
      </c>
      <c r="E186" t="s">
        <v>1714</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108">
        <v>7.0000000000000001E-3</v>
      </c>
    </row>
    <row r="187" spans="2:38">
      <c r="B187" t="s">
        <v>2545</v>
      </c>
      <c r="C187" t="s">
        <v>2891</v>
      </c>
      <c r="D187" t="s">
        <v>3235</v>
      </c>
      <c r="E187" t="s">
        <v>1714</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146</v>
      </c>
    </row>
    <row r="188" spans="2:38">
      <c r="B188" t="s">
        <v>2546</v>
      </c>
      <c r="C188" t="s">
        <v>2893</v>
      </c>
      <c r="D188" t="s">
        <v>3236</v>
      </c>
      <c r="E188" t="s">
        <v>1714</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146</v>
      </c>
    </row>
    <row r="189" spans="2:38">
      <c r="B189" t="s">
        <v>1577</v>
      </c>
      <c r="C189" t="s">
        <v>2895</v>
      </c>
      <c r="D189" t="s">
        <v>3237</v>
      </c>
      <c r="E189" t="s">
        <v>1714</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146</v>
      </c>
    </row>
    <row r="190" spans="2:38">
      <c r="B190" t="s">
        <v>2555</v>
      </c>
      <c r="C190" t="s">
        <v>2897</v>
      </c>
      <c r="D190" t="s">
        <v>3238</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108">
        <v>8.9999999999999993E-3</v>
      </c>
    </row>
    <row r="191" spans="2:38">
      <c r="B191" t="s">
        <v>2549</v>
      </c>
      <c r="D191" t="s">
        <v>3239</v>
      </c>
    </row>
    <row r="192" spans="2:38">
      <c r="B192" t="s">
        <v>1262</v>
      </c>
      <c r="C192" t="s">
        <v>2900</v>
      </c>
      <c r="D192" t="s">
        <v>3240</v>
      </c>
      <c r="E192" t="s">
        <v>2725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108">
        <v>8.0000000000000002E-3</v>
      </c>
    </row>
    <row r="193" spans="2:38">
      <c r="B193" t="s">
        <v>1348</v>
      </c>
      <c r="C193" t="s">
        <v>2902</v>
      </c>
      <c r="D193" t="s">
        <v>3241</v>
      </c>
      <c r="E193" t="s">
        <v>1714</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108">
        <v>7.0000000000000001E-3</v>
      </c>
    </row>
    <row r="194" spans="2:38">
      <c r="B194" t="s">
        <v>1269</v>
      </c>
      <c r="C194" t="s">
        <v>2904</v>
      </c>
      <c r="D194" t="s">
        <v>3242</v>
      </c>
      <c r="E194" t="s">
        <v>1714</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108">
        <v>6.0000000000000001E-3</v>
      </c>
    </row>
    <row r="195" spans="2:38">
      <c r="B195" t="s">
        <v>1278</v>
      </c>
      <c r="C195" t="s">
        <v>2906</v>
      </c>
      <c r="D195" t="s">
        <v>3243</v>
      </c>
      <c r="E195" t="s">
        <v>2725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108">
        <v>8.9999999999999993E-3</v>
      </c>
    </row>
    <row r="196" spans="2:38">
      <c r="B196" t="s">
        <v>2544</v>
      </c>
      <c r="C196" t="s">
        <v>2908</v>
      </c>
      <c r="D196" t="s">
        <v>3244</v>
      </c>
      <c r="E196" t="s">
        <v>1714</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146</v>
      </c>
    </row>
    <row r="197" spans="2:38">
      <c r="B197" t="s">
        <v>1573</v>
      </c>
      <c r="C197" t="s">
        <v>2910</v>
      </c>
      <c r="D197" t="s">
        <v>3245</v>
      </c>
      <c r="E197" t="s">
        <v>2725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146</v>
      </c>
    </row>
    <row r="198" spans="2:38">
      <c r="B198" t="s">
        <v>2545</v>
      </c>
      <c r="C198" t="s">
        <v>2912</v>
      </c>
      <c r="D198" t="s">
        <v>3246</v>
      </c>
      <c r="E198" t="s">
        <v>2725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108">
        <v>0.01</v>
      </c>
    </row>
    <row r="199" spans="2:38">
      <c r="B199" t="s">
        <v>2546</v>
      </c>
      <c r="C199" t="s">
        <v>2914</v>
      </c>
      <c r="D199" t="s">
        <v>3247</v>
      </c>
      <c r="E199" t="s">
        <v>1714</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108">
        <v>7.0000000000000001E-3</v>
      </c>
    </row>
    <row r="200" spans="2:38">
      <c r="B200" t="s">
        <v>1577</v>
      </c>
      <c r="C200" t="s">
        <v>2916</v>
      </c>
      <c r="D200" t="s">
        <v>3248</v>
      </c>
      <c r="E200" t="s">
        <v>2725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108">
        <v>3.0000000000000001E-3</v>
      </c>
    </row>
    <row r="201" spans="2:38">
      <c r="B201" t="s">
        <v>2556</v>
      </c>
      <c r="C201" t="s">
        <v>2918</v>
      </c>
      <c r="D201" t="s">
        <v>3249</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108">
        <v>8.0000000000000002E-3</v>
      </c>
    </row>
    <row r="202" spans="2:38">
      <c r="B202" t="s">
        <v>2557</v>
      </c>
      <c r="C202" t="s">
        <v>2920</v>
      </c>
      <c r="D202" t="s">
        <v>3250</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108">
        <v>0.01</v>
      </c>
    </row>
    <row r="203" spans="2:38">
      <c r="B203" t="s">
        <v>2560</v>
      </c>
      <c r="D203" t="s">
        <v>3251</v>
      </c>
    </row>
    <row r="204" spans="2:38">
      <c r="B204" t="s">
        <v>1217</v>
      </c>
      <c r="D204" t="s">
        <v>3252</v>
      </c>
    </row>
    <row r="205" spans="2:38">
      <c r="B205" t="s">
        <v>1262</v>
      </c>
      <c r="C205" t="s">
        <v>2924</v>
      </c>
      <c r="D205" t="s">
        <v>3253</v>
      </c>
      <c r="E205" t="s">
        <v>1584</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108">
        <v>2E-3</v>
      </c>
    </row>
    <row r="206" spans="2:38">
      <c r="B206" t="s">
        <v>1348</v>
      </c>
      <c r="C206" t="s">
        <v>2926</v>
      </c>
      <c r="D206" t="s">
        <v>3254</v>
      </c>
      <c r="E206" t="s">
        <v>1584</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108">
        <v>1.9E-2</v>
      </c>
    </row>
    <row r="207" spans="2:38">
      <c r="B207" t="s">
        <v>1269</v>
      </c>
      <c r="C207" t="s">
        <v>2928</v>
      </c>
      <c r="D207" t="s">
        <v>3255</v>
      </c>
      <c r="E207" t="s">
        <v>1584</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108">
        <v>4.2999999999999997E-2</v>
      </c>
    </row>
    <row r="208" spans="2:38">
      <c r="B208" t="s">
        <v>1278</v>
      </c>
      <c r="C208" t="s">
        <v>2930</v>
      </c>
      <c r="D208" t="s">
        <v>3256</v>
      </c>
      <c r="E208" t="s">
        <v>1584</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108">
        <v>3.5999999999999997E-2</v>
      </c>
    </row>
    <row r="209" spans="2:38">
      <c r="B209" t="s">
        <v>2544</v>
      </c>
      <c r="C209" t="s">
        <v>2932</v>
      </c>
      <c r="D209" t="s">
        <v>3257</v>
      </c>
      <c r="E209" t="s">
        <v>1584</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108">
        <v>4.2000000000000003E-2</v>
      </c>
    </row>
    <row r="210" spans="2:38">
      <c r="B210" t="s">
        <v>1573</v>
      </c>
      <c r="C210" t="s">
        <v>2934</v>
      </c>
      <c r="D210" t="s">
        <v>3258</v>
      </c>
      <c r="E210" t="s">
        <v>1584</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146</v>
      </c>
    </row>
    <row r="211" spans="2:38">
      <c r="B211" t="s">
        <v>2545</v>
      </c>
      <c r="C211" t="s">
        <v>2936</v>
      </c>
      <c r="D211" t="s">
        <v>3259</v>
      </c>
      <c r="E211" t="s">
        <v>1584</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146</v>
      </c>
    </row>
    <row r="212" spans="2:38">
      <c r="B212" t="s">
        <v>2546</v>
      </c>
      <c r="C212" t="s">
        <v>2938</v>
      </c>
      <c r="D212" t="s">
        <v>3260</v>
      </c>
      <c r="E212" t="s">
        <v>1584</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146</v>
      </c>
    </row>
    <row r="213" spans="2:38">
      <c r="B213" t="s">
        <v>1577</v>
      </c>
      <c r="C213" t="s">
        <v>2940</v>
      </c>
      <c r="D213" t="s">
        <v>3261</v>
      </c>
      <c r="E213" t="s">
        <v>1584</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146</v>
      </c>
    </row>
    <row r="214" spans="2:38">
      <c r="B214" t="s">
        <v>2547</v>
      </c>
      <c r="C214" t="s">
        <v>2942</v>
      </c>
      <c r="D214" t="s">
        <v>3262</v>
      </c>
      <c r="E214" t="s">
        <v>1584</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108">
        <v>1.2999999999999999E-2</v>
      </c>
    </row>
    <row r="215" spans="2:38">
      <c r="B215" t="s">
        <v>1219</v>
      </c>
      <c r="D215" t="s">
        <v>3263</v>
      </c>
    </row>
    <row r="216" spans="2:38">
      <c r="B216" t="s">
        <v>1262</v>
      </c>
      <c r="C216" t="s">
        <v>2945</v>
      </c>
      <c r="D216" t="s">
        <v>3264</v>
      </c>
      <c r="E216" t="s">
        <v>1584</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108">
        <v>1.7000000000000001E-2</v>
      </c>
    </row>
    <row r="217" spans="2:38">
      <c r="B217" t="s">
        <v>1348</v>
      </c>
      <c r="C217" t="s">
        <v>2947</v>
      </c>
      <c r="D217" t="s">
        <v>3265</v>
      </c>
      <c r="E217" t="s">
        <v>1584</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108">
        <v>1.6E-2</v>
      </c>
    </row>
    <row r="218" spans="2:38">
      <c r="B218" t="s">
        <v>1269</v>
      </c>
      <c r="C218" t="s">
        <v>2949</v>
      </c>
      <c r="D218" t="s">
        <v>3266</v>
      </c>
      <c r="E218" t="s">
        <v>1584</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108">
        <v>3.6999999999999998E-2</v>
      </c>
    </row>
    <row r="219" spans="2:38">
      <c r="B219" t="s">
        <v>1278</v>
      </c>
      <c r="C219" t="s">
        <v>2951</v>
      </c>
      <c r="D219" t="s">
        <v>3267</v>
      </c>
      <c r="E219" t="s">
        <v>1584</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108">
        <v>2.3E-2</v>
      </c>
    </row>
    <row r="220" spans="2:38">
      <c r="B220" t="s">
        <v>2544</v>
      </c>
      <c r="C220" t="s">
        <v>2953</v>
      </c>
      <c r="D220" t="s">
        <v>3268</v>
      </c>
      <c r="E220" t="s">
        <v>1584</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108">
        <v>4.2000000000000003E-2</v>
      </c>
    </row>
    <row r="221" spans="2:38">
      <c r="B221" t="s">
        <v>1573</v>
      </c>
      <c r="C221" t="s">
        <v>2955</v>
      </c>
      <c r="D221" t="s">
        <v>3269</v>
      </c>
      <c r="E221" t="s">
        <v>1584</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146</v>
      </c>
    </row>
    <row r="222" spans="2:38">
      <c r="B222" t="s">
        <v>2545</v>
      </c>
      <c r="C222" t="s">
        <v>2957</v>
      </c>
      <c r="D222" t="s">
        <v>3270</v>
      </c>
      <c r="E222" t="s">
        <v>1584</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146</v>
      </c>
    </row>
    <row r="223" spans="2:38">
      <c r="B223" t="s">
        <v>2546</v>
      </c>
      <c r="C223" t="s">
        <v>2959</v>
      </c>
      <c r="D223" t="s">
        <v>3271</v>
      </c>
      <c r="E223" t="s">
        <v>1584</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146</v>
      </c>
    </row>
    <row r="224" spans="2:38">
      <c r="B224" t="s">
        <v>1577</v>
      </c>
      <c r="C224" t="s">
        <v>2961</v>
      </c>
      <c r="D224" t="s">
        <v>3272</v>
      </c>
      <c r="E224" t="s">
        <v>1584</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146</v>
      </c>
    </row>
    <row r="225" spans="2:38">
      <c r="B225" t="s">
        <v>2548</v>
      </c>
      <c r="C225" t="s">
        <v>2963</v>
      </c>
      <c r="D225" t="s">
        <v>3273</v>
      </c>
      <c r="E225" t="s">
        <v>1584</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108">
        <v>1.7999999999999999E-2</v>
      </c>
    </row>
    <row r="226" spans="2:38">
      <c r="B226" t="s">
        <v>2549</v>
      </c>
      <c r="D226" t="s">
        <v>3274</v>
      </c>
    </row>
    <row r="227" spans="2:38">
      <c r="B227" t="s">
        <v>1262</v>
      </c>
      <c r="C227" t="s">
        <v>2966</v>
      </c>
      <c r="D227" t="s">
        <v>3275</v>
      </c>
      <c r="E227" t="s">
        <v>1584</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108">
        <v>-6.0000000000000001E-3</v>
      </c>
    </row>
    <row r="228" spans="2:38">
      <c r="B228" t="s">
        <v>1348</v>
      </c>
      <c r="C228" t="s">
        <v>2968</v>
      </c>
      <c r="D228" t="s">
        <v>3276</v>
      </c>
      <c r="E228" t="s">
        <v>1584</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108">
        <v>-4.0000000000000001E-3</v>
      </c>
    </row>
    <row r="229" spans="2:38">
      <c r="B229" t="s">
        <v>1269</v>
      </c>
      <c r="C229" t="s">
        <v>2970</v>
      </c>
      <c r="D229" t="s">
        <v>3277</v>
      </c>
      <c r="E229" t="s">
        <v>1584</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108">
        <v>-0.01</v>
      </c>
    </row>
    <row r="230" spans="2:38">
      <c r="B230" t="s">
        <v>1278</v>
      </c>
      <c r="C230" t="s">
        <v>2972</v>
      </c>
      <c r="D230" t="s">
        <v>3278</v>
      </c>
      <c r="E230" t="s">
        <v>1584</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108">
        <v>0.03</v>
      </c>
    </row>
    <row r="231" spans="2:38">
      <c r="B231" t="s">
        <v>2544</v>
      </c>
      <c r="C231" t="s">
        <v>2974</v>
      </c>
      <c r="D231" t="s">
        <v>3279</v>
      </c>
      <c r="E231" t="s">
        <v>1584</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146</v>
      </c>
    </row>
    <row r="232" spans="2:38">
      <c r="B232" t="s">
        <v>1573</v>
      </c>
      <c r="C232" t="s">
        <v>2976</v>
      </c>
      <c r="D232" t="s">
        <v>3280</v>
      </c>
      <c r="E232" t="s">
        <v>1584</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146</v>
      </c>
    </row>
    <row r="233" spans="2:38">
      <c r="B233" t="s">
        <v>2545</v>
      </c>
      <c r="C233" t="s">
        <v>2978</v>
      </c>
      <c r="D233" t="s">
        <v>3281</v>
      </c>
      <c r="E233" t="s">
        <v>1584</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108">
        <v>6.4000000000000001E-2</v>
      </c>
    </row>
    <row r="234" spans="2:38">
      <c r="B234" t="s">
        <v>2546</v>
      </c>
      <c r="C234" t="s">
        <v>2980</v>
      </c>
      <c r="D234" t="s">
        <v>3282</v>
      </c>
      <c r="E234" t="s">
        <v>1584</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108">
        <v>6.3E-2</v>
      </c>
    </row>
    <row r="235" spans="2:38">
      <c r="B235" t="s">
        <v>1577</v>
      </c>
      <c r="C235" t="s">
        <v>2982</v>
      </c>
      <c r="D235" t="s">
        <v>3283</v>
      </c>
      <c r="E235" t="s">
        <v>1584</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108">
        <v>7.0000000000000007E-2</v>
      </c>
    </row>
    <row r="236" spans="2:38">
      <c r="B236" t="s">
        <v>2550</v>
      </c>
      <c r="C236" t="s">
        <v>2984</v>
      </c>
      <c r="D236" t="s">
        <v>3284</v>
      </c>
      <c r="E236" t="s">
        <v>1584</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108">
        <v>-4.0000000000000001E-3</v>
      </c>
    </row>
    <row r="237" spans="2:38">
      <c r="B237" t="s">
        <v>1569</v>
      </c>
      <c r="C237" t="s">
        <v>2986</v>
      </c>
      <c r="D237" t="s">
        <v>3285</v>
      </c>
      <c r="E237" t="s">
        <v>1584</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108">
        <v>8.9999999999999993E-3</v>
      </c>
    </row>
    <row r="238" spans="2:38">
      <c r="B238" t="s">
        <v>634</v>
      </c>
      <c r="D238" t="s">
        <v>3286</v>
      </c>
    </row>
    <row r="239" spans="2:38">
      <c r="B239" t="s">
        <v>2561</v>
      </c>
      <c r="C239" t="s">
        <v>2989</v>
      </c>
      <c r="D239" t="s">
        <v>3287</v>
      </c>
      <c r="E239" t="s">
        <v>2991</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108">
        <v>1E-3</v>
      </c>
    </row>
    <row r="240" spans="2:38">
      <c r="B240" t="s">
        <v>2562</v>
      </c>
      <c r="C240" t="s">
        <v>2992</v>
      </c>
      <c r="D240" t="s">
        <v>3288</v>
      </c>
      <c r="E240" t="s">
        <v>2994</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108">
        <v>6.0000000000000001E-3</v>
      </c>
    </row>
    <row r="241" spans="2:38">
      <c r="B241" t="s">
        <v>133</v>
      </c>
      <c r="D241" t="s">
        <v>3289</v>
      </c>
    </row>
    <row r="242" spans="2:38">
      <c r="B242" t="s">
        <v>1347</v>
      </c>
      <c r="C242" t="s">
        <v>2996</v>
      </c>
      <c r="D242" t="s">
        <v>3290</v>
      </c>
      <c r="E242" t="s">
        <v>1290</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108">
        <v>-2.4E-2</v>
      </c>
    </row>
    <row r="243" spans="2:38">
      <c r="B243" t="s">
        <v>1253</v>
      </c>
      <c r="C243" t="s">
        <v>2998</v>
      </c>
      <c r="D243" t="s">
        <v>3291</v>
      </c>
      <c r="E243" t="s">
        <v>1290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146</v>
      </c>
    </row>
    <row r="244" spans="2:38">
      <c r="B244" t="s">
        <v>1350</v>
      </c>
      <c r="C244" t="s">
        <v>3000</v>
      </c>
      <c r="D244" t="s">
        <v>3292</v>
      </c>
      <c r="E244" t="s">
        <v>1290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146</v>
      </c>
    </row>
    <row r="245" spans="2:38">
      <c r="B245" t="s">
        <v>1351</v>
      </c>
      <c r="C245" t="s">
        <v>3002</v>
      </c>
      <c r="D245" t="s">
        <v>3293</v>
      </c>
      <c r="E245" t="s">
        <v>1290</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146</v>
      </c>
    </row>
    <row r="246" spans="2:38">
      <c r="B246" t="s">
        <v>627</v>
      </c>
      <c r="D246" t="s">
        <v>3294</v>
      </c>
    </row>
    <row r="247" spans="2:38">
      <c r="B247" t="s">
        <v>2563</v>
      </c>
      <c r="C247" t="s">
        <v>3005</v>
      </c>
      <c r="D247" t="s">
        <v>3295</v>
      </c>
      <c r="E247" t="s">
        <v>2991</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108">
        <v>-1.2999999999999999E-2</v>
      </c>
    </row>
    <row r="248" spans="2:38">
      <c r="B248" t="s">
        <v>2562</v>
      </c>
      <c r="C248" t="s">
        <v>3007</v>
      </c>
      <c r="D248" t="s">
        <v>3296</v>
      </c>
      <c r="E248" t="s">
        <v>2994</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108">
        <v>6.0000000000000001E-3</v>
      </c>
    </row>
    <row r="249" spans="2:38">
      <c r="B249" t="s">
        <v>133</v>
      </c>
      <c r="D249" t="s">
        <v>3297</v>
      </c>
    </row>
    <row r="250" spans="2:38">
      <c r="B250" t="s">
        <v>1347</v>
      </c>
      <c r="C250" t="s">
        <v>3010</v>
      </c>
      <c r="D250" t="s">
        <v>3298</v>
      </c>
      <c r="E250" t="s">
        <v>1290</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108">
        <v>-1.9E-2</v>
      </c>
    </row>
    <row r="251" spans="2:38">
      <c r="B251" t="s">
        <v>1253</v>
      </c>
      <c r="C251" t="s">
        <v>3012</v>
      </c>
      <c r="D251" t="s">
        <v>3299</v>
      </c>
      <c r="E251" t="s">
        <v>1290</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108">
        <v>-7.0999999999999994E-2</v>
      </c>
    </row>
    <row r="252" spans="2:38">
      <c r="B252" t="s">
        <v>1350</v>
      </c>
      <c r="C252" t="s">
        <v>3014</v>
      </c>
      <c r="D252" t="s">
        <v>3300</v>
      </c>
      <c r="E252" t="s">
        <v>1290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146</v>
      </c>
    </row>
    <row r="253" spans="2:38">
      <c r="B253" t="s">
        <v>1351</v>
      </c>
      <c r="C253" t="s">
        <v>3016</v>
      </c>
      <c r="D253" t="s">
        <v>3301</v>
      </c>
      <c r="E253" t="s">
        <v>1290</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108">
        <v>4.4999999999999998E-2</v>
      </c>
    </row>
    <row r="254" spans="2:38">
      <c r="B254" t="s">
        <v>620</v>
      </c>
      <c r="D254" t="s">
        <v>3302</v>
      </c>
    </row>
    <row r="255" spans="2:38">
      <c r="B255" t="s">
        <v>2564</v>
      </c>
      <c r="C255" t="s">
        <v>3019</v>
      </c>
      <c r="D255" t="s">
        <v>3303</v>
      </c>
      <c r="E255" t="s">
        <v>3021</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108">
        <v>3.1E-2</v>
      </c>
    </row>
    <row r="256" spans="2:38">
      <c r="B256" t="s">
        <v>2565</v>
      </c>
      <c r="C256" t="s">
        <v>3022</v>
      </c>
      <c r="D256" t="s">
        <v>3304</v>
      </c>
      <c r="E256" t="s">
        <v>3021</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108">
        <v>3.3000000000000002E-2</v>
      </c>
    </row>
    <row r="257" spans="2:38">
      <c r="B257" t="s">
        <v>2566</v>
      </c>
      <c r="C257" t="s">
        <v>3024</v>
      </c>
      <c r="D257" t="s">
        <v>3305</v>
      </c>
      <c r="E257" t="s">
        <v>3021</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108">
        <v>2.9000000000000001E-2</v>
      </c>
    </row>
    <row r="258" spans="2:38">
      <c r="B258" t="s">
        <v>133</v>
      </c>
      <c r="D258" t="s">
        <v>3306</v>
      </c>
    </row>
    <row r="259" spans="2:38">
      <c r="B259" t="s">
        <v>1347</v>
      </c>
      <c r="C259" t="s">
        <v>3027</v>
      </c>
      <c r="D259" t="s">
        <v>3307</v>
      </c>
      <c r="E259" t="s">
        <v>1290</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108">
        <v>-7.0000000000000001E-3</v>
      </c>
    </row>
    <row r="260" spans="2:38">
      <c r="B260" t="s">
        <v>1253</v>
      </c>
      <c r="C260" t="s">
        <v>3029</v>
      </c>
      <c r="D260" t="s">
        <v>3308</v>
      </c>
      <c r="E260" t="s">
        <v>1290</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108">
        <v>-0.01</v>
      </c>
    </row>
    <row r="261" spans="2:38">
      <c r="B261" t="s">
        <v>1350</v>
      </c>
      <c r="C261" t="s">
        <v>3031</v>
      </c>
      <c r="D261" t="s">
        <v>3309</v>
      </c>
      <c r="E261" t="s">
        <v>1290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146</v>
      </c>
    </row>
    <row r="262" spans="2:38">
      <c r="B262" t="s">
        <v>1351</v>
      </c>
      <c r="C262" t="s">
        <v>3033</v>
      </c>
      <c r="D262" t="s">
        <v>3310</v>
      </c>
      <c r="E262" t="s">
        <v>1290</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108">
        <v>7.8E-2</v>
      </c>
    </row>
  </sheetData>
  <phoneticPr fontId="5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198"/>
  <sheetViews>
    <sheetView zoomScaleNormal="100" workbookViewId="0">
      <selection activeCell="A2" sqref="A2:B32"/>
    </sheetView>
  </sheetViews>
  <sheetFormatPr defaultColWidth="9.125" defaultRowHeight="12.9"/>
  <cols>
    <col min="1" max="1" width="14.625" customWidth="1"/>
    <col min="2" max="2" width="18.25" customWidth="1"/>
    <col min="3" max="3" width="19.5" customWidth="1"/>
    <col min="4" max="4" width="19.375" style="40" customWidth="1"/>
    <col min="5" max="5" width="16.625" customWidth="1"/>
    <col min="6" max="6" width="11.875" customWidth="1"/>
    <col min="11" max="11" width="15.25" customWidth="1"/>
    <col min="12" max="12" width="14.75" customWidth="1"/>
    <col min="13" max="13" width="13.125" customWidth="1"/>
  </cols>
  <sheetData>
    <row r="1" spans="1:33" s="1" customFormat="1">
      <c r="A1" s="1" t="s">
        <v>3035</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row>
    <row r="2" spans="1:33" ht="13.6">
      <c r="A2" s="114" t="s">
        <v>114</v>
      </c>
      <c r="B2" s="110" t="s">
        <v>870</v>
      </c>
      <c r="C2">
        <f>INDEX('AEO 40'!G:G,MATCH('psgr LDVs'!$B2,'AEO 40'!$B:$B,0))</f>
        <v>41.799618000000002</v>
      </c>
      <c r="D2">
        <f>INDEX('AEO 40'!H:H,MATCH('psgr LDVs'!$B2,'AEO 40'!$B:$B,0))</f>
        <v>43.725628</v>
      </c>
      <c r="E2">
        <f>INDEX('AEO 40'!I:I,MATCH('psgr LDVs'!$B2,'AEO 40'!$B:$B,0))</f>
        <v>44.206856000000002</v>
      </c>
      <c r="F2">
        <f>INDEX('AEO 40'!J:J,MATCH('psgr LDVs'!$B2,'AEO 40'!$B:$B,0))</f>
        <v>44.834556999999997</v>
      </c>
      <c r="G2">
        <f>INDEX('AEO 40'!K:K,MATCH('psgr LDVs'!$B2,'AEO 40'!$B:$B,0))</f>
        <v>45.396872999999999</v>
      </c>
      <c r="H2">
        <f>INDEX('AEO 40'!L:L,MATCH('psgr LDVs'!$B2,'AEO 40'!$B:$B,0))</f>
        <v>45.904418999999997</v>
      </c>
      <c r="I2">
        <f>INDEX('AEO 40'!M:M,MATCH('psgr LDVs'!$B2,'AEO 40'!$B:$B,0))</f>
        <v>46.549140999999999</v>
      </c>
      <c r="J2">
        <f>INDEX('AEO 40'!N:N,MATCH('psgr LDVs'!$B2,'AEO 40'!$B:$B,0))</f>
        <v>46.557521999999999</v>
      </c>
      <c r="K2">
        <f>INDEX('AEO 40'!O:O,MATCH('psgr LDVs'!$B2,'AEO 40'!$B:$B,0))</f>
        <v>46.492728999999997</v>
      </c>
      <c r="L2">
        <f>INDEX('AEO 40'!P:P,MATCH('psgr LDVs'!$B2,'AEO 40'!$B:$B,0))</f>
        <v>46.427345000000003</v>
      </c>
      <c r="M2">
        <f>INDEX('AEO 40'!Q:Q,MATCH('psgr LDVs'!$B2,'AEO 40'!$B:$B,0))</f>
        <v>46.381999999999998</v>
      </c>
      <c r="N2">
        <f>INDEX('AEO 40'!R:R,MATCH('psgr LDVs'!$B2,'AEO 40'!$B:$B,0))</f>
        <v>46.339816999999996</v>
      </c>
      <c r="O2">
        <f>INDEX('AEO 40'!S:S,MATCH('psgr LDVs'!$B2,'AEO 40'!$B:$B,0))</f>
        <v>46.277225000000001</v>
      </c>
      <c r="P2">
        <f>INDEX('AEO 40'!T:T,MATCH('psgr LDVs'!$B2,'AEO 40'!$B:$B,0))</f>
        <v>46.229134000000002</v>
      </c>
      <c r="Q2">
        <f>INDEX('AEO 40'!U:U,MATCH('psgr LDVs'!$B2,'AEO 40'!$B:$B,0))</f>
        <v>46.176754000000003</v>
      </c>
      <c r="R2">
        <f>INDEX('AEO 40'!V:V,MATCH('psgr LDVs'!$B2,'AEO 40'!$B:$B,0))</f>
        <v>46.111888999999998</v>
      </c>
      <c r="S2">
        <f>INDEX('AEO 40'!W:W,MATCH('psgr LDVs'!$B2,'AEO 40'!$B:$B,0))</f>
        <v>46.038218999999998</v>
      </c>
      <c r="T2">
        <f>INDEX('AEO 40'!X:X,MATCH('psgr LDVs'!$B2,'AEO 40'!$B:$B,0))</f>
        <v>45.977187999999998</v>
      </c>
      <c r="U2">
        <f>INDEX('AEO 40'!Y:Y,MATCH('psgr LDVs'!$B2,'AEO 40'!$B:$B,0))</f>
        <v>45.919724000000002</v>
      </c>
      <c r="V2">
        <f>INDEX('AEO 40'!Z:Z,MATCH('psgr LDVs'!$B2,'AEO 40'!$B:$B,0))</f>
        <v>45.853873999999998</v>
      </c>
      <c r="W2">
        <f>INDEX('AEO 40'!AA:AA,MATCH('psgr LDVs'!$B2,'AEO 40'!$B:$B,0))</f>
        <v>45.786766</v>
      </c>
      <c r="X2">
        <f>INDEX('AEO 40'!AB:AB,MATCH('psgr LDVs'!$B2,'AEO 40'!$B:$B,0))</f>
        <v>45.726635000000002</v>
      </c>
      <c r="Y2">
        <f>INDEX('AEO 40'!AC:AC,MATCH('psgr LDVs'!$B2,'AEO 40'!$B:$B,0))</f>
        <v>45.664349000000001</v>
      </c>
      <c r="Z2">
        <f>INDEX('AEO 40'!AD:AD,MATCH('psgr LDVs'!$B2,'AEO 40'!$B:$B,0))</f>
        <v>45.600501999999999</v>
      </c>
      <c r="AA2">
        <f>INDEX('AEO 40'!AE:AE,MATCH('psgr LDVs'!$B2,'AEO 40'!$B:$B,0))</f>
        <v>45.544719999999998</v>
      </c>
      <c r="AB2">
        <f>INDEX('AEO 40'!AF:AF,MATCH('psgr LDVs'!$B2,'AEO 40'!$B:$B,0))</f>
        <v>45.488106000000002</v>
      </c>
      <c r="AC2">
        <f>INDEX('AEO 40'!AG:AG,MATCH('psgr LDVs'!$B2,'AEO 40'!$B:$B,0))</f>
        <v>45.432502999999997</v>
      </c>
      <c r="AD2">
        <f>INDEX('AEO 40'!AH:AH,MATCH('psgr LDVs'!$B2,'AEO 40'!$B:$B,0))</f>
        <v>45.378571000000001</v>
      </c>
      <c r="AE2">
        <f>INDEX('AEO 40'!AI:AI,MATCH('psgr LDVs'!$B2,'AEO 40'!$B:$B,0))</f>
        <v>45.317413000000002</v>
      </c>
      <c r="AF2">
        <f>INDEX('AEO 40'!AJ:AJ,MATCH('psgr LDVs'!$B2,'AEO 40'!$B:$B,0))</f>
        <v>45.261752999999999</v>
      </c>
      <c r="AG2">
        <f>INDEX('AEO 40'!AK:AK,MATCH('psgr LDVs'!$B2,'AEO 40'!$B:$B,0))</f>
        <v>45.207706000000002</v>
      </c>
    </row>
    <row r="3" spans="1:33" ht="13.6">
      <c r="A3" s="114" t="s">
        <v>115</v>
      </c>
      <c r="B3" s="110" t="s">
        <v>871</v>
      </c>
      <c r="C3">
        <f>INDEX('AEO 40'!G:G,MATCH('psgr LDVs'!$B3,'AEO 40'!$B:$B,0))</f>
        <v>50.328570999999997</v>
      </c>
      <c r="D3">
        <f>INDEX('AEO 40'!H:H,MATCH('psgr LDVs'!$B3,'AEO 40'!$B:$B,0))</f>
        <v>51.880276000000002</v>
      </c>
      <c r="E3">
        <f>INDEX('AEO 40'!I:I,MATCH('psgr LDVs'!$B3,'AEO 40'!$B:$B,0))</f>
        <v>51.761265000000002</v>
      </c>
      <c r="F3">
        <f>INDEX('AEO 40'!J:J,MATCH('psgr LDVs'!$B3,'AEO 40'!$B:$B,0))</f>
        <v>52.092174999999997</v>
      </c>
      <c r="G3">
        <f>INDEX('AEO 40'!K:K,MATCH('psgr LDVs'!$B3,'AEO 40'!$B:$B,0))</f>
        <v>52.547035000000001</v>
      </c>
      <c r="H3">
        <f>INDEX('AEO 40'!L:L,MATCH('psgr LDVs'!$B3,'AEO 40'!$B:$B,0))</f>
        <v>52.965958000000001</v>
      </c>
      <c r="I3">
        <f>INDEX('AEO 40'!M:M,MATCH('psgr LDVs'!$B3,'AEO 40'!$B:$B,0))</f>
        <v>53.386623</v>
      </c>
      <c r="J3">
        <f>INDEX('AEO 40'!N:N,MATCH('psgr LDVs'!$B3,'AEO 40'!$B:$B,0))</f>
        <v>53.329661999999999</v>
      </c>
      <c r="K3">
        <f>INDEX('AEO 40'!O:O,MATCH('psgr LDVs'!$B3,'AEO 40'!$B:$B,0))</f>
        <v>53.245403000000003</v>
      </c>
      <c r="L3">
        <f>INDEX('AEO 40'!P:P,MATCH('psgr LDVs'!$B3,'AEO 40'!$B:$B,0))</f>
        <v>53.169589999999999</v>
      </c>
      <c r="M3">
        <f>INDEX('AEO 40'!Q:Q,MATCH('psgr LDVs'!$B3,'AEO 40'!$B:$B,0))</f>
        <v>53.148659000000002</v>
      </c>
      <c r="N3">
        <f>INDEX('AEO 40'!R:R,MATCH('psgr LDVs'!$B3,'AEO 40'!$B:$B,0))</f>
        <v>53.052418000000003</v>
      </c>
      <c r="O3">
        <f>INDEX('AEO 40'!S:S,MATCH('psgr LDVs'!$B3,'AEO 40'!$B:$B,0))</f>
        <v>52.988117000000003</v>
      </c>
      <c r="P3">
        <f>INDEX('AEO 40'!T:T,MATCH('psgr LDVs'!$B3,'AEO 40'!$B:$B,0))</f>
        <v>52.917167999999997</v>
      </c>
      <c r="Q3">
        <f>INDEX('AEO 40'!U:U,MATCH('psgr LDVs'!$B3,'AEO 40'!$B:$B,0))</f>
        <v>52.845768</v>
      </c>
      <c r="R3">
        <f>INDEX('AEO 40'!V:V,MATCH('psgr LDVs'!$B3,'AEO 40'!$B:$B,0))</f>
        <v>52.736977000000003</v>
      </c>
      <c r="S3">
        <f>INDEX('AEO 40'!W:W,MATCH('psgr LDVs'!$B3,'AEO 40'!$B:$B,0))</f>
        <v>52.646847000000001</v>
      </c>
      <c r="T3">
        <f>INDEX('AEO 40'!X:X,MATCH('psgr LDVs'!$B3,'AEO 40'!$B:$B,0))</f>
        <v>52.577888000000002</v>
      </c>
      <c r="U3">
        <f>INDEX('AEO 40'!Y:Y,MATCH('psgr LDVs'!$B3,'AEO 40'!$B:$B,0))</f>
        <v>52.507483999999998</v>
      </c>
      <c r="V3">
        <f>INDEX('AEO 40'!Z:Z,MATCH('psgr LDVs'!$B3,'AEO 40'!$B:$B,0))</f>
        <v>52.415011999999997</v>
      </c>
      <c r="W3">
        <f>INDEX('AEO 40'!AA:AA,MATCH('psgr LDVs'!$B3,'AEO 40'!$B:$B,0))</f>
        <v>52.346587999999997</v>
      </c>
      <c r="X3">
        <f>INDEX('AEO 40'!AB:AB,MATCH('psgr LDVs'!$B3,'AEO 40'!$B:$B,0))</f>
        <v>52.274582000000002</v>
      </c>
      <c r="Y3">
        <f>INDEX('AEO 40'!AC:AC,MATCH('psgr LDVs'!$B3,'AEO 40'!$B:$B,0))</f>
        <v>52.196967999999998</v>
      </c>
      <c r="Z3">
        <f>INDEX('AEO 40'!AD:AD,MATCH('psgr LDVs'!$B3,'AEO 40'!$B:$B,0))</f>
        <v>52.127688999999997</v>
      </c>
      <c r="AA3">
        <f>INDEX('AEO 40'!AE:AE,MATCH('psgr LDVs'!$B3,'AEO 40'!$B:$B,0))</f>
        <v>52.063048999999999</v>
      </c>
      <c r="AB3">
        <f>INDEX('AEO 40'!AF:AF,MATCH('psgr LDVs'!$B3,'AEO 40'!$B:$B,0))</f>
        <v>51.996208000000003</v>
      </c>
      <c r="AC3">
        <f>INDEX('AEO 40'!AG:AG,MATCH('psgr LDVs'!$B3,'AEO 40'!$B:$B,0))</f>
        <v>51.923782000000003</v>
      </c>
      <c r="AD3">
        <f>INDEX('AEO 40'!AH:AH,MATCH('psgr LDVs'!$B3,'AEO 40'!$B:$B,0))</f>
        <v>51.858612000000001</v>
      </c>
      <c r="AE3">
        <f>INDEX('AEO 40'!AI:AI,MATCH('psgr LDVs'!$B3,'AEO 40'!$B:$B,0))</f>
        <v>51.782623000000001</v>
      </c>
      <c r="AF3">
        <f>INDEX('AEO 40'!AJ:AJ,MATCH('psgr LDVs'!$B3,'AEO 40'!$B:$B,0))</f>
        <v>51.720424999999999</v>
      </c>
      <c r="AG3">
        <f>INDEX('AEO 40'!AK:AK,MATCH('psgr LDVs'!$B3,'AEO 40'!$B:$B,0))</f>
        <v>51.652042000000002</v>
      </c>
    </row>
    <row r="4" spans="1:33" ht="13.6">
      <c r="A4" s="114"/>
      <c r="B4" s="110"/>
      <c r="C4" t="e">
        <f>INDEX('AEO 40'!G:G,MATCH('psgr LDVs'!$B4,'AEO 40'!$B:$B,0))</f>
        <v>#N/A</v>
      </c>
      <c r="D4" t="e">
        <f>INDEX('AEO 40'!H:H,MATCH('psgr LDVs'!$B4,'AEO 40'!$B:$B,0))</f>
        <v>#N/A</v>
      </c>
      <c r="E4" t="e">
        <f>INDEX('AEO 40'!I:I,MATCH('psgr LDVs'!$B4,'AEO 40'!$B:$B,0))</f>
        <v>#N/A</v>
      </c>
      <c r="F4" t="e">
        <f>INDEX('AEO 40'!J:J,MATCH('psgr LDVs'!$B4,'AEO 40'!$B:$B,0))</f>
        <v>#N/A</v>
      </c>
      <c r="G4" t="e">
        <f>INDEX('AEO 40'!K:K,MATCH('psgr LDVs'!$B4,'AEO 40'!$B:$B,0))</f>
        <v>#N/A</v>
      </c>
      <c r="H4" t="e">
        <f>INDEX('AEO 40'!L:L,MATCH('psgr LDVs'!$B4,'AEO 40'!$B:$B,0))</f>
        <v>#N/A</v>
      </c>
      <c r="I4" t="e">
        <f>INDEX('AEO 40'!M:M,MATCH('psgr LDVs'!$B4,'AEO 40'!$B:$B,0))</f>
        <v>#N/A</v>
      </c>
      <c r="J4" t="e">
        <f>INDEX('AEO 40'!N:N,MATCH('psgr LDVs'!$B4,'AEO 40'!$B:$B,0))</f>
        <v>#N/A</v>
      </c>
      <c r="K4" t="e">
        <f>INDEX('AEO 40'!O:O,MATCH('psgr LDVs'!$B4,'AEO 40'!$B:$B,0))</f>
        <v>#N/A</v>
      </c>
      <c r="L4" t="e">
        <f>INDEX('AEO 40'!P:P,MATCH('psgr LDVs'!$B4,'AEO 40'!$B:$B,0))</f>
        <v>#N/A</v>
      </c>
      <c r="M4" t="e">
        <f>INDEX('AEO 40'!Q:Q,MATCH('psgr LDVs'!$B4,'AEO 40'!$B:$B,0))</f>
        <v>#N/A</v>
      </c>
      <c r="N4" t="e">
        <f>INDEX('AEO 40'!R:R,MATCH('psgr LDVs'!$B4,'AEO 40'!$B:$B,0))</f>
        <v>#N/A</v>
      </c>
      <c r="O4" t="e">
        <f>INDEX('AEO 40'!S:S,MATCH('psgr LDVs'!$B4,'AEO 40'!$B:$B,0))</f>
        <v>#N/A</v>
      </c>
      <c r="P4" t="e">
        <f>INDEX('AEO 40'!T:T,MATCH('psgr LDVs'!$B4,'AEO 40'!$B:$B,0))</f>
        <v>#N/A</v>
      </c>
      <c r="Q4" t="e">
        <f>INDEX('AEO 40'!U:U,MATCH('psgr LDVs'!$B4,'AEO 40'!$B:$B,0))</f>
        <v>#N/A</v>
      </c>
      <c r="R4" t="e">
        <f>INDEX('AEO 40'!V:V,MATCH('psgr LDVs'!$B4,'AEO 40'!$B:$B,0))</f>
        <v>#N/A</v>
      </c>
      <c r="S4" t="e">
        <f>INDEX('AEO 40'!W:W,MATCH('psgr LDVs'!$B4,'AEO 40'!$B:$B,0))</f>
        <v>#N/A</v>
      </c>
      <c r="T4" t="e">
        <f>INDEX('AEO 40'!X:X,MATCH('psgr LDVs'!$B4,'AEO 40'!$B:$B,0))</f>
        <v>#N/A</v>
      </c>
      <c r="U4" t="e">
        <f>INDEX('AEO 40'!Y:Y,MATCH('psgr LDVs'!$B4,'AEO 40'!$B:$B,0))</f>
        <v>#N/A</v>
      </c>
      <c r="V4" t="e">
        <f>INDEX('AEO 40'!Z:Z,MATCH('psgr LDVs'!$B4,'AEO 40'!$B:$B,0))</f>
        <v>#N/A</v>
      </c>
      <c r="W4" t="e">
        <f>INDEX('AEO 40'!AA:AA,MATCH('psgr LDVs'!$B4,'AEO 40'!$B:$B,0))</f>
        <v>#N/A</v>
      </c>
      <c r="X4" t="e">
        <f>INDEX('AEO 40'!AB:AB,MATCH('psgr LDVs'!$B4,'AEO 40'!$B:$B,0))</f>
        <v>#N/A</v>
      </c>
      <c r="Y4" t="e">
        <f>INDEX('AEO 40'!AC:AC,MATCH('psgr LDVs'!$B4,'AEO 40'!$B:$B,0))</f>
        <v>#N/A</v>
      </c>
      <c r="Z4" t="e">
        <f>INDEX('AEO 40'!AD:AD,MATCH('psgr LDVs'!$B4,'AEO 40'!$B:$B,0))</f>
        <v>#N/A</v>
      </c>
      <c r="AA4" t="e">
        <f>INDEX('AEO 40'!AE:AE,MATCH('psgr LDVs'!$B4,'AEO 40'!$B:$B,0))</f>
        <v>#N/A</v>
      </c>
      <c r="AB4" t="e">
        <f>INDEX('AEO 40'!AF:AF,MATCH('psgr LDVs'!$B4,'AEO 40'!$B:$B,0))</f>
        <v>#N/A</v>
      </c>
      <c r="AC4" t="e">
        <f>INDEX('AEO 40'!AG:AG,MATCH('psgr LDVs'!$B4,'AEO 40'!$B:$B,0))</f>
        <v>#N/A</v>
      </c>
      <c r="AD4" t="e">
        <f>INDEX('AEO 40'!AH:AH,MATCH('psgr LDVs'!$B4,'AEO 40'!$B:$B,0))</f>
        <v>#N/A</v>
      </c>
      <c r="AE4" t="e">
        <f>INDEX('AEO 40'!AI:AI,MATCH('psgr LDVs'!$B4,'AEO 40'!$B:$B,0))</f>
        <v>#N/A</v>
      </c>
      <c r="AF4" t="e">
        <f>INDEX('AEO 40'!AJ:AJ,MATCH('psgr LDVs'!$B4,'AEO 40'!$B:$B,0))</f>
        <v>#N/A</v>
      </c>
      <c r="AG4" t="e">
        <f>INDEX('AEO 40'!AK:AK,MATCH('psgr LDVs'!$B4,'AEO 40'!$B:$B,0))</f>
        <v>#N/A</v>
      </c>
    </row>
    <row r="5" spans="1:33" ht="13.6">
      <c r="A5" s="114" t="s">
        <v>114</v>
      </c>
      <c r="B5" s="110" t="s">
        <v>872</v>
      </c>
      <c r="C5">
        <f>INDEX('AEO 40'!G:G,MATCH('psgr LDVs'!$B5,'AEO 40'!$B:$B,0))</f>
        <v>42.419071000000002</v>
      </c>
      <c r="D5">
        <f>INDEX('AEO 40'!H:H,MATCH('psgr LDVs'!$B5,'AEO 40'!$B:$B,0))</f>
        <v>44.545555</v>
      </c>
      <c r="E5">
        <f>INDEX('AEO 40'!I:I,MATCH('psgr LDVs'!$B5,'AEO 40'!$B:$B,0))</f>
        <v>45.043514000000002</v>
      </c>
      <c r="F5">
        <f>INDEX('AEO 40'!J:J,MATCH('psgr LDVs'!$B5,'AEO 40'!$B:$B,0))</f>
        <v>45.670467000000002</v>
      </c>
      <c r="G5">
        <f>INDEX('AEO 40'!K:K,MATCH('psgr LDVs'!$B5,'AEO 40'!$B:$B,0))</f>
        <v>46.221184000000001</v>
      </c>
      <c r="H5">
        <f>INDEX('AEO 40'!L:L,MATCH('psgr LDVs'!$B5,'AEO 40'!$B:$B,0))</f>
        <v>46.746352999999999</v>
      </c>
      <c r="I5">
        <f>INDEX('AEO 40'!M:M,MATCH('psgr LDVs'!$B5,'AEO 40'!$B:$B,0))</f>
        <v>47.385727000000003</v>
      </c>
      <c r="J5">
        <f>INDEX('AEO 40'!N:N,MATCH('psgr LDVs'!$B5,'AEO 40'!$B:$B,0))</f>
        <v>47.398552000000002</v>
      </c>
      <c r="K5">
        <f>INDEX('AEO 40'!O:O,MATCH('psgr LDVs'!$B5,'AEO 40'!$B:$B,0))</f>
        <v>47.328609</v>
      </c>
      <c r="L5">
        <f>INDEX('AEO 40'!P:P,MATCH('psgr LDVs'!$B5,'AEO 40'!$B:$B,0))</f>
        <v>47.267868</v>
      </c>
      <c r="M5">
        <f>INDEX('AEO 40'!Q:Q,MATCH('psgr LDVs'!$B5,'AEO 40'!$B:$B,0))</f>
        <v>47.235832000000002</v>
      </c>
      <c r="N5">
        <f>INDEX('AEO 40'!R:R,MATCH('psgr LDVs'!$B5,'AEO 40'!$B:$B,0))</f>
        <v>47.186988999999997</v>
      </c>
      <c r="O5">
        <f>INDEX('AEO 40'!S:S,MATCH('psgr LDVs'!$B5,'AEO 40'!$B:$B,0))</f>
        <v>47.133087000000003</v>
      </c>
      <c r="P5">
        <f>INDEX('AEO 40'!T:T,MATCH('psgr LDVs'!$B5,'AEO 40'!$B:$B,0))</f>
        <v>47.088272000000003</v>
      </c>
      <c r="Q5">
        <f>INDEX('AEO 40'!U:U,MATCH('psgr LDVs'!$B5,'AEO 40'!$B:$B,0))</f>
        <v>47.044421999999997</v>
      </c>
      <c r="R5">
        <f>INDEX('AEO 40'!V:V,MATCH('psgr LDVs'!$B5,'AEO 40'!$B:$B,0))</f>
        <v>46.978115000000003</v>
      </c>
      <c r="S5">
        <f>INDEX('AEO 40'!W:W,MATCH('psgr LDVs'!$B5,'AEO 40'!$B:$B,0))</f>
        <v>46.912036999999998</v>
      </c>
      <c r="T5">
        <f>INDEX('AEO 40'!X:X,MATCH('psgr LDVs'!$B5,'AEO 40'!$B:$B,0))</f>
        <v>46.857734999999998</v>
      </c>
      <c r="U5">
        <f>INDEX('AEO 40'!Y:Y,MATCH('psgr LDVs'!$B5,'AEO 40'!$B:$B,0))</f>
        <v>46.805317000000002</v>
      </c>
      <c r="V5">
        <f>INDEX('AEO 40'!Z:Z,MATCH('psgr LDVs'!$B5,'AEO 40'!$B:$B,0))</f>
        <v>46.743378</v>
      </c>
      <c r="W5">
        <f>INDEX('AEO 40'!AA:AA,MATCH('psgr LDVs'!$B5,'AEO 40'!$B:$B,0))</f>
        <v>46.682586999999998</v>
      </c>
      <c r="X5">
        <f>INDEX('AEO 40'!AB:AB,MATCH('psgr LDVs'!$B5,'AEO 40'!$B:$B,0))</f>
        <v>46.625461999999999</v>
      </c>
      <c r="Y5">
        <f>INDEX('AEO 40'!AC:AC,MATCH('psgr LDVs'!$B5,'AEO 40'!$B:$B,0))</f>
        <v>46.565105000000003</v>
      </c>
      <c r="Z5">
        <f>INDEX('AEO 40'!AD:AD,MATCH('psgr LDVs'!$B5,'AEO 40'!$B:$B,0))</f>
        <v>46.505737000000003</v>
      </c>
      <c r="AA5">
        <f>INDEX('AEO 40'!AE:AE,MATCH('psgr LDVs'!$B5,'AEO 40'!$B:$B,0))</f>
        <v>46.451934999999999</v>
      </c>
      <c r="AB5">
        <f>INDEX('AEO 40'!AF:AF,MATCH('psgr LDVs'!$B5,'AEO 40'!$B:$B,0))</f>
        <v>46.399368000000003</v>
      </c>
      <c r="AC5">
        <f>INDEX('AEO 40'!AG:AG,MATCH('psgr LDVs'!$B5,'AEO 40'!$B:$B,0))</f>
        <v>46.345348000000001</v>
      </c>
      <c r="AD5">
        <f>INDEX('AEO 40'!AH:AH,MATCH('psgr LDVs'!$B5,'AEO 40'!$B:$B,0))</f>
        <v>46.295414000000001</v>
      </c>
      <c r="AE5">
        <f>INDEX('AEO 40'!AI:AI,MATCH('psgr LDVs'!$B5,'AEO 40'!$B:$B,0))</f>
        <v>46.237533999999997</v>
      </c>
      <c r="AF5">
        <f>INDEX('AEO 40'!AJ:AJ,MATCH('psgr LDVs'!$B5,'AEO 40'!$B:$B,0))</f>
        <v>46.187077000000002</v>
      </c>
      <c r="AG5">
        <f>INDEX('AEO 40'!AK:AK,MATCH('psgr LDVs'!$B5,'AEO 40'!$B:$B,0))</f>
        <v>46.136322</v>
      </c>
    </row>
    <row r="6" spans="1:33" ht="13.6">
      <c r="A6" s="114" t="s">
        <v>112</v>
      </c>
      <c r="B6" s="110" t="s">
        <v>873</v>
      </c>
      <c r="C6">
        <f>INDEX('AEO 40'!G:G,MATCH('psgr LDVs'!$B6,'AEO 40'!$B:$B,0))</f>
        <v>109.580116</v>
      </c>
      <c r="D6">
        <f>INDEX('AEO 40'!H:H,MATCH('psgr LDVs'!$B6,'AEO 40'!$B:$B,0))</f>
        <v>109.936798</v>
      </c>
      <c r="E6">
        <f>INDEX('AEO 40'!I:I,MATCH('psgr LDVs'!$B6,'AEO 40'!$B:$B,0))</f>
        <v>109.774055</v>
      </c>
      <c r="F6">
        <f>INDEX('AEO 40'!J:J,MATCH('psgr LDVs'!$B6,'AEO 40'!$B:$B,0))</f>
        <v>109.872978</v>
      </c>
      <c r="G6">
        <f>INDEX('AEO 40'!K:K,MATCH('psgr LDVs'!$B6,'AEO 40'!$B:$B,0))</f>
        <v>110.022903</v>
      </c>
      <c r="H6">
        <f>INDEX('AEO 40'!L:L,MATCH('psgr LDVs'!$B6,'AEO 40'!$B:$B,0))</f>
        <v>110.26052900000001</v>
      </c>
      <c r="I6">
        <f>INDEX('AEO 40'!M:M,MATCH('psgr LDVs'!$B6,'AEO 40'!$B:$B,0))</f>
        <v>110.539978</v>
      </c>
      <c r="J6">
        <f>INDEX('AEO 40'!N:N,MATCH('psgr LDVs'!$B6,'AEO 40'!$B:$B,0))</f>
        <v>110.398529</v>
      </c>
      <c r="K6">
        <f>INDEX('AEO 40'!O:O,MATCH('psgr LDVs'!$B6,'AEO 40'!$B:$B,0))</f>
        <v>110.30410000000001</v>
      </c>
      <c r="L6">
        <f>INDEX('AEO 40'!P:P,MATCH('psgr LDVs'!$B6,'AEO 40'!$B:$B,0))</f>
        <v>110.258957</v>
      </c>
      <c r="M6">
        <f>INDEX('AEO 40'!Q:Q,MATCH('psgr LDVs'!$B6,'AEO 40'!$B:$B,0))</f>
        <v>110.23505400000001</v>
      </c>
      <c r="N6">
        <f>INDEX('AEO 40'!R:R,MATCH('psgr LDVs'!$B6,'AEO 40'!$B:$B,0))</f>
        <v>110.194389</v>
      </c>
      <c r="O6">
        <f>INDEX('AEO 40'!S:S,MATCH('psgr LDVs'!$B6,'AEO 40'!$B:$B,0))</f>
        <v>110.1772</v>
      </c>
      <c r="P6">
        <f>INDEX('AEO 40'!T:T,MATCH('psgr LDVs'!$B6,'AEO 40'!$B:$B,0))</f>
        <v>110.16377300000001</v>
      </c>
      <c r="Q6">
        <f>INDEX('AEO 40'!U:U,MATCH('psgr LDVs'!$B6,'AEO 40'!$B:$B,0))</f>
        <v>110.161148</v>
      </c>
      <c r="R6">
        <f>INDEX('AEO 40'!V:V,MATCH('psgr LDVs'!$B6,'AEO 40'!$B:$B,0))</f>
        <v>110.154381</v>
      </c>
      <c r="S6">
        <f>INDEX('AEO 40'!W:W,MATCH('psgr LDVs'!$B6,'AEO 40'!$B:$B,0))</f>
        <v>110.15295399999999</v>
      </c>
      <c r="T6">
        <f>INDEX('AEO 40'!X:X,MATCH('psgr LDVs'!$B6,'AEO 40'!$B:$B,0))</f>
        <v>110.150955</v>
      </c>
      <c r="U6">
        <f>INDEX('AEO 40'!Y:Y,MATCH('psgr LDVs'!$B6,'AEO 40'!$B:$B,0))</f>
        <v>110.155235</v>
      </c>
      <c r="V6">
        <f>INDEX('AEO 40'!Z:Z,MATCH('psgr LDVs'!$B6,'AEO 40'!$B:$B,0))</f>
        <v>110.15574599999999</v>
      </c>
      <c r="W6">
        <f>INDEX('AEO 40'!AA:AA,MATCH('psgr LDVs'!$B6,'AEO 40'!$B:$B,0))</f>
        <v>110.16171300000001</v>
      </c>
      <c r="X6">
        <f>INDEX('AEO 40'!AB:AB,MATCH('psgr LDVs'!$B6,'AEO 40'!$B:$B,0))</f>
        <v>110.151611</v>
      </c>
      <c r="Y6">
        <f>INDEX('AEO 40'!AC:AC,MATCH('psgr LDVs'!$B6,'AEO 40'!$B:$B,0))</f>
        <v>110.14954400000001</v>
      </c>
      <c r="Z6">
        <f>INDEX('AEO 40'!AD:AD,MATCH('psgr LDVs'!$B6,'AEO 40'!$B:$B,0))</f>
        <v>110.15521200000001</v>
      </c>
      <c r="AA6">
        <f>INDEX('AEO 40'!AE:AE,MATCH('psgr LDVs'!$B6,'AEO 40'!$B:$B,0))</f>
        <v>110.160606</v>
      </c>
      <c r="AB6">
        <f>INDEX('AEO 40'!AF:AF,MATCH('psgr LDVs'!$B6,'AEO 40'!$B:$B,0))</f>
        <v>110.16355900000001</v>
      </c>
      <c r="AC6">
        <f>INDEX('AEO 40'!AG:AG,MATCH('psgr LDVs'!$B6,'AEO 40'!$B:$B,0))</f>
        <v>110.163521</v>
      </c>
      <c r="AD6">
        <f>INDEX('AEO 40'!AH:AH,MATCH('psgr LDVs'!$B6,'AEO 40'!$B:$B,0))</f>
        <v>110.16733600000001</v>
      </c>
      <c r="AE6">
        <f>INDEX('AEO 40'!AI:AI,MATCH('psgr LDVs'!$B6,'AEO 40'!$B:$B,0))</f>
        <v>110.160225</v>
      </c>
      <c r="AF6">
        <f>INDEX('AEO 40'!AJ:AJ,MATCH('psgr LDVs'!$B6,'AEO 40'!$B:$B,0))</f>
        <v>110.160065</v>
      </c>
      <c r="AG6">
        <f>INDEX('AEO 40'!AK:AK,MATCH('psgr LDVs'!$B6,'AEO 40'!$B:$B,0))</f>
        <v>110.152924</v>
      </c>
    </row>
    <row r="7" spans="1:33" ht="13.6">
      <c r="A7" s="114" t="s">
        <v>112</v>
      </c>
      <c r="B7" s="110" t="s">
        <v>874</v>
      </c>
      <c r="C7">
        <f>INDEX('AEO 40'!G:G,MATCH('psgr LDVs'!$B7,'AEO 40'!$B:$B,0))</f>
        <v>120.13919799999999</v>
      </c>
      <c r="D7">
        <f>INDEX('AEO 40'!H:H,MATCH('psgr LDVs'!$B7,'AEO 40'!$B:$B,0))</f>
        <v>120.751869</v>
      </c>
      <c r="E7">
        <f>INDEX('AEO 40'!I:I,MATCH('psgr LDVs'!$B7,'AEO 40'!$B:$B,0))</f>
        <v>120.242271</v>
      </c>
      <c r="F7">
        <f>INDEX('AEO 40'!J:J,MATCH('psgr LDVs'!$B7,'AEO 40'!$B:$B,0))</f>
        <v>119.91529800000001</v>
      </c>
      <c r="G7">
        <f>INDEX('AEO 40'!K:K,MATCH('psgr LDVs'!$B7,'AEO 40'!$B:$B,0))</f>
        <v>119.973167</v>
      </c>
      <c r="H7">
        <f>INDEX('AEO 40'!L:L,MATCH('psgr LDVs'!$B7,'AEO 40'!$B:$B,0))</f>
        <v>120.16449</v>
      </c>
      <c r="I7">
        <f>INDEX('AEO 40'!M:M,MATCH('psgr LDVs'!$B7,'AEO 40'!$B:$B,0))</f>
        <v>120.657539</v>
      </c>
      <c r="J7">
        <f>INDEX('AEO 40'!N:N,MATCH('psgr LDVs'!$B7,'AEO 40'!$B:$B,0))</f>
        <v>120.58828</v>
      </c>
      <c r="K7">
        <f>INDEX('AEO 40'!O:O,MATCH('psgr LDVs'!$B7,'AEO 40'!$B:$B,0))</f>
        <v>120.567459</v>
      </c>
      <c r="L7">
        <f>INDEX('AEO 40'!P:P,MATCH('psgr LDVs'!$B7,'AEO 40'!$B:$B,0))</f>
        <v>120.558105</v>
      </c>
      <c r="M7">
        <f>INDEX('AEO 40'!Q:Q,MATCH('psgr LDVs'!$B7,'AEO 40'!$B:$B,0))</f>
        <v>120.57305100000001</v>
      </c>
      <c r="N7">
        <f>INDEX('AEO 40'!R:R,MATCH('psgr LDVs'!$B7,'AEO 40'!$B:$B,0))</f>
        <v>120.533592</v>
      </c>
      <c r="O7">
        <f>INDEX('AEO 40'!S:S,MATCH('psgr LDVs'!$B7,'AEO 40'!$B:$B,0))</f>
        <v>120.54599</v>
      </c>
      <c r="P7">
        <f>INDEX('AEO 40'!T:T,MATCH('psgr LDVs'!$B7,'AEO 40'!$B:$B,0))</f>
        <v>120.53976400000001</v>
      </c>
      <c r="Q7">
        <f>INDEX('AEO 40'!U:U,MATCH('psgr LDVs'!$B7,'AEO 40'!$B:$B,0))</f>
        <v>120.557152</v>
      </c>
      <c r="R7">
        <f>INDEX('AEO 40'!V:V,MATCH('psgr LDVs'!$B7,'AEO 40'!$B:$B,0))</f>
        <v>120.55928</v>
      </c>
      <c r="S7">
        <f>INDEX('AEO 40'!W:W,MATCH('psgr LDVs'!$B7,'AEO 40'!$B:$B,0))</f>
        <v>120.586426</v>
      </c>
      <c r="T7">
        <f>INDEX('AEO 40'!X:X,MATCH('psgr LDVs'!$B7,'AEO 40'!$B:$B,0))</f>
        <v>120.6091</v>
      </c>
      <c r="U7">
        <f>INDEX('AEO 40'!Y:Y,MATCH('psgr LDVs'!$B7,'AEO 40'!$B:$B,0))</f>
        <v>120.629227</v>
      </c>
      <c r="V7">
        <f>INDEX('AEO 40'!Z:Z,MATCH('psgr LDVs'!$B7,'AEO 40'!$B:$B,0))</f>
        <v>120.640366</v>
      </c>
      <c r="W7">
        <f>INDEX('AEO 40'!AA:AA,MATCH('psgr LDVs'!$B7,'AEO 40'!$B:$B,0))</f>
        <v>120.657768</v>
      </c>
      <c r="X7">
        <f>INDEX('AEO 40'!AB:AB,MATCH('psgr LDVs'!$B7,'AEO 40'!$B:$B,0))</f>
        <v>120.670937</v>
      </c>
      <c r="Y7">
        <f>INDEX('AEO 40'!AC:AC,MATCH('psgr LDVs'!$B7,'AEO 40'!$B:$B,0))</f>
        <v>120.68103000000001</v>
      </c>
      <c r="Z7">
        <f>INDEX('AEO 40'!AD:AD,MATCH('psgr LDVs'!$B7,'AEO 40'!$B:$B,0))</f>
        <v>120.69167299999999</v>
      </c>
      <c r="AA7">
        <f>INDEX('AEO 40'!AE:AE,MATCH('psgr LDVs'!$B7,'AEO 40'!$B:$B,0))</f>
        <v>120.70362900000001</v>
      </c>
      <c r="AB7">
        <f>INDEX('AEO 40'!AF:AF,MATCH('psgr LDVs'!$B7,'AEO 40'!$B:$B,0))</f>
        <v>120.715271</v>
      </c>
      <c r="AC7">
        <f>INDEX('AEO 40'!AG:AG,MATCH('psgr LDVs'!$B7,'AEO 40'!$B:$B,0))</f>
        <v>120.72045900000001</v>
      </c>
      <c r="AD7">
        <f>INDEX('AEO 40'!AH:AH,MATCH('psgr LDVs'!$B7,'AEO 40'!$B:$B,0))</f>
        <v>120.73260500000001</v>
      </c>
      <c r="AE7">
        <f>INDEX('AEO 40'!AI:AI,MATCH('psgr LDVs'!$B7,'AEO 40'!$B:$B,0))</f>
        <v>120.739746</v>
      </c>
      <c r="AF7">
        <f>INDEX('AEO 40'!AJ:AJ,MATCH('psgr LDVs'!$B7,'AEO 40'!$B:$B,0))</f>
        <v>120.75382999999999</v>
      </c>
      <c r="AG7">
        <f>INDEX('AEO 40'!AK:AK,MATCH('psgr LDVs'!$B7,'AEO 40'!$B:$B,0))</f>
        <v>120.76078</v>
      </c>
    </row>
    <row r="8" spans="1:33" ht="13.6">
      <c r="A8" s="114" t="s">
        <v>112</v>
      </c>
      <c r="B8" s="110" t="s">
        <v>875</v>
      </c>
      <c r="C8">
        <f>INDEX('AEO 40'!G:G,MATCH('psgr LDVs'!$B8,'AEO 40'!$B:$B,0))</f>
        <v>119.537842</v>
      </c>
      <c r="D8">
        <f>INDEX('AEO 40'!H:H,MATCH('psgr LDVs'!$B8,'AEO 40'!$B:$B,0))</f>
        <v>119.87303199999999</v>
      </c>
      <c r="E8">
        <f>INDEX('AEO 40'!I:I,MATCH('psgr LDVs'!$B8,'AEO 40'!$B:$B,0))</f>
        <v>119.537041</v>
      </c>
      <c r="F8">
        <f>INDEX('AEO 40'!J:J,MATCH('psgr LDVs'!$B8,'AEO 40'!$B:$B,0))</f>
        <v>119.261551</v>
      </c>
      <c r="G8">
        <f>INDEX('AEO 40'!K:K,MATCH('psgr LDVs'!$B8,'AEO 40'!$B:$B,0))</f>
        <v>119.28363</v>
      </c>
      <c r="H8">
        <f>INDEX('AEO 40'!L:L,MATCH('psgr LDVs'!$B8,'AEO 40'!$B:$B,0))</f>
        <v>119.37634300000001</v>
      </c>
      <c r="I8">
        <f>INDEX('AEO 40'!M:M,MATCH('psgr LDVs'!$B8,'AEO 40'!$B:$B,0))</f>
        <v>119.623695</v>
      </c>
      <c r="J8">
        <f>INDEX('AEO 40'!N:N,MATCH('psgr LDVs'!$B8,'AEO 40'!$B:$B,0))</f>
        <v>119.454308</v>
      </c>
      <c r="K8">
        <f>INDEX('AEO 40'!O:O,MATCH('psgr LDVs'!$B8,'AEO 40'!$B:$B,0))</f>
        <v>119.334152</v>
      </c>
      <c r="L8">
        <f>INDEX('AEO 40'!P:P,MATCH('psgr LDVs'!$B8,'AEO 40'!$B:$B,0))</f>
        <v>119.217209</v>
      </c>
      <c r="M8">
        <f>INDEX('AEO 40'!Q:Q,MATCH('psgr LDVs'!$B8,'AEO 40'!$B:$B,0))</f>
        <v>119.111435</v>
      </c>
      <c r="N8">
        <f>INDEX('AEO 40'!R:R,MATCH('psgr LDVs'!$B8,'AEO 40'!$B:$B,0))</f>
        <v>119.006653</v>
      </c>
      <c r="O8">
        <f>INDEX('AEO 40'!S:S,MATCH('psgr LDVs'!$B8,'AEO 40'!$B:$B,0))</f>
        <v>118.926857</v>
      </c>
      <c r="P8">
        <f>INDEX('AEO 40'!T:T,MATCH('psgr LDVs'!$B8,'AEO 40'!$B:$B,0))</f>
        <v>118.843666</v>
      </c>
      <c r="Q8">
        <f>INDEX('AEO 40'!U:U,MATCH('psgr LDVs'!$B8,'AEO 40'!$B:$B,0))</f>
        <v>118.780693</v>
      </c>
      <c r="R8">
        <f>INDEX('AEO 40'!V:V,MATCH('psgr LDVs'!$B8,'AEO 40'!$B:$B,0))</f>
        <v>118.724228</v>
      </c>
      <c r="S8">
        <f>INDEX('AEO 40'!W:W,MATCH('psgr LDVs'!$B8,'AEO 40'!$B:$B,0))</f>
        <v>118.683212</v>
      </c>
      <c r="T8">
        <f>INDEX('AEO 40'!X:X,MATCH('psgr LDVs'!$B8,'AEO 40'!$B:$B,0))</f>
        <v>118.640862</v>
      </c>
      <c r="U8">
        <f>INDEX('AEO 40'!Y:Y,MATCH('psgr LDVs'!$B8,'AEO 40'!$B:$B,0))</f>
        <v>118.599236</v>
      </c>
      <c r="V8">
        <f>INDEX('AEO 40'!Z:Z,MATCH('psgr LDVs'!$B8,'AEO 40'!$B:$B,0))</f>
        <v>118.55613700000001</v>
      </c>
      <c r="W8">
        <f>INDEX('AEO 40'!AA:AA,MATCH('psgr LDVs'!$B8,'AEO 40'!$B:$B,0))</f>
        <v>118.519249</v>
      </c>
      <c r="X8">
        <f>INDEX('AEO 40'!AB:AB,MATCH('psgr LDVs'!$B8,'AEO 40'!$B:$B,0))</f>
        <v>118.49395</v>
      </c>
      <c r="Y8">
        <f>INDEX('AEO 40'!AC:AC,MATCH('psgr LDVs'!$B8,'AEO 40'!$B:$B,0))</f>
        <v>118.473778</v>
      </c>
      <c r="Z8">
        <f>INDEX('AEO 40'!AD:AD,MATCH('psgr LDVs'!$B8,'AEO 40'!$B:$B,0))</f>
        <v>118.452843</v>
      </c>
      <c r="AA8">
        <f>INDEX('AEO 40'!AE:AE,MATCH('psgr LDVs'!$B8,'AEO 40'!$B:$B,0))</f>
        <v>118.43328099999999</v>
      </c>
      <c r="AB8">
        <f>INDEX('AEO 40'!AF:AF,MATCH('psgr LDVs'!$B8,'AEO 40'!$B:$B,0))</f>
        <v>118.410149</v>
      </c>
      <c r="AC8">
        <f>INDEX('AEO 40'!AG:AG,MATCH('psgr LDVs'!$B8,'AEO 40'!$B:$B,0))</f>
        <v>118.38556699999999</v>
      </c>
      <c r="AD8">
        <f>INDEX('AEO 40'!AH:AH,MATCH('psgr LDVs'!$B8,'AEO 40'!$B:$B,0))</f>
        <v>118.363579</v>
      </c>
      <c r="AE8">
        <f>INDEX('AEO 40'!AI:AI,MATCH('psgr LDVs'!$B8,'AEO 40'!$B:$B,0))</f>
        <v>118.338753</v>
      </c>
      <c r="AF8">
        <f>INDEX('AEO 40'!AJ:AJ,MATCH('psgr LDVs'!$B8,'AEO 40'!$B:$B,0))</f>
        <v>118.31626900000001</v>
      </c>
      <c r="AG8">
        <f>INDEX('AEO 40'!AK:AK,MATCH('psgr LDVs'!$B8,'AEO 40'!$B:$B,0))</f>
        <v>118.286789</v>
      </c>
    </row>
    <row r="9" spans="1:33" ht="13.6">
      <c r="A9" s="114" t="s">
        <v>116</v>
      </c>
      <c r="B9" s="110" t="s">
        <v>876</v>
      </c>
      <c r="C9">
        <f>INDEX('AEO 40'!G:G,MATCH('psgr LDVs'!$B9,'AEO 40'!$B:$B,0))</f>
        <v>60.151657</v>
      </c>
      <c r="D9">
        <f>INDEX('AEO 40'!H:H,MATCH('psgr LDVs'!$B9,'AEO 40'!$B:$B,0))</f>
        <v>62.861052999999998</v>
      </c>
      <c r="E9">
        <f>INDEX('AEO 40'!I:I,MATCH('psgr LDVs'!$B9,'AEO 40'!$B:$B,0))</f>
        <v>63.60445</v>
      </c>
      <c r="F9">
        <f>INDEX('AEO 40'!J:J,MATCH('psgr LDVs'!$B9,'AEO 40'!$B:$B,0))</f>
        <v>63.836418000000002</v>
      </c>
      <c r="G9">
        <f>INDEX('AEO 40'!K:K,MATCH('psgr LDVs'!$B9,'AEO 40'!$B:$B,0))</f>
        <v>65.258881000000002</v>
      </c>
      <c r="H9">
        <f>INDEX('AEO 40'!L:L,MATCH('psgr LDVs'!$B9,'AEO 40'!$B:$B,0))</f>
        <v>65.900154000000001</v>
      </c>
      <c r="I9">
        <f>INDEX('AEO 40'!M:M,MATCH('psgr LDVs'!$B9,'AEO 40'!$B:$B,0))</f>
        <v>66.706917000000004</v>
      </c>
      <c r="J9">
        <f>INDEX('AEO 40'!N:N,MATCH('psgr LDVs'!$B9,'AEO 40'!$B:$B,0))</f>
        <v>66.780631999999997</v>
      </c>
      <c r="K9">
        <f>INDEX('AEO 40'!O:O,MATCH('psgr LDVs'!$B9,'AEO 40'!$B:$B,0))</f>
        <v>66.770759999999996</v>
      </c>
      <c r="L9">
        <f>INDEX('AEO 40'!P:P,MATCH('psgr LDVs'!$B9,'AEO 40'!$B:$B,0))</f>
        <v>66.739525</v>
      </c>
      <c r="M9">
        <f>INDEX('AEO 40'!Q:Q,MATCH('psgr LDVs'!$B9,'AEO 40'!$B:$B,0))</f>
        <v>66.727103999999997</v>
      </c>
      <c r="N9">
        <f>INDEX('AEO 40'!R:R,MATCH('psgr LDVs'!$B9,'AEO 40'!$B:$B,0))</f>
        <v>66.650054999999995</v>
      </c>
      <c r="O9">
        <f>INDEX('AEO 40'!S:S,MATCH('psgr LDVs'!$B9,'AEO 40'!$B:$B,0))</f>
        <v>66.607123999999999</v>
      </c>
      <c r="P9">
        <f>INDEX('AEO 40'!T:T,MATCH('psgr LDVs'!$B9,'AEO 40'!$B:$B,0))</f>
        <v>66.542831000000007</v>
      </c>
      <c r="Q9">
        <f>INDEX('AEO 40'!U:U,MATCH('psgr LDVs'!$B9,'AEO 40'!$B:$B,0))</f>
        <v>66.482742000000002</v>
      </c>
      <c r="R9">
        <f>INDEX('AEO 40'!V:V,MATCH('psgr LDVs'!$B9,'AEO 40'!$B:$B,0))</f>
        <v>66.37912</v>
      </c>
      <c r="S9">
        <f>INDEX('AEO 40'!W:W,MATCH('psgr LDVs'!$B9,'AEO 40'!$B:$B,0))</f>
        <v>66.319327999999999</v>
      </c>
      <c r="T9">
        <f>INDEX('AEO 40'!X:X,MATCH('psgr LDVs'!$B9,'AEO 40'!$B:$B,0))</f>
        <v>66.257285999999993</v>
      </c>
      <c r="U9">
        <f>INDEX('AEO 40'!Y:Y,MATCH('psgr LDVs'!$B9,'AEO 40'!$B:$B,0))</f>
        <v>66.187652999999997</v>
      </c>
      <c r="V9">
        <f>INDEX('AEO 40'!Z:Z,MATCH('psgr LDVs'!$B9,'AEO 40'!$B:$B,0))</f>
        <v>66.098557</v>
      </c>
      <c r="W9">
        <f>INDEX('AEO 40'!AA:AA,MATCH('psgr LDVs'!$B9,'AEO 40'!$B:$B,0))</f>
        <v>66.024139000000005</v>
      </c>
      <c r="X9">
        <f>INDEX('AEO 40'!AB:AB,MATCH('psgr LDVs'!$B9,'AEO 40'!$B:$B,0))</f>
        <v>65.952399999999997</v>
      </c>
      <c r="Y9">
        <f>INDEX('AEO 40'!AC:AC,MATCH('psgr LDVs'!$B9,'AEO 40'!$B:$B,0))</f>
        <v>65.872742000000002</v>
      </c>
      <c r="Z9">
        <f>INDEX('AEO 40'!AD:AD,MATCH('psgr LDVs'!$B9,'AEO 40'!$B:$B,0))</f>
        <v>65.804687999999999</v>
      </c>
      <c r="AA9">
        <f>INDEX('AEO 40'!AE:AE,MATCH('psgr LDVs'!$B9,'AEO 40'!$B:$B,0))</f>
        <v>65.736389000000003</v>
      </c>
      <c r="AB9">
        <f>INDEX('AEO 40'!AF:AF,MATCH('psgr LDVs'!$B9,'AEO 40'!$B:$B,0))</f>
        <v>65.669150999999999</v>
      </c>
      <c r="AC9">
        <f>INDEX('AEO 40'!AG:AG,MATCH('psgr LDVs'!$B9,'AEO 40'!$B:$B,0))</f>
        <v>65.593879999999999</v>
      </c>
      <c r="AD9">
        <f>INDEX('AEO 40'!AH:AH,MATCH('psgr LDVs'!$B9,'AEO 40'!$B:$B,0))</f>
        <v>65.534453999999997</v>
      </c>
      <c r="AE9">
        <f>INDEX('AEO 40'!AI:AI,MATCH('psgr LDVs'!$B9,'AEO 40'!$B:$B,0))</f>
        <v>65.453331000000006</v>
      </c>
      <c r="AF9">
        <f>INDEX('AEO 40'!AJ:AJ,MATCH('psgr LDVs'!$B9,'AEO 40'!$B:$B,0))</f>
        <v>65.400588999999997</v>
      </c>
      <c r="AG9">
        <f>INDEX('AEO 40'!AK:AK,MATCH('psgr LDVs'!$B9,'AEO 40'!$B:$B,0))</f>
        <v>65.336258000000001</v>
      </c>
    </row>
    <row r="10" spans="1:33" ht="13.6">
      <c r="A10" s="114" t="s">
        <v>116</v>
      </c>
      <c r="B10" s="110" t="s">
        <v>877</v>
      </c>
      <c r="C10">
        <f>INDEX('AEO 40'!G:G,MATCH('psgr LDVs'!$B10,'AEO 40'!$B:$B,0))</f>
        <v>73.406424999999999</v>
      </c>
      <c r="D10">
        <f>INDEX('AEO 40'!H:H,MATCH('psgr LDVs'!$B10,'AEO 40'!$B:$B,0))</f>
        <v>76.394942999999998</v>
      </c>
      <c r="E10">
        <f>INDEX('AEO 40'!I:I,MATCH('psgr LDVs'!$B10,'AEO 40'!$B:$B,0))</f>
        <v>76.722694000000004</v>
      </c>
      <c r="F10">
        <f>INDEX('AEO 40'!J:J,MATCH('psgr LDVs'!$B10,'AEO 40'!$B:$B,0))</f>
        <v>76.857201000000003</v>
      </c>
      <c r="G10">
        <f>INDEX('AEO 40'!K:K,MATCH('psgr LDVs'!$B10,'AEO 40'!$B:$B,0))</f>
        <v>78.018790999999993</v>
      </c>
      <c r="H10">
        <f>INDEX('AEO 40'!L:L,MATCH('psgr LDVs'!$B10,'AEO 40'!$B:$B,0))</f>
        <v>78.743499999999997</v>
      </c>
      <c r="I10">
        <f>INDEX('AEO 40'!M:M,MATCH('psgr LDVs'!$B10,'AEO 40'!$B:$B,0))</f>
        <v>79.558464000000001</v>
      </c>
      <c r="J10">
        <f>INDEX('AEO 40'!N:N,MATCH('psgr LDVs'!$B10,'AEO 40'!$B:$B,0))</f>
        <v>79.667168000000004</v>
      </c>
      <c r="K10">
        <f>INDEX('AEO 40'!O:O,MATCH('psgr LDVs'!$B10,'AEO 40'!$B:$B,0))</f>
        <v>79.671974000000006</v>
      </c>
      <c r="L10">
        <f>INDEX('AEO 40'!P:P,MATCH('psgr LDVs'!$B10,'AEO 40'!$B:$B,0))</f>
        <v>79.642707999999999</v>
      </c>
      <c r="M10">
        <f>INDEX('AEO 40'!Q:Q,MATCH('psgr LDVs'!$B10,'AEO 40'!$B:$B,0))</f>
        <v>79.660538000000003</v>
      </c>
      <c r="N10">
        <f>INDEX('AEO 40'!R:R,MATCH('psgr LDVs'!$B10,'AEO 40'!$B:$B,0))</f>
        <v>79.558411000000007</v>
      </c>
      <c r="O10">
        <f>INDEX('AEO 40'!S:S,MATCH('psgr LDVs'!$B10,'AEO 40'!$B:$B,0))</f>
        <v>79.547279000000003</v>
      </c>
      <c r="P10">
        <f>INDEX('AEO 40'!T:T,MATCH('psgr LDVs'!$B10,'AEO 40'!$B:$B,0))</f>
        <v>79.498230000000007</v>
      </c>
      <c r="Q10">
        <f>INDEX('AEO 40'!U:U,MATCH('psgr LDVs'!$B10,'AEO 40'!$B:$B,0))</f>
        <v>79.469559000000004</v>
      </c>
      <c r="R10">
        <f>INDEX('AEO 40'!V:V,MATCH('psgr LDVs'!$B10,'AEO 40'!$B:$B,0))</f>
        <v>79.368904000000001</v>
      </c>
      <c r="S10">
        <f>INDEX('AEO 40'!W:W,MATCH('psgr LDVs'!$B10,'AEO 40'!$B:$B,0))</f>
        <v>79.345375000000004</v>
      </c>
      <c r="T10">
        <f>INDEX('AEO 40'!X:X,MATCH('psgr LDVs'!$B10,'AEO 40'!$B:$B,0))</f>
        <v>79.316460000000006</v>
      </c>
      <c r="U10">
        <f>INDEX('AEO 40'!Y:Y,MATCH('psgr LDVs'!$B10,'AEO 40'!$B:$B,0))</f>
        <v>79.275146000000007</v>
      </c>
      <c r="V10">
        <f>INDEX('AEO 40'!Z:Z,MATCH('psgr LDVs'!$B10,'AEO 40'!$B:$B,0))</f>
        <v>79.206337000000005</v>
      </c>
      <c r="W10">
        <f>INDEX('AEO 40'!AA:AA,MATCH('psgr LDVs'!$B10,'AEO 40'!$B:$B,0))</f>
        <v>79.163498000000004</v>
      </c>
      <c r="X10">
        <f>INDEX('AEO 40'!AB:AB,MATCH('psgr LDVs'!$B10,'AEO 40'!$B:$B,0))</f>
        <v>79.122710999999995</v>
      </c>
      <c r="Y10">
        <f>INDEX('AEO 40'!AC:AC,MATCH('psgr LDVs'!$B10,'AEO 40'!$B:$B,0))</f>
        <v>79.067215000000004</v>
      </c>
      <c r="Z10">
        <f>INDEX('AEO 40'!AD:AD,MATCH('psgr LDVs'!$B10,'AEO 40'!$B:$B,0))</f>
        <v>79.026702999999998</v>
      </c>
      <c r="AA10">
        <f>INDEX('AEO 40'!AE:AE,MATCH('psgr LDVs'!$B10,'AEO 40'!$B:$B,0))</f>
        <v>78.984855999999994</v>
      </c>
      <c r="AB10">
        <f>INDEX('AEO 40'!AF:AF,MATCH('psgr LDVs'!$B10,'AEO 40'!$B:$B,0))</f>
        <v>78.942100999999994</v>
      </c>
      <c r="AC10">
        <f>INDEX('AEO 40'!AG:AG,MATCH('psgr LDVs'!$B10,'AEO 40'!$B:$B,0))</f>
        <v>78.886086000000006</v>
      </c>
      <c r="AD10">
        <f>INDEX('AEO 40'!AH:AH,MATCH('psgr LDVs'!$B10,'AEO 40'!$B:$B,0))</f>
        <v>78.851348999999999</v>
      </c>
      <c r="AE10">
        <f>INDEX('AEO 40'!AI:AI,MATCH('psgr LDVs'!$B10,'AEO 40'!$B:$B,0))</f>
        <v>78.787757999999997</v>
      </c>
      <c r="AF10">
        <f>INDEX('AEO 40'!AJ:AJ,MATCH('psgr LDVs'!$B10,'AEO 40'!$B:$B,0))</f>
        <v>78.761482000000001</v>
      </c>
      <c r="AG10">
        <f>INDEX('AEO 40'!AK:AK,MATCH('psgr LDVs'!$B10,'AEO 40'!$B:$B,0))</f>
        <v>78.715941999999998</v>
      </c>
    </row>
    <row r="11" spans="1:33" ht="13.6">
      <c r="A11" s="114" t="s">
        <v>115</v>
      </c>
      <c r="B11" s="110" t="s">
        <v>878</v>
      </c>
      <c r="C11">
        <f>INDEX('AEO 40'!G:G,MATCH('psgr LDVs'!$B11,'AEO 40'!$B:$B,0))</f>
        <v>0</v>
      </c>
      <c r="D11">
        <f>INDEX('AEO 40'!H:H,MATCH('psgr LDVs'!$B11,'AEO 40'!$B:$B,0))</f>
        <v>0</v>
      </c>
      <c r="E11">
        <f>INDEX('AEO 40'!I:I,MATCH('psgr LDVs'!$B11,'AEO 40'!$B:$B,0))</f>
        <v>0</v>
      </c>
      <c r="F11">
        <f>INDEX('AEO 40'!J:J,MATCH('psgr LDVs'!$B11,'AEO 40'!$B:$B,0))</f>
        <v>0</v>
      </c>
      <c r="G11">
        <f>INDEX('AEO 40'!K:K,MATCH('psgr LDVs'!$B11,'AEO 40'!$B:$B,0))</f>
        <v>0</v>
      </c>
      <c r="H11">
        <f>INDEX('AEO 40'!L:L,MATCH('psgr LDVs'!$B11,'AEO 40'!$B:$B,0))</f>
        <v>0</v>
      </c>
      <c r="I11">
        <f>INDEX('AEO 40'!M:M,MATCH('psgr LDVs'!$B11,'AEO 40'!$B:$B,0))</f>
        <v>0</v>
      </c>
      <c r="J11">
        <f>INDEX('AEO 40'!N:N,MATCH('psgr LDVs'!$B11,'AEO 40'!$B:$B,0))</f>
        <v>0</v>
      </c>
      <c r="K11">
        <f>INDEX('AEO 40'!O:O,MATCH('psgr LDVs'!$B11,'AEO 40'!$B:$B,0))</f>
        <v>0</v>
      </c>
      <c r="L11">
        <f>INDEX('AEO 40'!P:P,MATCH('psgr LDVs'!$B11,'AEO 40'!$B:$B,0))</f>
        <v>0</v>
      </c>
      <c r="M11">
        <f>INDEX('AEO 40'!Q:Q,MATCH('psgr LDVs'!$B11,'AEO 40'!$B:$B,0))</f>
        <v>0</v>
      </c>
      <c r="N11">
        <f>INDEX('AEO 40'!R:R,MATCH('psgr LDVs'!$B11,'AEO 40'!$B:$B,0))</f>
        <v>0</v>
      </c>
      <c r="O11">
        <f>INDEX('AEO 40'!S:S,MATCH('psgr LDVs'!$B11,'AEO 40'!$B:$B,0))</f>
        <v>0</v>
      </c>
      <c r="P11">
        <f>INDEX('AEO 40'!T:T,MATCH('psgr LDVs'!$B11,'AEO 40'!$B:$B,0))</f>
        <v>0</v>
      </c>
      <c r="Q11">
        <f>INDEX('AEO 40'!U:U,MATCH('psgr LDVs'!$B11,'AEO 40'!$B:$B,0))</f>
        <v>0</v>
      </c>
      <c r="R11">
        <f>INDEX('AEO 40'!V:V,MATCH('psgr LDVs'!$B11,'AEO 40'!$B:$B,0))</f>
        <v>0</v>
      </c>
      <c r="S11">
        <f>INDEX('AEO 40'!W:W,MATCH('psgr LDVs'!$B11,'AEO 40'!$B:$B,0))</f>
        <v>0</v>
      </c>
      <c r="T11">
        <f>INDEX('AEO 40'!X:X,MATCH('psgr LDVs'!$B11,'AEO 40'!$B:$B,0))</f>
        <v>0</v>
      </c>
      <c r="U11">
        <f>INDEX('AEO 40'!Y:Y,MATCH('psgr LDVs'!$B11,'AEO 40'!$B:$B,0))</f>
        <v>0</v>
      </c>
      <c r="V11">
        <f>INDEX('AEO 40'!Z:Z,MATCH('psgr LDVs'!$B11,'AEO 40'!$B:$B,0))</f>
        <v>0</v>
      </c>
      <c r="W11">
        <f>INDEX('AEO 40'!AA:AA,MATCH('psgr LDVs'!$B11,'AEO 40'!$B:$B,0))</f>
        <v>0</v>
      </c>
      <c r="X11">
        <f>INDEX('AEO 40'!AB:AB,MATCH('psgr LDVs'!$B11,'AEO 40'!$B:$B,0))</f>
        <v>0</v>
      </c>
      <c r="Y11">
        <f>INDEX('AEO 40'!AC:AC,MATCH('psgr LDVs'!$B11,'AEO 40'!$B:$B,0))</f>
        <v>0</v>
      </c>
      <c r="Z11">
        <f>INDEX('AEO 40'!AD:AD,MATCH('psgr LDVs'!$B11,'AEO 40'!$B:$B,0))</f>
        <v>0</v>
      </c>
      <c r="AA11">
        <f>INDEX('AEO 40'!AE:AE,MATCH('psgr LDVs'!$B11,'AEO 40'!$B:$B,0))</f>
        <v>0</v>
      </c>
      <c r="AB11">
        <f>INDEX('AEO 40'!AF:AF,MATCH('psgr LDVs'!$B11,'AEO 40'!$B:$B,0))</f>
        <v>0</v>
      </c>
      <c r="AC11">
        <f>INDEX('AEO 40'!AG:AG,MATCH('psgr LDVs'!$B11,'AEO 40'!$B:$B,0))</f>
        <v>0</v>
      </c>
      <c r="AD11">
        <f>INDEX('AEO 40'!AH:AH,MATCH('psgr LDVs'!$B11,'AEO 40'!$B:$B,0))</f>
        <v>0</v>
      </c>
      <c r="AE11">
        <f>INDEX('AEO 40'!AI:AI,MATCH('psgr LDVs'!$B11,'AEO 40'!$B:$B,0))</f>
        <v>0</v>
      </c>
      <c r="AF11">
        <f>INDEX('AEO 40'!AJ:AJ,MATCH('psgr LDVs'!$B11,'AEO 40'!$B:$B,0))</f>
        <v>0</v>
      </c>
      <c r="AG11">
        <f>INDEX('AEO 40'!AK:AK,MATCH('psgr LDVs'!$B11,'AEO 40'!$B:$B,0))</f>
        <v>0</v>
      </c>
    </row>
    <row r="12" spans="1:33" ht="13.6">
      <c r="A12" s="114" t="s">
        <v>114</v>
      </c>
      <c r="B12" s="110" t="s">
        <v>879</v>
      </c>
      <c r="C12">
        <f>INDEX('AEO 40'!G:G,MATCH('psgr LDVs'!$B12,'AEO 40'!$B:$B,0))</f>
        <v>59.290179999999999</v>
      </c>
      <c r="D12">
        <f>INDEX('AEO 40'!H:H,MATCH('psgr LDVs'!$B12,'AEO 40'!$B:$B,0))</f>
        <v>62.071899000000002</v>
      </c>
      <c r="E12">
        <f>INDEX('AEO 40'!I:I,MATCH('psgr LDVs'!$B12,'AEO 40'!$B:$B,0))</f>
        <v>62.589328999999999</v>
      </c>
      <c r="F12">
        <f>INDEX('AEO 40'!J:J,MATCH('psgr LDVs'!$B12,'AEO 40'!$B:$B,0))</f>
        <v>63.589759999999998</v>
      </c>
      <c r="G12">
        <f>INDEX('AEO 40'!K:K,MATCH('psgr LDVs'!$B12,'AEO 40'!$B:$B,0))</f>
        <v>64.562302000000003</v>
      </c>
      <c r="H12">
        <f>INDEX('AEO 40'!L:L,MATCH('psgr LDVs'!$B12,'AEO 40'!$B:$B,0))</f>
        <v>65.483376000000007</v>
      </c>
      <c r="I12">
        <f>INDEX('AEO 40'!M:M,MATCH('psgr LDVs'!$B12,'AEO 40'!$B:$B,0))</f>
        <v>66.175285000000002</v>
      </c>
      <c r="J12">
        <f>INDEX('AEO 40'!N:N,MATCH('psgr LDVs'!$B12,'AEO 40'!$B:$B,0))</f>
        <v>66.129035999999999</v>
      </c>
      <c r="K12">
        <f>INDEX('AEO 40'!O:O,MATCH('psgr LDVs'!$B12,'AEO 40'!$B:$B,0))</f>
        <v>66.042563999999999</v>
      </c>
      <c r="L12">
        <f>INDEX('AEO 40'!P:P,MATCH('psgr LDVs'!$B12,'AEO 40'!$B:$B,0))</f>
        <v>65.958022999999997</v>
      </c>
      <c r="M12">
        <f>INDEX('AEO 40'!Q:Q,MATCH('psgr LDVs'!$B12,'AEO 40'!$B:$B,0))</f>
        <v>65.901161000000002</v>
      </c>
      <c r="N12">
        <f>INDEX('AEO 40'!R:R,MATCH('psgr LDVs'!$B12,'AEO 40'!$B:$B,0))</f>
        <v>65.874831999999998</v>
      </c>
      <c r="O12">
        <f>INDEX('AEO 40'!S:S,MATCH('psgr LDVs'!$B12,'AEO 40'!$B:$B,0))</f>
        <v>65.808395000000004</v>
      </c>
      <c r="P12">
        <f>INDEX('AEO 40'!T:T,MATCH('psgr LDVs'!$B12,'AEO 40'!$B:$B,0))</f>
        <v>65.754692000000006</v>
      </c>
      <c r="Q12">
        <f>INDEX('AEO 40'!U:U,MATCH('psgr LDVs'!$B12,'AEO 40'!$B:$B,0))</f>
        <v>65.687363000000005</v>
      </c>
      <c r="R12">
        <f>INDEX('AEO 40'!V:V,MATCH('psgr LDVs'!$B12,'AEO 40'!$B:$B,0))</f>
        <v>65.613418999999993</v>
      </c>
      <c r="S12">
        <f>INDEX('AEO 40'!W:W,MATCH('psgr LDVs'!$B12,'AEO 40'!$B:$B,0))</f>
        <v>65.531311000000002</v>
      </c>
      <c r="T12">
        <f>INDEX('AEO 40'!X:X,MATCH('psgr LDVs'!$B12,'AEO 40'!$B:$B,0))</f>
        <v>65.463913000000005</v>
      </c>
      <c r="U12">
        <f>INDEX('AEO 40'!Y:Y,MATCH('psgr LDVs'!$B12,'AEO 40'!$B:$B,0))</f>
        <v>65.389824000000004</v>
      </c>
      <c r="V12">
        <f>INDEX('AEO 40'!Z:Z,MATCH('psgr LDVs'!$B12,'AEO 40'!$B:$B,0))</f>
        <v>65.309830000000005</v>
      </c>
      <c r="W12">
        <f>INDEX('AEO 40'!AA:AA,MATCH('psgr LDVs'!$B12,'AEO 40'!$B:$B,0))</f>
        <v>65.220589000000004</v>
      </c>
      <c r="X12">
        <f>INDEX('AEO 40'!AB:AB,MATCH('psgr LDVs'!$B12,'AEO 40'!$B:$B,0))</f>
        <v>65.126761999999999</v>
      </c>
      <c r="Y12">
        <f>INDEX('AEO 40'!AC:AC,MATCH('psgr LDVs'!$B12,'AEO 40'!$B:$B,0))</f>
        <v>65.040336999999994</v>
      </c>
      <c r="Z12">
        <f>INDEX('AEO 40'!AD:AD,MATCH('psgr LDVs'!$B12,'AEO 40'!$B:$B,0))</f>
        <v>64.954230999999993</v>
      </c>
      <c r="AA12">
        <f>INDEX('AEO 40'!AE:AE,MATCH('psgr LDVs'!$B12,'AEO 40'!$B:$B,0))</f>
        <v>64.87294</v>
      </c>
      <c r="AB12">
        <f>INDEX('AEO 40'!AF:AF,MATCH('psgr LDVs'!$B12,'AEO 40'!$B:$B,0))</f>
        <v>64.785278000000005</v>
      </c>
      <c r="AC12">
        <f>INDEX('AEO 40'!AG:AG,MATCH('psgr LDVs'!$B12,'AEO 40'!$B:$B,0))</f>
        <v>64.701674999999994</v>
      </c>
      <c r="AD12">
        <f>INDEX('AEO 40'!AH:AH,MATCH('psgr LDVs'!$B12,'AEO 40'!$B:$B,0))</f>
        <v>64.617935000000003</v>
      </c>
      <c r="AE12">
        <f>INDEX('AEO 40'!AI:AI,MATCH('psgr LDVs'!$B12,'AEO 40'!$B:$B,0))</f>
        <v>64.525856000000005</v>
      </c>
      <c r="AF12">
        <f>INDEX('AEO 40'!AJ:AJ,MATCH('psgr LDVs'!$B12,'AEO 40'!$B:$B,0))</f>
        <v>64.435905000000005</v>
      </c>
      <c r="AG12">
        <f>INDEX('AEO 40'!AK:AK,MATCH('psgr LDVs'!$B12,'AEO 40'!$B:$B,0))</f>
        <v>64.349982999999995</v>
      </c>
    </row>
    <row r="13" spans="1:33" ht="13.6">
      <c r="A13" s="114" t="s">
        <v>113</v>
      </c>
      <c r="B13" s="110" t="s">
        <v>880</v>
      </c>
      <c r="C13">
        <f>INDEX('AEO 40'!G:G,MATCH('psgr LDVs'!$B13,'AEO 40'!$B:$B,0))</f>
        <v>43.681716999999999</v>
      </c>
      <c r="D13">
        <f>INDEX('AEO 40'!H:H,MATCH('psgr LDVs'!$B13,'AEO 40'!$B:$B,0))</f>
        <v>46.401386000000002</v>
      </c>
      <c r="E13">
        <f>INDEX('AEO 40'!I:I,MATCH('psgr LDVs'!$B13,'AEO 40'!$B:$B,0))</f>
        <v>46.785164000000002</v>
      </c>
      <c r="F13">
        <f>INDEX('AEO 40'!J:J,MATCH('psgr LDVs'!$B13,'AEO 40'!$B:$B,0))</f>
        <v>47.415855000000001</v>
      </c>
      <c r="G13">
        <f>INDEX('AEO 40'!K:K,MATCH('psgr LDVs'!$B13,'AEO 40'!$B:$B,0))</f>
        <v>48.090491999999998</v>
      </c>
      <c r="H13">
        <f>INDEX('AEO 40'!L:L,MATCH('psgr LDVs'!$B13,'AEO 40'!$B:$B,0))</f>
        <v>48.687514999999998</v>
      </c>
      <c r="I13">
        <f>INDEX('AEO 40'!M:M,MATCH('psgr LDVs'!$B13,'AEO 40'!$B:$B,0))</f>
        <v>49.330573999999999</v>
      </c>
      <c r="J13">
        <f>INDEX('AEO 40'!N:N,MATCH('psgr LDVs'!$B13,'AEO 40'!$B:$B,0))</f>
        <v>49.368178999999998</v>
      </c>
      <c r="K13">
        <f>INDEX('AEO 40'!O:O,MATCH('psgr LDVs'!$B13,'AEO 40'!$B:$B,0))</f>
        <v>49.283656999999998</v>
      </c>
      <c r="L13">
        <f>INDEX('AEO 40'!P:P,MATCH('psgr LDVs'!$B13,'AEO 40'!$B:$B,0))</f>
        <v>49.246184999999997</v>
      </c>
      <c r="M13">
        <f>INDEX('AEO 40'!Q:Q,MATCH('psgr LDVs'!$B13,'AEO 40'!$B:$B,0))</f>
        <v>49.253051999999997</v>
      </c>
      <c r="N13">
        <f>INDEX('AEO 40'!R:R,MATCH('psgr LDVs'!$B13,'AEO 40'!$B:$B,0))</f>
        <v>49.153641</v>
      </c>
      <c r="O13">
        <f>INDEX('AEO 40'!S:S,MATCH('psgr LDVs'!$B13,'AEO 40'!$B:$B,0))</f>
        <v>49.118232999999996</v>
      </c>
      <c r="P13">
        <f>INDEX('AEO 40'!T:T,MATCH('psgr LDVs'!$B13,'AEO 40'!$B:$B,0))</f>
        <v>49.066924999999998</v>
      </c>
      <c r="Q13">
        <f>INDEX('AEO 40'!U:U,MATCH('psgr LDVs'!$B13,'AEO 40'!$B:$B,0))</f>
        <v>49.039794999999998</v>
      </c>
      <c r="R13">
        <f>INDEX('AEO 40'!V:V,MATCH('psgr LDVs'!$B13,'AEO 40'!$B:$B,0))</f>
        <v>48.957588000000001</v>
      </c>
      <c r="S13">
        <f>INDEX('AEO 40'!W:W,MATCH('psgr LDVs'!$B13,'AEO 40'!$B:$B,0))</f>
        <v>48.913455999999996</v>
      </c>
      <c r="T13">
        <f>INDEX('AEO 40'!X:X,MATCH('psgr LDVs'!$B13,'AEO 40'!$B:$B,0))</f>
        <v>48.865710999999997</v>
      </c>
      <c r="U13">
        <f>INDEX('AEO 40'!Y:Y,MATCH('psgr LDVs'!$B13,'AEO 40'!$B:$B,0))</f>
        <v>48.821747000000002</v>
      </c>
      <c r="V13">
        <f>INDEX('AEO 40'!Z:Z,MATCH('psgr LDVs'!$B13,'AEO 40'!$B:$B,0))</f>
        <v>48.754303</v>
      </c>
      <c r="W13">
        <f>INDEX('AEO 40'!AA:AA,MATCH('psgr LDVs'!$B13,'AEO 40'!$B:$B,0))</f>
        <v>48.706524000000002</v>
      </c>
      <c r="X13">
        <f>INDEX('AEO 40'!AB:AB,MATCH('psgr LDVs'!$B13,'AEO 40'!$B:$B,0))</f>
        <v>48.651935999999999</v>
      </c>
      <c r="Y13">
        <f>INDEX('AEO 40'!AC:AC,MATCH('psgr LDVs'!$B13,'AEO 40'!$B:$B,0))</f>
        <v>48.591487999999998</v>
      </c>
      <c r="Z13">
        <f>INDEX('AEO 40'!AD:AD,MATCH('psgr LDVs'!$B13,'AEO 40'!$B:$B,0))</f>
        <v>48.540230000000001</v>
      </c>
      <c r="AA13">
        <f>INDEX('AEO 40'!AE:AE,MATCH('psgr LDVs'!$B13,'AEO 40'!$B:$B,0))</f>
        <v>48.490653999999999</v>
      </c>
      <c r="AB13">
        <f>INDEX('AEO 40'!AF:AF,MATCH('psgr LDVs'!$B13,'AEO 40'!$B:$B,0))</f>
        <v>48.445137000000003</v>
      </c>
      <c r="AC13">
        <f>INDEX('AEO 40'!AG:AG,MATCH('psgr LDVs'!$B13,'AEO 40'!$B:$B,0))</f>
        <v>48.386150000000001</v>
      </c>
      <c r="AD13">
        <f>INDEX('AEO 40'!AH:AH,MATCH('psgr LDVs'!$B13,'AEO 40'!$B:$B,0))</f>
        <v>48.340117999999997</v>
      </c>
      <c r="AE13">
        <f>INDEX('AEO 40'!AI:AI,MATCH('psgr LDVs'!$B13,'AEO 40'!$B:$B,0))</f>
        <v>48.281329999999997</v>
      </c>
      <c r="AF13">
        <f>INDEX('AEO 40'!AJ:AJ,MATCH('psgr LDVs'!$B13,'AEO 40'!$B:$B,0))</f>
        <v>48.242370999999999</v>
      </c>
      <c r="AG13">
        <f>INDEX('AEO 40'!AK:AK,MATCH('psgr LDVs'!$B13,'AEO 40'!$B:$B,0))</f>
        <v>48.194865999999998</v>
      </c>
    </row>
    <row r="14" spans="1:33" ht="13.6">
      <c r="A14" s="114" t="s">
        <v>113</v>
      </c>
      <c r="B14" s="110" t="s">
        <v>881</v>
      </c>
      <c r="C14">
        <f>INDEX('AEO 40'!G:G,MATCH('psgr LDVs'!$B14,'AEO 40'!$B:$B,0))</f>
        <v>41.084128999999997</v>
      </c>
      <c r="D14">
        <f>INDEX('AEO 40'!H:H,MATCH('psgr LDVs'!$B14,'AEO 40'!$B:$B,0))</f>
        <v>43.492274999999999</v>
      </c>
      <c r="E14">
        <f>INDEX('AEO 40'!I:I,MATCH('psgr LDVs'!$B14,'AEO 40'!$B:$B,0))</f>
        <v>43.989040000000003</v>
      </c>
      <c r="F14">
        <f>INDEX('AEO 40'!J:J,MATCH('psgr LDVs'!$B14,'AEO 40'!$B:$B,0))</f>
        <v>44.692486000000002</v>
      </c>
      <c r="G14">
        <f>INDEX('AEO 40'!K:K,MATCH('psgr LDVs'!$B14,'AEO 40'!$B:$B,0))</f>
        <v>45.242503999999997</v>
      </c>
      <c r="H14">
        <f>INDEX('AEO 40'!L:L,MATCH('psgr LDVs'!$B14,'AEO 40'!$B:$B,0))</f>
        <v>45.714989000000003</v>
      </c>
      <c r="I14">
        <f>INDEX('AEO 40'!M:M,MATCH('psgr LDVs'!$B14,'AEO 40'!$B:$B,0))</f>
        <v>46.277256000000001</v>
      </c>
      <c r="J14">
        <f>INDEX('AEO 40'!N:N,MATCH('psgr LDVs'!$B14,'AEO 40'!$B:$B,0))</f>
        <v>46.302428999999997</v>
      </c>
      <c r="K14">
        <f>INDEX('AEO 40'!O:O,MATCH('psgr LDVs'!$B14,'AEO 40'!$B:$B,0))</f>
        <v>46.213982000000001</v>
      </c>
      <c r="L14">
        <f>INDEX('AEO 40'!P:P,MATCH('psgr LDVs'!$B14,'AEO 40'!$B:$B,0))</f>
        <v>46.159278999999998</v>
      </c>
      <c r="M14">
        <f>INDEX('AEO 40'!Q:Q,MATCH('psgr LDVs'!$B14,'AEO 40'!$B:$B,0))</f>
        <v>46.146366</v>
      </c>
      <c r="N14">
        <f>INDEX('AEO 40'!R:R,MATCH('psgr LDVs'!$B14,'AEO 40'!$B:$B,0))</f>
        <v>46.078460999999997</v>
      </c>
      <c r="O14">
        <f>INDEX('AEO 40'!S:S,MATCH('psgr LDVs'!$B14,'AEO 40'!$B:$B,0))</f>
        <v>46.034953999999999</v>
      </c>
      <c r="P14">
        <f>INDEX('AEO 40'!T:T,MATCH('psgr LDVs'!$B14,'AEO 40'!$B:$B,0))</f>
        <v>45.990093000000002</v>
      </c>
      <c r="Q14">
        <f>INDEX('AEO 40'!U:U,MATCH('psgr LDVs'!$B14,'AEO 40'!$B:$B,0))</f>
        <v>45.95232</v>
      </c>
      <c r="R14">
        <f>INDEX('AEO 40'!V:V,MATCH('psgr LDVs'!$B14,'AEO 40'!$B:$B,0))</f>
        <v>45.874695000000003</v>
      </c>
      <c r="S14">
        <f>INDEX('AEO 40'!W:W,MATCH('psgr LDVs'!$B14,'AEO 40'!$B:$B,0))</f>
        <v>45.810901999999999</v>
      </c>
      <c r="T14">
        <f>INDEX('AEO 40'!X:X,MATCH('psgr LDVs'!$B14,'AEO 40'!$B:$B,0))</f>
        <v>45.759312000000001</v>
      </c>
      <c r="U14">
        <f>INDEX('AEO 40'!Y:Y,MATCH('psgr LDVs'!$B14,'AEO 40'!$B:$B,0))</f>
        <v>45.712795</v>
      </c>
      <c r="V14">
        <f>INDEX('AEO 40'!Z:Z,MATCH('psgr LDVs'!$B14,'AEO 40'!$B:$B,0))</f>
        <v>45.650092999999998</v>
      </c>
      <c r="W14">
        <f>INDEX('AEO 40'!AA:AA,MATCH('psgr LDVs'!$B14,'AEO 40'!$B:$B,0))</f>
        <v>45.595630999999997</v>
      </c>
      <c r="X14">
        <f>INDEX('AEO 40'!AB:AB,MATCH('psgr LDVs'!$B14,'AEO 40'!$B:$B,0))</f>
        <v>45.540092000000001</v>
      </c>
      <c r="Y14">
        <f>INDEX('AEO 40'!AC:AC,MATCH('psgr LDVs'!$B14,'AEO 40'!$B:$B,0))</f>
        <v>45.481884000000001</v>
      </c>
      <c r="Z14">
        <f>INDEX('AEO 40'!AD:AD,MATCH('psgr LDVs'!$B14,'AEO 40'!$B:$B,0))</f>
        <v>45.425831000000002</v>
      </c>
      <c r="AA14">
        <f>INDEX('AEO 40'!AE:AE,MATCH('psgr LDVs'!$B14,'AEO 40'!$B:$B,0))</f>
        <v>45.376533999999999</v>
      </c>
      <c r="AB14">
        <f>INDEX('AEO 40'!AF:AF,MATCH('psgr LDVs'!$B14,'AEO 40'!$B:$B,0))</f>
        <v>45.328536999999997</v>
      </c>
      <c r="AC14">
        <f>INDEX('AEO 40'!AG:AG,MATCH('psgr LDVs'!$B14,'AEO 40'!$B:$B,0))</f>
        <v>45.274653999999998</v>
      </c>
      <c r="AD14">
        <f>INDEX('AEO 40'!AH:AH,MATCH('psgr LDVs'!$B14,'AEO 40'!$B:$B,0))</f>
        <v>45.227088999999999</v>
      </c>
      <c r="AE14">
        <f>INDEX('AEO 40'!AI:AI,MATCH('psgr LDVs'!$B14,'AEO 40'!$B:$B,0))</f>
        <v>45.165667999999997</v>
      </c>
      <c r="AF14">
        <f>INDEX('AEO 40'!AJ:AJ,MATCH('psgr LDVs'!$B14,'AEO 40'!$B:$B,0))</f>
        <v>45.118164</v>
      </c>
      <c r="AG14">
        <f>INDEX('AEO 40'!AK:AK,MATCH('psgr LDVs'!$B14,'AEO 40'!$B:$B,0))</f>
        <v>45.064678000000001</v>
      </c>
    </row>
    <row r="15" spans="1:33" ht="13.6">
      <c r="A15" s="114" t="s">
        <v>853</v>
      </c>
      <c r="B15" s="110" t="s">
        <v>882</v>
      </c>
      <c r="C15">
        <f>INDEX('AEO 40'!G:G,MATCH('psgr LDVs'!$B15,'AEO 40'!$B:$B,0))</f>
        <v>42.180911999999999</v>
      </c>
      <c r="D15">
        <f>INDEX('AEO 40'!H:H,MATCH('psgr LDVs'!$B15,'AEO 40'!$B:$B,0))</f>
        <v>44.919338000000003</v>
      </c>
      <c r="E15">
        <f>INDEX('AEO 40'!I:I,MATCH('psgr LDVs'!$B15,'AEO 40'!$B:$B,0))</f>
        <v>45.354712999999997</v>
      </c>
      <c r="F15">
        <f>INDEX('AEO 40'!J:J,MATCH('psgr LDVs'!$B15,'AEO 40'!$B:$B,0))</f>
        <v>46.012107999999998</v>
      </c>
      <c r="G15">
        <f>INDEX('AEO 40'!K:K,MATCH('psgr LDVs'!$B15,'AEO 40'!$B:$B,0))</f>
        <v>46.680264000000001</v>
      </c>
      <c r="H15">
        <f>INDEX('AEO 40'!L:L,MATCH('psgr LDVs'!$B15,'AEO 40'!$B:$B,0))</f>
        <v>47.185074</v>
      </c>
      <c r="I15">
        <f>INDEX('AEO 40'!M:M,MATCH('psgr LDVs'!$B15,'AEO 40'!$B:$B,0))</f>
        <v>47.796740999999997</v>
      </c>
      <c r="J15">
        <f>INDEX('AEO 40'!N:N,MATCH('psgr LDVs'!$B15,'AEO 40'!$B:$B,0))</f>
        <v>47.821854000000002</v>
      </c>
      <c r="K15">
        <f>INDEX('AEO 40'!O:O,MATCH('psgr LDVs'!$B15,'AEO 40'!$B:$B,0))</f>
        <v>47.724083</v>
      </c>
      <c r="L15">
        <f>INDEX('AEO 40'!P:P,MATCH('psgr LDVs'!$B15,'AEO 40'!$B:$B,0))</f>
        <v>47.664473999999998</v>
      </c>
      <c r="M15">
        <f>INDEX('AEO 40'!Q:Q,MATCH('psgr LDVs'!$B15,'AEO 40'!$B:$B,0))</f>
        <v>47.650908999999999</v>
      </c>
      <c r="N15">
        <f>INDEX('AEO 40'!R:R,MATCH('psgr LDVs'!$B15,'AEO 40'!$B:$B,0))</f>
        <v>47.539561999999997</v>
      </c>
      <c r="O15">
        <f>INDEX('AEO 40'!S:S,MATCH('psgr LDVs'!$B15,'AEO 40'!$B:$B,0))</f>
        <v>47.488632000000003</v>
      </c>
      <c r="P15">
        <f>INDEX('AEO 40'!T:T,MATCH('psgr LDVs'!$B15,'AEO 40'!$B:$B,0))</f>
        <v>47.426285</v>
      </c>
      <c r="Q15">
        <f>INDEX('AEO 40'!U:U,MATCH('psgr LDVs'!$B15,'AEO 40'!$B:$B,0))</f>
        <v>47.384692999999999</v>
      </c>
      <c r="R15">
        <f>INDEX('AEO 40'!V:V,MATCH('psgr LDVs'!$B15,'AEO 40'!$B:$B,0))</f>
        <v>47.291466</v>
      </c>
      <c r="S15">
        <f>INDEX('AEO 40'!W:W,MATCH('psgr LDVs'!$B15,'AEO 40'!$B:$B,0))</f>
        <v>47.233871000000001</v>
      </c>
      <c r="T15">
        <f>INDEX('AEO 40'!X:X,MATCH('psgr LDVs'!$B15,'AEO 40'!$B:$B,0))</f>
        <v>47.174019000000001</v>
      </c>
      <c r="U15">
        <f>INDEX('AEO 40'!Y:Y,MATCH('psgr LDVs'!$B15,'AEO 40'!$B:$B,0))</f>
        <v>47.117657000000001</v>
      </c>
      <c r="V15">
        <f>INDEX('AEO 40'!Z:Z,MATCH('psgr LDVs'!$B15,'AEO 40'!$B:$B,0))</f>
        <v>47.043140000000001</v>
      </c>
      <c r="W15">
        <f>INDEX('AEO 40'!AA:AA,MATCH('psgr LDVs'!$B15,'AEO 40'!$B:$B,0))</f>
        <v>46.985377999999997</v>
      </c>
      <c r="X15">
        <f>INDEX('AEO 40'!AB:AB,MATCH('psgr LDVs'!$B15,'AEO 40'!$B:$B,0))</f>
        <v>46.916564999999999</v>
      </c>
      <c r="Y15">
        <f>INDEX('AEO 40'!AC:AC,MATCH('psgr LDVs'!$B15,'AEO 40'!$B:$B,0))</f>
        <v>46.845756999999999</v>
      </c>
      <c r="Z15">
        <f>INDEX('AEO 40'!AD:AD,MATCH('psgr LDVs'!$B15,'AEO 40'!$B:$B,0))</f>
        <v>46.777000000000001</v>
      </c>
      <c r="AA15">
        <f>INDEX('AEO 40'!AE:AE,MATCH('psgr LDVs'!$B15,'AEO 40'!$B:$B,0))</f>
        <v>46.714320999999998</v>
      </c>
      <c r="AB15">
        <f>INDEX('AEO 40'!AF:AF,MATCH('psgr LDVs'!$B15,'AEO 40'!$B:$B,0))</f>
        <v>46.653229000000003</v>
      </c>
      <c r="AC15">
        <f>INDEX('AEO 40'!AG:AG,MATCH('psgr LDVs'!$B15,'AEO 40'!$B:$B,0))</f>
        <v>46.583976999999997</v>
      </c>
      <c r="AD15">
        <f>INDEX('AEO 40'!AH:AH,MATCH('psgr LDVs'!$B15,'AEO 40'!$B:$B,0))</f>
        <v>46.527424000000003</v>
      </c>
      <c r="AE15">
        <f>INDEX('AEO 40'!AI:AI,MATCH('psgr LDVs'!$B15,'AEO 40'!$B:$B,0))</f>
        <v>46.464230000000001</v>
      </c>
      <c r="AF15">
        <f>INDEX('AEO 40'!AJ:AJ,MATCH('psgr LDVs'!$B15,'AEO 40'!$B:$B,0))</f>
        <v>46.417346999999999</v>
      </c>
      <c r="AG15">
        <f>INDEX('AEO 40'!AK:AK,MATCH('psgr LDVs'!$B15,'AEO 40'!$B:$B,0))</f>
        <v>46.364136000000002</v>
      </c>
    </row>
    <row r="16" spans="1:33" ht="13.6">
      <c r="A16" s="114" t="s">
        <v>853</v>
      </c>
      <c r="B16" s="110" t="s">
        <v>883</v>
      </c>
      <c r="C16">
        <f>INDEX('AEO 40'!G:G,MATCH('psgr LDVs'!$B16,'AEO 40'!$B:$B,0))</f>
        <v>42.023262000000003</v>
      </c>
      <c r="D16">
        <f>INDEX('AEO 40'!H:H,MATCH('psgr LDVs'!$B16,'AEO 40'!$B:$B,0))</f>
        <v>44.358325999999998</v>
      </c>
      <c r="E16">
        <f>INDEX('AEO 40'!I:I,MATCH('psgr LDVs'!$B16,'AEO 40'!$B:$B,0))</f>
        <v>44.903205999999997</v>
      </c>
      <c r="F16">
        <f>INDEX('AEO 40'!J:J,MATCH('psgr LDVs'!$B16,'AEO 40'!$B:$B,0))</f>
        <v>45.501362</v>
      </c>
      <c r="G16">
        <f>INDEX('AEO 40'!K:K,MATCH('psgr LDVs'!$B16,'AEO 40'!$B:$B,0))</f>
        <v>46.023895000000003</v>
      </c>
      <c r="H16">
        <f>INDEX('AEO 40'!L:L,MATCH('psgr LDVs'!$B16,'AEO 40'!$B:$B,0))</f>
        <v>46.510002</v>
      </c>
      <c r="I16">
        <f>INDEX('AEO 40'!M:M,MATCH('psgr LDVs'!$B16,'AEO 40'!$B:$B,0))</f>
        <v>47.123362999999998</v>
      </c>
      <c r="J16">
        <f>INDEX('AEO 40'!N:N,MATCH('psgr LDVs'!$B16,'AEO 40'!$B:$B,0))</f>
        <v>47.149250000000002</v>
      </c>
      <c r="K16">
        <f>INDEX('AEO 40'!O:O,MATCH('psgr LDVs'!$B16,'AEO 40'!$B:$B,0))</f>
        <v>47.074233999999997</v>
      </c>
      <c r="L16">
        <f>INDEX('AEO 40'!P:P,MATCH('psgr LDVs'!$B16,'AEO 40'!$B:$B,0))</f>
        <v>47.020443</v>
      </c>
      <c r="M16">
        <f>INDEX('AEO 40'!Q:Q,MATCH('psgr LDVs'!$B16,'AEO 40'!$B:$B,0))</f>
        <v>47.004593</v>
      </c>
      <c r="N16">
        <f>INDEX('AEO 40'!R:R,MATCH('psgr LDVs'!$B16,'AEO 40'!$B:$B,0))</f>
        <v>46.943367000000002</v>
      </c>
      <c r="O16">
        <f>INDEX('AEO 40'!S:S,MATCH('psgr LDVs'!$B16,'AEO 40'!$B:$B,0))</f>
        <v>46.897697000000001</v>
      </c>
      <c r="P16">
        <f>INDEX('AEO 40'!T:T,MATCH('psgr LDVs'!$B16,'AEO 40'!$B:$B,0))</f>
        <v>46.853625999999998</v>
      </c>
      <c r="Q16">
        <f>INDEX('AEO 40'!U:U,MATCH('psgr LDVs'!$B16,'AEO 40'!$B:$B,0))</f>
        <v>46.817013000000003</v>
      </c>
      <c r="R16">
        <f>INDEX('AEO 40'!V:V,MATCH('psgr LDVs'!$B16,'AEO 40'!$B:$B,0))</f>
        <v>46.744019000000002</v>
      </c>
      <c r="S16">
        <f>INDEX('AEO 40'!W:W,MATCH('psgr LDVs'!$B16,'AEO 40'!$B:$B,0))</f>
        <v>46.681877</v>
      </c>
      <c r="T16">
        <f>INDEX('AEO 40'!X:X,MATCH('psgr LDVs'!$B16,'AEO 40'!$B:$B,0))</f>
        <v>46.629703999999997</v>
      </c>
      <c r="U16">
        <f>INDEX('AEO 40'!Y:Y,MATCH('psgr LDVs'!$B16,'AEO 40'!$B:$B,0))</f>
        <v>46.580607999999998</v>
      </c>
      <c r="V16">
        <f>INDEX('AEO 40'!Z:Z,MATCH('psgr LDVs'!$B16,'AEO 40'!$B:$B,0))</f>
        <v>46.517651000000001</v>
      </c>
      <c r="W16">
        <f>INDEX('AEO 40'!AA:AA,MATCH('psgr LDVs'!$B16,'AEO 40'!$B:$B,0))</f>
        <v>46.460814999999997</v>
      </c>
      <c r="X16">
        <f>INDEX('AEO 40'!AB:AB,MATCH('psgr LDVs'!$B16,'AEO 40'!$B:$B,0))</f>
        <v>46.404407999999997</v>
      </c>
      <c r="Y16">
        <f>INDEX('AEO 40'!AC:AC,MATCH('psgr LDVs'!$B16,'AEO 40'!$B:$B,0))</f>
        <v>46.344634999999997</v>
      </c>
      <c r="Z16">
        <f>INDEX('AEO 40'!AD:AD,MATCH('psgr LDVs'!$B16,'AEO 40'!$B:$B,0))</f>
        <v>46.28754</v>
      </c>
      <c r="AA16">
        <f>INDEX('AEO 40'!AE:AE,MATCH('psgr LDVs'!$B16,'AEO 40'!$B:$B,0))</f>
        <v>46.236732000000003</v>
      </c>
      <c r="AB16">
        <f>INDEX('AEO 40'!AF:AF,MATCH('psgr LDVs'!$B16,'AEO 40'!$B:$B,0))</f>
        <v>46.187519000000002</v>
      </c>
      <c r="AC16">
        <f>INDEX('AEO 40'!AG:AG,MATCH('psgr LDVs'!$B16,'AEO 40'!$B:$B,0))</f>
        <v>46.132404000000001</v>
      </c>
      <c r="AD16">
        <f>INDEX('AEO 40'!AH:AH,MATCH('psgr LDVs'!$B16,'AEO 40'!$B:$B,0))</f>
        <v>46.083378000000003</v>
      </c>
      <c r="AE16">
        <f>INDEX('AEO 40'!AI:AI,MATCH('psgr LDVs'!$B16,'AEO 40'!$B:$B,0))</f>
        <v>46.023482999999999</v>
      </c>
      <c r="AF16">
        <f>INDEX('AEO 40'!AJ:AJ,MATCH('psgr LDVs'!$B16,'AEO 40'!$B:$B,0))</f>
        <v>45.975223999999997</v>
      </c>
      <c r="AG16">
        <f>INDEX('AEO 40'!AK:AK,MATCH('psgr LDVs'!$B16,'AEO 40'!$B:$B,0))</f>
        <v>45.924174999999998</v>
      </c>
    </row>
    <row r="17" spans="1:33" ht="13.6">
      <c r="A17" s="114" t="s">
        <v>854</v>
      </c>
      <c r="B17" s="110" t="s">
        <v>884</v>
      </c>
      <c r="C17">
        <f>INDEX('AEO 40'!G:G,MATCH('psgr LDVs'!$B17,'AEO 40'!$B:$B,0))</f>
        <v>0</v>
      </c>
      <c r="D17">
        <f>INDEX('AEO 40'!H:H,MATCH('psgr LDVs'!$B17,'AEO 40'!$B:$B,0))</f>
        <v>0</v>
      </c>
      <c r="E17">
        <f>INDEX('AEO 40'!I:I,MATCH('psgr LDVs'!$B17,'AEO 40'!$B:$B,0))</f>
        <v>0</v>
      </c>
      <c r="F17">
        <f>INDEX('AEO 40'!J:J,MATCH('psgr LDVs'!$B17,'AEO 40'!$B:$B,0))</f>
        <v>0</v>
      </c>
      <c r="G17">
        <f>INDEX('AEO 40'!K:K,MATCH('psgr LDVs'!$B17,'AEO 40'!$B:$B,0))</f>
        <v>0</v>
      </c>
      <c r="H17">
        <f>INDEX('AEO 40'!L:L,MATCH('psgr LDVs'!$B17,'AEO 40'!$B:$B,0))</f>
        <v>0</v>
      </c>
      <c r="I17">
        <f>INDEX('AEO 40'!M:M,MATCH('psgr LDVs'!$B17,'AEO 40'!$B:$B,0))</f>
        <v>0</v>
      </c>
      <c r="J17">
        <f>INDEX('AEO 40'!N:N,MATCH('psgr LDVs'!$B17,'AEO 40'!$B:$B,0))</f>
        <v>0</v>
      </c>
      <c r="K17">
        <f>INDEX('AEO 40'!O:O,MATCH('psgr LDVs'!$B17,'AEO 40'!$B:$B,0))</f>
        <v>0</v>
      </c>
      <c r="L17">
        <f>INDEX('AEO 40'!P:P,MATCH('psgr LDVs'!$B17,'AEO 40'!$B:$B,0))</f>
        <v>0</v>
      </c>
      <c r="M17">
        <f>INDEX('AEO 40'!Q:Q,MATCH('psgr LDVs'!$B17,'AEO 40'!$B:$B,0))</f>
        <v>0</v>
      </c>
      <c r="N17">
        <f>INDEX('AEO 40'!R:R,MATCH('psgr LDVs'!$B17,'AEO 40'!$B:$B,0))</f>
        <v>0</v>
      </c>
      <c r="O17">
        <f>INDEX('AEO 40'!S:S,MATCH('psgr LDVs'!$B17,'AEO 40'!$B:$B,0))</f>
        <v>0</v>
      </c>
      <c r="P17">
        <f>INDEX('AEO 40'!T:T,MATCH('psgr LDVs'!$B17,'AEO 40'!$B:$B,0))</f>
        <v>0</v>
      </c>
      <c r="Q17">
        <f>INDEX('AEO 40'!U:U,MATCH('psgr LDVs'!$B17,'AEO 40'!$B:$B,0))</f>
        <v>0</v>
      </c>
      <c r="R17">
        <f>INDEX('AEO 40'!V:V,MATCH('psgr LDVs'!$B17,'AEO 40'!$B:$B,0))</f>
        <v>0</v>
      </c>
      <c r="S17">
        <f>INDEX('AEO 40'!W:W,MATCH('psgr LDVs'!$B17,'AEO 40'!$B:$B,0))</f>
        <v>0</v>
      </c>
      <c r="T17">
        <f>INDEX('AEO 40'!X:X,MATCH('psgr LDVs'!$B17,'AEO 40'!$B:$B,0))</f>
        <v>0</v>
      </c>
      <c r="U17">
        <f>INDEX('AEO 40'!Y:Y,MATCH('psgr LDVs'!$B17,'AEO 40'!$B:$B,0))</f>
        <v>0</v>
      </c>
      <c r="V17">
        <f>INDEX('AEO 40'!Z:Z,MATCH('psgr LDVs'!$B17,'AEO 40'!$B:$B,0))</f>
        <v>0</v>
      </c>
      <c r="W17">
        <f>INDEX('AEO 40'!AA:AA,MATCH('psgr LDVs'!$B17,'AEO 40'!$B:$B,0))</f>
        <v>0</v>
      </c>
      <c r="X17">
        <f>INDEX('AEO 40'!AB:AB,MATCH('psgr LDVs'!$B17,'AEO 40'!$B:$B,0))</f>
        <v>0</v>
      </c>
      <c r="Y17">
        <f>INDEX('AEO 40'!AC:AC,MATCH('psgr LDVs'!$B17,'AEO 40'!$B:$B,0))</f>
        <v>0</v>
      </c>
      <c r="Z17">
        <f>INDEX('AEO 40'!AD:AD,MATCH('psgr LDVs'!$B17,'AEO 40'!$B:$B,0))</f>
        <v>0</v>
      </c>
      <c r="AA17">
        <f>INDEX('AEO 40'!AE:AE,MATCH('psgr LDVs'!$B17,'AEO 40'!$B:$B,0))</f>
        <v>0</v>
      </c>
      <c r="AB17">
        <f>INDEX('AEO 40'!AF:AF,MATCH('psgr LDVs'!$B17,'AEO 40'!$B:$B,0))</f>
        <v>0</v>
      </c>
      <c r="AC17">
        <f>INDEX('AEO 40'!AG:AG,MATCH('psgr LDVs'!$B17,'AEO 40'!$B:$B,0))</f>
        <v>0</v>
      </c>
      <c r="AD17">
        <f>INDEX('AEO 40'!AH:AH,MATCH('psgr LDVs'!$B17,'AEO 40'!$B:$B,0))</f>
        <v>0</v>
      </c>
      <c r="AE17">
        <f>INDEX('AEO 40'!AI:AI,MATCH('psgr LDVs'!$B17,'AEO 40'!$B:$B,0))</f>
        <v>0</v>
      </c>
      <c r="AF17">
        <f>INDEX('AEO 40'!AJ:AJ,MATCH('psgr LDVs'!$B17,'AEO 40'!$B:$B,0))</f>
        <v>0</v>
      </c>
      <c r="AG17">
        <f>INDEX('AEO 40'!AK:AK,MATCH('psgr LDVs'!$B17,'AEO 40'!$B:$B,0))</f>
        <v>0</v>
      </c>
    </row>
    <row r="18" spans="1:33" ht="13.6">
      <c r="A18" s="114" t="s">
        <v>854</v>
      </c>
      <c r="B18" s="110" t="s">
        <v>885</v>
      </c>
      <c r="C18">
        <f>INDEX('AEO 40'!G:G,MATCH('psgr LDVs'!$B18,'AEO 40'!$B:$B,0))</f>
        <v>52.413367999999998</v>
      </c>
      <c r="D18">
        <f>INDEX('AEO 40'!H:H,MATCH('psgr LDVs'!$B18,'AEO 40'!$B:$B,0))</f>
        <v>52.369132999999998</v>
      </c>
      <c r="E18">
        <f>INDEX('AEO 40'!I:I,MATCH('psgr LDVs'!$B18,'AEO 40'!$B:$B,0))</f>
        <v>52.347267000000002</v>
      </c>
      <c r="F18">
        <f>INDEX('AEO 40'!J:J,MATCH('psgr LDVs'!$B18,'AEO 40'!$B:$B,0))</f>
        <v>52.431266999999998</v>
      </c>
      <c r="G18">
        <f>INDEX('AEO 40'!K:K,MATCH('psgr LDVs'!$B18,'AEO 40'!$B:$B,0))</f>
        <v>52.610073</v>
      </c>
      <c r="H18">
        <f>INDEX('AEO 40'!L:L,MATCH('psgr LDVs'!$B18,'AEO 40'!$B:$B,0))</f>
        <v>52.796734000000001</v>
      </c>
      <c r="I18">
        <f>INDEX('AEO 40'!M:M,MATCH('psgr LDVs'!$B18,'AEO 40'!$B:$B,0))</f>
        <v>53.046658000000001</v>
      </c>
      <c r="J18">
        <f>INDEX('AEO 40'!N:N,MATCH('psgr LDVs'!$B18,'AEO 40'!$B:$B,0))</f>
        <v>53.047482000000002</v>
      </c>
      <c r="K18">
        <f>INDEX('AEO 40'!O:O,MATCH('psgr LDVs'!$B18,'AEO 40'!$B:$B,0))</f>
        <v>53.096645000000002</v>
      </c>
      <c r="L18">
        <f>INDEX('AEO 40'!P:P,MATCH('psgr LDVs'!$B18,'AEO 40'!$B:$B,0))</f>
        <v>53.121341999999999</v>
      </c>
      <c r="M18">
        <f>INDEX('AEO 40'!Q:Q,MATCH('psgr LDVs'!$B18,'AEO 40'!$B:$B,0))</f>
        <v>53.140663000000004</v>
      </c>
      <c r="N18">
        <f>INDEX('AEO 40'!R:R,MATCH('psgr LDVs'!$B18,'AEO 40'!$B:$B,0))</f>
        <v>53.163288000000001</v>
      </c>
      <c r="O18">
        <f>INDEX('AEO 40'!S:S,MATCH('psgr LDVs'!$B18,'AEO 40'!$B:$B,0))</f>
        <v>53.183394999999997</v>
      </c>
      <c r="P18">
        <f>INDEX('AEO 40'!T:T,MATCH('psgr LDVs'!$B18,'AEO 40'!$B:$B,0))</f>
        <v>53.199001000000003</v>
      </c>
      <c r="Q18">
        <f>INDEX('AEO 40'!U:U,MATCH('psgr LDVs'!$B18,'AEO 40'!$B:$B,0))</f>
        <v>53.218516999999999</v>
      </c>
      <c r="R18">
        <f>INDEX('AEO 40'!V:V,MATCH('psgr LDVs'!$B18,'AEO 40'!$B:$B,0))</f>
        <v>53.241382999999999</v>
      </c>
      <c r="S18">
        <f>INDEX('AEO 40'!W:W,MATCH('psgr LDVs'!$B18,'AEO 40'!$B:$B,0))</f>
        <v>53.263615000000001</v>
      </c>
      <c r="T18">
        <f>INDEX('AEO 40'!X:X,MATCH('psgr LDVs'!$B18,'AEO 40'!$B:$B,0))</f>
        <v>53.283104000000002</v>
      </c>
      <c r="U18">
        <f>INDEX('AEO 40'!Y:Y,MATCH('psgr LDVs'!$B18,'AEO 40'!$B:$B,0))</f>
        <v>53.301116999999998</v>
      </c>
      <c r="V18">
        <f>INDEX('AEO 40'!Z:Z,MATCH('psgr LDVs'!$B18,'AEO 40'!$B:$B,0))</f>
        <v>53.320701999999997</v>
      </c>
      <c r="W18">
        <f>INDEX('AEO 40'!AA:AA,MATCH('psgr LDVs'!$B18,'AEO 40'!$B:$B,0))</f>
        <v>53.339179999999999</v>
      </c>
      <c r="X18">
        <f>INDEX('AEO 40'!AB:AB,MATCH('psgr LDVs'!$B18,'AEO 40'!$B:$B,0))</f>
        <v>53.357886999999998</v>
      </c>
      <c r="Y18">
        <f>INDEX('AEO 40'!AC:AC,MATCH('psgr LDVs'!$B18,'AEO 40'!$B:$B,0))</f>
        <v>53.376598000000001</v>
      </c>
      <c r="Z18">
        <f>INDEX('AEO 40'!AD:AD,MATCH('psgr LDVs'!$B18,'AEO 40'!$B:$B,0))</f>
        <v>53.394801999999999</v>
      </c>
      <c r="AA18">
        <f>INDEX('AEO 40'!AE:AE,MATCH('psgr LDVs'!$B18,'AEO 40'!$B:$B,0))</f>
        <v>53.413342</v>
      </c>
      <c r="AB18">
        <f>INDEX('AEO 40'!AF:AF,MATCH('psgr LDVs'!$B18,'AEO 40'!$B:$B,0))</f>
        <v>53.430774999999997</v>
      </c>
      <c r="AC18">
        <f>INDEX('AEO 40'!AG:AG,MATCH('psgr LDVs'!$B18,'AEO 40'!$B:$B,0))</f>
        <v>53.448017</v>
      </c>
      <c r="AD18">
        <f>INDEX('AEO 40'!AH:AH,MATCH('psgr LDVs'!$B18,'AEO 40'!$B:$B,0))</f>
        <v>53.464576999999998</v>
      </c>
      <c r="AE18">
        <f>INDEX('AEO 40'!AI:AI,MATCH('psgr LDVs'!$B18,'AEO 40'!$B:$B,0))</f>
        <v>53.480899999999998</v>
      </c>
      <c r="AF18">
        <f>INDEX('AEO 40'!AJ:AJ,MATCH('psgr LDVs'!$B18,'AEO 40'!$B:$B,0))</f>
        <v>53.495609000000002</v>
      </c>
      <c r="AG18">
        <f>INDEX('AEO 40'!AK:AK,MATCH('psgr LDVs'!$B18,'AEO 40'!$B:$B,0))</f>
        <v>53.50967</v>
      </c>
    </row>
    <row r="19" spans="1:33" ht="13.6">
      <c r="A19" s="114"/>
      <c r="B19" s="110" t="s">
        <v>886</v>
      </c>
      <c r="C19">
        <f>INDEX('AEO 40'!G:G,MATCH('psgr LDVs'!$B19,'AEO 40'!$B:$B,0))</f>
        <v>43.264011000000004</v>
      </c>
      <c r="D19">
        <f>INDEX('AEO 40'!H:H,MATCH('psgr LDVs'!$B19,'AEO 40'!$B:$B,0))</f>
        <v>45.133468999999998</v>
      </c>
      <c r="E19">
        <f>INDEX('AEO 40'!I:I,MATCH('psgr LDVs'!$B19,'AEO 40'!$B:$B,0))</f>
        <v>45.638382</v>
      </c>
      <c r="F19">
        <f>INDEX('AEO 40'!J:J,MATCH('psgr LDVs'!$B19,'AEO 40'!$B:$B,0))</f>
        <v>46.329559000000003</v>
      </c>
      <c r="G19">
        <f>INDEX('AEO 40'!K:K,MATCH('psgr LDVs'!$B19,'AEO 40'!$B:$B,0))</f>
        <v>46.974044999999997</v>
      </c>
      <c r="H19">
        <f>INDEX('AEO 40'!L:L,MATCH('psgr LDVs'!$B19,'AEO 40'!$B:$B,0))</f>
        <v>47.544497999999997</v>
      </c>
      <c r="I19">
        <f>INDEX('AEO 40'!M:M,MATCH('psgr LDVs'!$B19,'AEO 40'!$B:$B,0))</f>
        <v>48.288283999999997</v>
      </c>
      <c r="J19">
        <f>INDEX('AEO 40'!N:N,MATCH('psgr LDVs'!$B19,'AEO 40'!$B:$B,0))</f>
        <v>48.419249999999998</v>
      </c>
      <c r="K19">
        <f>INDEX('AEO 40'!O:O,MATCH('psgr LDVs'!$B19,'AEO 40'!$B:$B,0))</f>
        <v>48.519196000000001</v>
      </c>
      <c r="L19">
        <f>INDEX('AEO 40'!P:P,MATCH('psgr LDVs'!$B19,'AEO 40'!$B:$B,0))</f>
        <v>48.602192000000002</v>
      </c>
      <c r="M19">
        <f>INDEX('AEO 40'!Q:Q,MATCH('psgr LDVs'!$B19,'AEO 40'!$B:$B,0))</f>
        <v>48.758029999999998</v>
      </c>
      <c r="N19">
        <f>INDEX('AEO 40'!R:R,MATCH('psgr LDVs'!$B19,'AEO 40'!$B:$B,0))</f>
        <v>48.944358999999999</v>
      </c>
      <c r="O19">
        <f>INDEX('AEO 40'!S:S,MATCH('psgr LDVs'!$B19,'AEO 40'!$B:$B,0))</f>
        <v>49.116050999999999</v>
      </c>
      <c r="P19">
        <f>INDEX('AEO 40'!T:T,MATCH('psgr LDVs'!$B19,'AEO 40'!$B:$B,0))</f>
        <v>49.343533000000001</v>
      </c>
      <c r="Q19">
        <f>INDEX('AEO 40'!U:U,MATCH('psgr LDVs'!$B19,'AEO 40'!$B:$B,0))</f>
        <v>49.588878999999999</v>
      </c>
      <c r="R19">
        <f>INDEX('AEO 40'!V:V,MATCH('psgr LDVs'!$B19,'AEO 40'!$B:$B,0))</f>
        <v>49.838386999999997</v>
      </c>
      <c r="S19">
        <f>INDEX('AEO 40'!W:W,MATCH('psgr LDVs'!$B19,'AEO 40'!$B:$B,0))</f>
        <v>50.062164000000003</v>
      </c>
      <c r="T19">
        <f>INDEX('AEO 40'!X:X,MATCH('psgr LDVs'!$B19,'AEO 40'!$B:$B,0))</f>
        <v>50.324268000000004</v>
      </c>
      <c r="U19">
        <f>INDEX('AEO 40'!Y:Y,MATCH('psgr LDVs'!$B19,'AEO 40'!$B:$B,0))</f>
        <v>50.609341000000001</v>
      </c>
      <c r="V19">
        <f>INDEX('AEO 40'!Z:Z,MATCH('psgr LDVs'!$B19,'AEO 40'!$B:$B,0))</f>
        <v>50.887779000000002</v>
      </c>
      <c r="W19">
        <f>INDEX('AEO 40'!AA:AA,MATCH('psgr LDVs'!$B19,'AEO 40'!$B:$B,0))</f>
        <v>51.161552</v>
      </c>
      <c r="X19">
        <f>INDEX('AEO 40'!AB:AB,MATCH('psgr LDVs'!$B19,'AEO 40'!$B:$B,0))</f>
        <v>51.375084000000001</v>
      </c>
      <c r="Y19">
        <f>INDEX('AEO 40'!AC:AC,MATCH('psgr LDVs'!$B19,'AEO 40'!$B:$B,0))</f>
        <v>51.577618000000001</v>
      </c>
      <c r="Z19">
        <f>INDEX('AEO 40'!AD:AD,MATCH('psgr LDVs'!$B19,'AEO 40'!$B:$B,0))</f>
        <v>51.784939000000001</v>
      </c>
      <c r="AA19">
        <f>INDEX('AEO 40'!AE:AE,MATCH('psgr LDVs'!$B19,'AEO 40'!$B:$B,0))</f>
        <v>52.021469000000003</v>
      </c>
      <c r="AB19">
        <f>INDEX('AEO 40'!AF:AF,MATCH('psgr LDVs'!$B19,'AEO 40'!$B:$B,0))</f>
        <v>52.278286000000001</v>
      </c>
      <c r="AC19">
        <f>INDEX('AEO 40'!AG:AG,MATCH('psgr LDVs'!$B19,'AEO 40'!$B:$B,0))</f>
        <v>52.554256000000002</v>
      </c>
      <c r="AD19">
        <f>INDEX('AEO 40'!AH:AH,MATCH('psgr LDVs'!$B19,'AEO 40'!$B:$B,0))</f>
        <v>52.823684999999998</v>
      </c>
      <c r="AE19">
        <f>INDEX('AEO 40'!AI:AI,MATCH('psgr LDVs'!$B19,'AEO 40'!$B:$B,0))</f>
        <v>53.105880999999997</v>
      </c>
      <c r="AF19">
        <f>INDEX('AEO 40'!AJ:AJ,MATCH('psgr LDVs'!$B19,'AEO 40'!$B:$B,0))</f>
        <v>53.415283000000002</v>
      </c>
      <c r="AG19">
        <f>INDEX('AEO 40'!AK:AK,MATCH('psgr LDVs'!$B19,'AEO 40'!$B:$B,0))</f>
        <v>53.766708000000001</v>
      </c>
    </row>
    <row r="20" spans="1:33" ht="13.6">
      <c r="A20" s="114"/>
      <c r="B20" s="110"/>
      <c r="C20" t="e">
        <f>INDEX('AEO 40'!G:G,MATCH('psgr LDVs'!$B20,'AEO 40'!$B:$B,0))</f>
        <v>#N/A</v>
      </c>
      <c r="D20" t="e">
        <f>INDEX('AEO 40'!H:H,MATCH('psgr LDVs'!$B20,'AEO 40'!$B:$B,0))</f>
        <v>#N/A</v>
      </c>
      <c r="E20" t="e">
        <f>INDEX('AEO 40'!I:I,MATCH('psgr LDVs'!$B20,'AEO 40'!$B:$B,0))</f>
        <v>#N/A</v>
      </c>
      <c r="F20" t="e">
        <f>INDEX('AEO 40'!J:J,MATCH('psgr LDVs'!$B20,'AEO 40'!$B:$B,0))</f>
        <v>#N/A</v>
      </c>
      <c r="G20" t="e">
        <f>INDEX('AEO 40'!K:K,MATCH('psgr LDVs'!$B20,'AEO 40'!$B:$B,0))</f>
        <v>#N/A</v>
      </c>
      <c r="H20" t="e">
        <f>INDEX('AEO 40'!L:L,MATCH('psgr LDVs'!$B20,'AEO 40'!$B:$B,0))</f>
        <v>#N/A</v>
      </c>
      <c r="I20" t="e">
        <f>INDEX('AEO 40'!M:M,MATCH('psgr LDVs'!$B20,'AEO 40'!$B:$B,0))</f>
        <v>#N/A</v>
      </c>
      <c r="J20" t="e">
        <f>INDEX('AEO 40'!N:N,MATCH('psgr LDVs'!$B20,'AEO 40'!$B:$B,0))</f>
        <v>#N/A</v>
      </c>
      <c r="K20" t="e">
        <f>INDEX('AEO 40'!O:O,MATCH('psgr LDVs'!$B20,'AEO 40'!$B:$B,0))</f>
        <v>#N/A</v>
      </c>
      <c r="L20" t="e">
        <f>INDEX('AEO 40'!P:P,MATCH('psgr LDVs'!$B20,'AEO 40'!$B:$B,0))</f>
        <v>#N/A</v>
      </c>
      <c r="M20" t="e">
        <f>INDEX('AEO 40'!Q:Q,MATCH('psgr LDVs'!$B20,'AEO 40'!$B:$B,0))</f>
        <v>#N/A</v>
      </c>
      <c r="N20" t="e">
        <f>INDEX('AEO 40'!R:R,MATCH('psgr LDVs'!$B20,'AEO 40'!$B:$B,0))</f>
        <v>#N/A</v>
      </c>
      <c r="O20" t="e">
        <f>INDEX('AEO 40'!S:S,MATCH('psgr LDVs'!$B20,'AEO 40'!$B:$B,0))</f>
        <v>#N/A</v>
      </c>
      <c r="P20" t="e">
        <f>INDEX('AEO 40'!T:T,MATCH('psgr LDVs'!$B20,'AEO 40'!$B:$B,0))</f>
        <v>#N/A</v>
      </c>
      <c r="Q20" t="e">
        <f>INDEX('AEO 40'!U:U,MATCH('psgr LDVs'!$B20,'AEO 40'!$B:$B,0))</f>
        <v>#N/A</v>
      </c>
      <c r="R20" t="e">
        <f>INDEX('AEO 40'!V:V,MATCH('psgr LDVs'!$B20,'AEO 40'!$B:$B,0))</f>
        <v>#N/A</v>
      </c>
      <c r="S20" t="e">
        <f>INDEX('AEO 40'!W:W,MATCH('psgr LDVs'!$B20,'AEO 40'!$B:$B,0))</f>
        <v>#N/A</v>
      </c>
      <c r="T20" t="e">
        <f>INDEX('AEO 40'!X:X,MATCH('psgr LDVs'!$B20,'AEO 40'!$B:$B,0))</f>
        <v>#N/A</v>
      </c>
      <c r="U20" t="e">
        <f>INDEX('AEO 40'!Y:Y,MATCH('psgr LDVs'!$B20,'AEO 40'!$B:$B,0))</f>
        <v>#N/A</v>
      </c>
      <c r="V20" t="e">
        <f>INDEX('AEO 40'!Z:Z,MATCH('psgr LDVs'!$B20,'AEO 40'!$B:$B,0))</f>
        <v>#N/A</v>
      </c>
      <c r="W20" t="e">
        <f>INDEX('AEO 40'!AA:AA,MATCH('psgr LDVs'!$B20,'AEO 40'!$B:$B,0))</f>
        <v>#N/A</v>
      </c>
      <c r="X20" t="e">
        <f>INDEX('AEO 40'!AB:AB,MATCH('psgr LDVs'!$B20,'AEO 40'!$B:$B,0))</f>
        <v>#N/A</v>
      </c>
      <c r="Y20" t="e">
        <f>INDEX('AEO 40'!AC:AC,MATCH('psgr LDVs'!$B20,'AEO 40'!$B:$B,0))</f>
        <v>#N/A</v>
      </c>
      <c r="Z20" t="e">
        <f>INDEX('AEO 40'!AD:AD,MATCH('psgr LDVs'!$B20,'AEO 40'!$B:$B,0))</f>
        <v>#N/A</v>
      </c>
      <c r="AA20" t="e">
        <f>INDEX('AEO 40'!AE:AE,MATCH('psgr LDVs'!$B20,'AEO 40'!$B:$B,0))</f>
        <v>#N/A</v>
      </c>
      <c r="AB20" t="e">
        <f>INDEX('AEO 40'!AF:AF,MATCH('psgr LDVs'!$B20,'AEO 40'!$B:$B,0))</f>
        <v>#N/A</v>
      </c>
      <c r="AC20" t="e">
        <f>INDEX('AEO 40'!AG:AG,MATCH('psgr LDVs'!$B20,'AEO 40'!$B:$B,0))</f>
        <v>#N/A</v>
      </c>
      <c r="AD20" t="e">
        <f>INDEX('AEO 40'!AH:AH,MATCH('psgr LDVs'!$B20,'AEO 40'!$B:$B,0))</f>
        <v>#N/A</v>
      </c>
      <c r="AE20" t="e">
        <f>INDEX('AEO 40'!AI:AI,MATCH('psgr LDVs'!$B20,'AEO 40'!$B:$B,0))</f>
        <v>#N/A</v>
      </c>
      <c r="AF20" t="e">
        <f>INDEX('AEO 40'!AJ:AJ,MATCH('psgr LDVs'!$B20,'AEO 40'!$B:$B,0))</f>
        <v>#N/A</v>
      </c>
      <c r="AG20" t="e">
        <f>INDEX('AEO 40'!AK:AK,MATCH('psgr LDVs'!$B20,'AEO 40'!$B:$B,0))</f>
        <v>#N/A</v>
      </c>
    </row>
    <row r="21" spans="1:33" ht="13.6">
      <c r="A21" s="114"/>
      <c r="B21" s="110"/>
      <c r="C21" t="e">
        <f>INDEX('AEO 40'!G:G,MATCH('psgr LDVs'!$B21,'AEO 40'!$B:$B,0))</f>
        <v>#N/A</v>
      </c>
      <c r="D21" t="e">
        <f>INDEX('AEO 40'!H:H,MATCH('psgr LDVs'!$B21,'AEO 40'!$B:$B,0))</f>
        <v>#N/A</v>
      </c>
      <c r="E21" t="e">
        <f>INDEX('AEO 40'!I:I,MATCH('psgr LDVs'!$B21,'AEO 40'!$B:$B,0))</f>
        <v>#N/A</v>
      </c>
      <c r="F21" t="e">
        <f>INDEX('AEO 40'!J:J,MATCH('psgr LDVs'!$B21,'AEO 40'!$B:$B,0))</f>
        <v>#N/A</v>
      </c>
      <c r="G21" t="e">
        <f>INDEX('AEO 40'!K:K,MATCH('psgr LDVs'!$B21,'AEO 40'!$B:$B,0))</f>
        <v>#N/A</v>
      </c>
      <c r="H21" t="e">
        <f>INDEX('AEO 40'!L:L,MATCH('psgr LDVs'!$B21,'AEO 40'!$B:$B,0))</f>
        <v>#N/A</v>
      </c>
      <c r="I21" t="e">
        <f>INDEX('AEO 40'!M:M,MATCH('psgr LDVs'!$B21,'AEO 40'!$B:$B,0))</f>
        <v>#N/A</v>
      </c>
      <c r="J21" t="e">
        <f>INDEX('AEO 40'!N:N,MATCH('psgr LDVs'!$B21,'AEO 40'!$B:$B,0))</f>
        <v>#N/A</v>
      </c>
      <c r="K21" t="e">
        <f>INDEX('AEO 40'!O:O,MATCH('psgr LDVs'!$B21,'AEO 40'!$B:$B,0))</f>
        <v>#N/A</v>
      </c>
      <c r="L21" t="e">
        <f>INDEX('AEO 40'!P:P,MATCH('psgr LDVs'!$B21,'AEO 40'!$B:$B,0))</f>
        <v>#N/A</v>
      </c>
      <c r="M21" t="e">
        <f>INDEX('AEO 40'!Q:Q,MATCH('psgr LDVs'!$B21,'AEO 40'!$B:$B,0))</f>
        <v>#N/A</v>
      </c>
      <c r="N21" t="e">
        <f>INDEX('AEO 40'!R:R,MATCH('psgr LDVs'!$B21,'AEO 40'!$B:$B,0))</f>
        <v>#N/A</v>
      </c>
      <c r="O21" t="e">
        <f>INDEX('AEO 40'!S:S,MATCH('psgr LDVs'!$B21,'AEO 40'!$B:$B,0))</f>
        <v>#N/A</v>
      </c>
      <c r="P21" t="e">
        <f>INDEX('AEO 40'!T:T,MATCH('psgr LDVs'!$B21,'AEO 40'!$B:$B,0))</f>
        <v>#N/A</v>
      </c>
      <c r="Q21" t="e">
        <f>INDEX('AEO 40'!U:U,MATCH('psgr LDVs'!$B21,'AEO 40'!$B:$B,0))</f>
        <v>#N/A</v>
      </c>
      <c r="R21" t="e">
        <f>INDEX('AEO 40'!V:V,MATCH('psgr LDVs'!$B21,'AEO 40'!$B:$B,0))</f>
        <v>#N/A</v>
      </c>
      <c r="S21" t="e">
        <f>INDEX('AEO 40'!W:W,MATCH('psgr LDVs'!$B21,'AEO 40'!$B:$B,0))</f>
        <v>#N/A</v>
      </c>
      <c r="T21" t="e">
        <f>INDEX('AEO 40'!X:X,MATCH('psgr LDVs'!$B21,'AEO 40'!$B:$B,0))</f>
        <v>#N/A</v>
      </c>
      <c r="U21" t="e">
        <f>INDEX('AEO 40'!Y:Y,MATCH('psgr LDVs'!$B21,'AEO 40'!$B:$B,0))</f>
        <v>#N/A</v>
      </c>
      <c r="V21" t="e">
        <f>INDEX('AEO 40'!Z:Z,MATCH('psgr LDVs'!$B21,'AEO 40'!$B:$B,0))</f>
        <v>#N/A</v>
      </c>
      <c r="W21" t="e">
        <f>INDEX('AEO 40'!AA:AA,MATCH('psgr LDVs'!$B21,'AEO 40'!$B:$B,0))</f>
        <v>#N/A</v>
      </c>
      <c r="X21" t="e">
        <f>INDEX('AEO 40'!AB:AB,MATCH('psgr LDVs'!$B21,'AEO 40'!$B:$B,0))</f>
        <v>#N/A</v>
      </c>
      <c r="Y21" t="e">
        <f>INDEX('AEO 40'!AC:AC,MATCH('psgr LDVs'!$B21,'AEO 40'!$B:$B,0))</f>
        <v>#N/A</v>
      </c>
      <c r="Z21" t="e">
        <f>INDEX('AEO 40'!AD:AD,MATCH('psgr LDVs'!$B21,'AEO 40'!$B:$B,0))</f>
        <v>#N/A</v>
      </c>
      <c r="AA21" t="e">
        <f>INDEX('AEO 40'!AE:AE,MATCH('psgr LDVs'!$B21,'AEO 40'!$B:$B,0))</f>
        <v>#N/A</v>
      </c>
      <c r="AB21" t="e">
        <f>INDEX('AEO 40'!AF:AF,MATCH('psgr LDVs'!$B21,'AEO 40'!$B:$B,0))</f>
        <v>#N/A</v>
      </c>
      <c r="AC21" t="e">
        <f>INDEX('AEO 40'!AG:AG,MATCH('psgr LDVs'!$B21,'AEO 40'!$B:$B,0))</f>
        <v>#N/A</v>
      </c>
      <c r="AD21" t="e">
        <f>INDEX('AEO 40'!AH:AH,MATCH('psgr LDVs'!$B21,'AEO 40'!$B:$B,0))</f>
        <v>#N/A</v>
      </c>
      <c r="AE21" t="e">
        <f>INDEX('AEO 40'!AI:AI,MATCH('psgr LDVs'!$B21,'AEO 40'!$B:$B,0))</f>
        <v>#N/A</v>
      </c>
      <c r="AF21" t="e">
        <f>INDEX('AEO 40'!AJ:AJ,MATCH('psgr LDVs'!$B21,'AEO 40'!$B:$B,0))</f>
        <v>#N/A</v>
      </c>
      <c r="AG21" t="e">
        <f>INDEX('AEO 40'!AK:AK,MATCH('psgr LDVs'!$B21,'AEO 40'!$B:$B,0))</f>
        <v>#N/A</v>
      </c>
    </row>
    <row r="22" spans="1:33" ht="13.6">
      <c r="A22" s="114" t="s">
        <v>114</v>
      </c>
      <c r="B22" s="110" t="s">
        <v>887</v>
      </c>
      <c r="C22">
        <f>INDEX('AEO 40'!G:G,MATCH('psgr LDVs'!$B22,'AEO 40'!$B:$B,0))</f>
        <v>30.781351000000001</v>
      </c>
      <c r="D22">
        <f>INDEX('AEO 40'!H:H,MATCH('psgr LDVs'!$B22,'AEO 40'!$B:$B,0))</f>
        <v>31.734869</v>
      </c>
      <c r="E22">
        <f>INDEX('AEO 40'!I:I,MATCH('psgr LDVs'!$B22,'AEO 40'!$B:$B,0))</f>
        <v>32.215733</v>
      </c>
      <c r="F22">
        <f>INDEX('AEO 40'!J:J,MATCH('psgr LDVs'!$B22,'AEO 40'!$B:$B,0))</f>
        <v>32.607708000000002</v>
      </c>
      <c r="G22">
        <f>INDEX('AEO 40'!K:K,MATCH('psgr LDVs'!$B22,'AEO 40'!$B:$B,0))</f>
        <v>32.887383</v>
      </c>
      <c r="H22">
        <f>INDEX('AEO 40'!L:L,MATCH('psgr LDVs'!$B22,'AEO 40'!$B:$B,0))</f>
        <v>33.219242000000001</v>
      </c>
      <c r="I22">
        <f>INDEX('AEO 40'!M:M,MATCH('psgr LDVs'!$B22,'AEO 40'!$B:$B,0))</f>
        <v>33.306679000000003</v>
      </c>
      <c r="J22">
        <f>INDEX('AEO 40'!N:N,MATCH('psgr LDVs'!$B22,'AEO 40'!$B:$B,0))</f>
        <v>33.296996999999998</v>
      </c>
      <c r="K22">
        <f>INDEX('AEO 40'!O:O,MATCH('psgr LDVs'!$B22,'AEO 40'!$B:$B,0))</f>
        <v>33.293453</v>
      </c>
      <c r="L22">
        <f>INDEX('AEO 40'!P:P,MATCH('psgr LDVs'!$B22,'AEO 40'!$B:$B,0))</f>
        <v>33.279564000000001</v>
      </c>
      <c r="M22">
        <f>INDEX('AEO 40'!Q:Q,MATCH('psgr LDVs'!$B22,'AEO 40'!$B:$B,0))</f>
        <v>33.274303000000003</v>
      </c>
      <c r="N22">
        <f>INDEX('AEO 40'!R:R,MATCH('psgr LDVs'!$B22,'AEO 40'!$B:$B,0))</f>
        <v>33.249251999999998</v>
      </c>
      <c r="O22">
        <f>INDEX('AEO 40'!S:S,MATCH('psgr LDVs'!$B22,'AEO 40'!$B:$B,0))</f>
        <v>33.221687000000003</v>
      </c>
      <c r="P22">
        <f>INDEX('AEO 40'!T:T,MATCH('psgr LDVs'!$B22,'AEO 40'!$B:$B,0))</f>
        <v>33.185428999999999</v>
      </c>
      <c r="Q22">
        <f>INDEX('AEO 40'!U:U,MATCH('psgr LDVs'!$B22,'AEO 40'!$B:$B,0))</f>
        <v>33.157100999999997</v>
      </c>
      <c r="R22">
        <f>INDEX('AEO 40'!V:V,MATCH('psgr LDVs'!$B22,'AEO 40'!$B:$B,0))</f>
        <v>33.122115999999998</v>
      </c>
      <c r="S22">
        <f>INDEX('AEO 40'!W:W,MATCH('psgr LDVs'!$B22,'AEO 40'!$B:$B,0))</f>
        <v>33.086300000000001</v>
      </c>
      <c r="T22">
        <f>INDEX('AEO 40'!X:X,MATCH('psgr LDVs'!$B22,'AEO 40'!$B:$B,0))</f>
        <v>33.052925000000002</v>
      </c>
      <c r="U22">
        <f>INDEX('AEO 40'!Y:Y,MATCH('psgr LDVs'!$B22,'AEO 40'!$B:$B,0))</f>
        <v>33.036205000000002</v>
      </c>
      <c r="V22">
        <f>INDEX('AEO 40'!Z:Z,MATCH('psgr LDVs'!$B22,'AEO 40'!$B:$B,0))</f>
        <v>33.002163000000003</v>
      </c>
      <c r="W22">
        <f>INDEX('AEO 40'!AA:AA,MATCH('psgr LDVs'!$B22,'AEO 40'!$B:$B,0))</f>
        <v>32.977539</v>
      </c>
      <c r="X22">
        <f>INDEX('AEO 40'!AB:AB,MATCH('psgr LDVs'!$B22,'AEO 40'!$B:$B,0))</f>
        <v>32.955719000000002</v>
      </c>
      <c r="Y22">
        <f>INDEX('AEO 40'!AC:AC,MATCH('psgr LDVs'!$B22,'AEO 40'!$B:$B,0))</f>
        <v>32.935600000000001</v>
      </c>
      <c r="Z22">
        <f>INDEX('AEO 40'!AD:AD,MATCH('psgr LDVs'!$B22,'AEO 40'!$B:$B,0))</f>
        <v>32.913573999999997</v>
      </c>
      <c r="AA22">
        <f>INDEX('AEO 40'!AE:AE,MATCH('psgr LDVs'!$B22,'AEO 40'!$B:$B,0))</f>
        <v>32.894779</v>
      </c>
      <c r="AB22">
        <f>INDEX('AEO 40'!AF:AF,MATCH('psgr LDVs'!$B22,'AEO 40'!$B:$B,0))</f>
        <v>32.875202000000002</v>
      </c>
      <c r="AC22">
        <f>INDEX('AEO 40'!AG:AG,MATCH('psgr LDVs'!$B22,'AEO 40'!$B:$B,0))</f>
        <v>32.853752</v>
      </c>
      <c r="AD22">
        <f>INDEX('AEO 40'!AH:AH,MATCH('psgr LDVs'!$B22,'AEO 40'!$B:$B,0))</f>
        <v>32.834758999999998</v>
      </c>
      <c r="AE22">
        <f>INDEX('AEO 40'!AI:AI,MATCH('psgr LDVs'!$B22,'AEO 40'!$B:$B,0))</f>
        <v>32.812449999999998</v>
      </c>
      <c r="AF22">
        <f>INDEX('AEO 40'!AJ:AJ,MATCH('psgr LDVs'!$B22,'AEO 40'!$B:$B,0))</f>
        <v>32.792171000000003</v>
      </c>
      <c r="AG22">
        <f>INDEX('AEO 40'!AK:AK,MATCH('psgr LDVs'!$B22,'AEO 40'!$B:$B,0))</f>
        <v>32.77158</v>
      </c>
    </row>
    <row r="23" spans="1:33" ht="13.6">
      <c r="A23" s="114" t="s">
        <v>115</v>
      </c>
      <c r="B23" s="110" t="s">
        <v>888</v>
      </c>
      <c r="C23">
        <f>INDEX('AEO 40'!G:G,MATCH('psgr LDVs'!$B23,'AEO 40'!$B:$B,0))</f>
        <v>37.262664999999998</v>
      </c>
      <c r="D23">
        <f>INDEX('AEO 40'!H:H,MATCH('psgr LDVs'!$B23,'AEO 40'!$B:$B,0))</f>
        <v>38.0471</v>
      </c>
      <c r="E23">
        <f>INDEX('AEO 40'!I:I,MATCH('psgr LDVs'!$B23,'AEO 40'!$B:$B,0))</f>
        <v>38.387920000000001</v>
      </c>
      <c r="F23">
        <f>INDEX('AEO 40'!J:J,MATCH('psgr LDVs'!$B23,'AEO 40'!$B:$B,0))</f>
        <v>38.684437000000003</v>
      </c>
      <c r="G23">
        <f>INDEX('AEO 40'!K:K,MATCH('psgr LDVs'!$B23,'AEO 40'!$B:$B,0))</f>
        <v>38.872695999999998</v>
      </c>
      <c r="H23">
        <f>INDEX('AEO 40'!L:L,MATCH('psgr LDVs'!$B23,'AEO 40'!$B:$B,0))</f>
        <v>39.309044</v>
      </c>
      <c r="I23">
        <f>INDEX('AEO 40'!M:M,MATCH('psgr LDVs'!$B23,'AEO 40'!$B:$B,0))</f>
        <v>39.340187</v>
      </c>
      <c r="J23">
        <f>INDEX('AEO 40'!N:N,MATCH('psgr LDVs'!$B23,'AEO 40'!$B:$B,0))</f>
        <v>39.243614000000001</v>
      </c>
      <c r="K23">
        <f>INDEX('AEO 40'!O:O,MATCH('psgr LDVs'!$B23,'AEO 40'!$B:$B,0))</f>
        <v>39.200294</v>
      </c>
      <c r="L23">
        <f>INDEX('AEO 40'!P:P,MATCH('psgr LDVs'!$B23,'AEO 40'!$B:$B,0))</f>
        <v>39.141646999999999</v>
      </c>
      <c r="M23">
        <f>INDEX('AEO 40'!Q:Q,MATCH('psgr LDVs'!$B23,'AEO 40'!$B:$B,0))</f>
        <v>39.082649000000004</v>
      </c>
      <c r="N23">
        <f>INDEX('AEO 40'!R:R,MATCH('psgr LDVs'!$B23,'AEO 40'!$B:$B,0))</f>
        <v>39.020496000000001</v>
      </c>
      <c r="O23">
        <f>INDEX('AEO 40'!S:S,MATCH('psgr LDVs'!$B23,'AEO 40'!$B:$B,0))</f>
        <v>38.967106000000001</v>
      </c>
      <c r="P23">
        <f>INDEX('AEO 40'!T:T,MATCH('psgr LDVs'!$B23,'AEO 40'!$B:$B,0))</f>
        <v>38.90596</v>
      </c>
      <c r="Q23">
        <f>INDEX('AEO 40'!U:U,MATCH('psgr LDVs'!$B23,'AEO 40'!$B:$B,0))</f>
        <v>38.866112000000001</v>
      </c>
      <c r="R23">
        <f>INDEX('AEO 40'!V:V,MATCH('psgr LDVs'!$B23,'AEO 40'!$B:$B,0))</f>
        <v>38.810543000000003</v>
      </c>
      <c r="S23">
        <f>INDEX('AEO 40'!W:W,MATCH('psgr LDVs'!$B23,'AEO 40'!$B:$B,0))</f>
        <v>38.772945</v>
      </c>
      <c r="T23">
        <f>INDEX('AEO 40'!X:X,MATCH('psgr LDVs'!$B23,'AEO 40'!$B:$B,0))</f>
        <v>38.731529000000002</v>
      </c>
      <c r="U23">
        <f>INDEX('AEO 40'!Y:Y,MATCH('psgr LDVs'!$B23,'AEO 40'!$B:$B,0))</f>
        <v>38.691527999999998</v>
      </c>
      <c r="V23">
        <f>INDEX('AEO 40'!Z:Z,MATCH('psgr LDVs'!$B23,'AEO 40'!$B:$B,0))</f>
        <v>38.662681999999997</v>
      </c>
      <c r="W23">
        <f>INDEX('AEO 40'!AA:AA,MATCH('psgr LDVs'!$B23,'AEO 40'!$B:$B,0))</f>
        <v>38.616664999999998</v>
      </c>
      <c r="X23">
        <f>INDEX('AEO 40'!AB:AB,MATCH('psgr LDVs'!$B23,'AEO 40'!$B:$B,0))</f>
        <v>38.585757999999998</v>
      </c>
      <c r="Y23">
        <f>INDEX('AEO 40'!AC:AC,MATCH('psgr LDVs'!$B23,'AEO 40'!$B:$B,0))</f>
        <v>38.551231000000001</v>
      </c>
      <c r="Z23">
        <f>INDEX('AEO 40'!AD:AD,MATCH('psgr LDVs'!$B23,'AEO 40'!$B:$B,0))</f>
        <v>38.521808999999998</v>
      </c>
      <c r="AA23">
        <f>INDEX('AEO 40'!AE:AE,MATCH('psgr LDVs'!$B23,'AEO 40'!$B:$B,0))</f>
        <v>38.493309000000004</v>
      </c>
      <c r="AB23">
        <f>INDEX('AEO 40'!AF:AF,MATCH('psgr LDVs'!$B23,'AEO 40'!$B:$B,0))</f>
        <v>38.470374999999997</v>
      </c>
      <c r="AC23">
        <f>INDEX('AEO 40'!AG:AG,MATCH('psgr LDVs'!$B23,'AEO 40'!$B:$B,0))</f>
        <v>38.435431999999999</v>
      </c>
      <c r="AD23">
        <f>INDEX('AEO 40'!AH:AH,MATCH('psgr LDVs'!$B23,'AEO 40'!$B:$B,0))</f>
        <v>38.407165999999997</v>
      </c>
      <c r="AE23">
        <f>INDEX('AEO 40'!AI:AI,MATCH('psgr LDVs'!$B23,'AEO 40'!$B:$B,0))</f>
        <v>38.377673999999999</v>
      </c>
      <c r="AF23">
        <f>INDEX('AEO 40'!AJ:AJ,MATCH('psgr LDVs'!$B23,'AEO 40'!$B:$B,0))</f>
        <v>38.347389</v>
      </c>
      <c r="AG23">
        <f>INDEX('AEO 40'!AK:AK,MATCH('psgr LDVs'!$B23,'AEO 40'!$B:$B,0))</f>
        <v>38.316231000000002</v>
      </c>
    </row>
    <row r="24" spans="1:33" ht="13.6">
      <c r="A24" s="114"/>
      <c r="B24" s="110"/>
      <c r="C24" t="e">
        <f>INDEX('AEO 40'!G:G,MATCH('psgr LDVs'!$B24,'AEO 40'!$B:$B,0))</f>
        <v>#N/A</v>
      </c>
      <c r="D24" t="e">
        <f>INDEX('AEO 40'!H:H,MATCH('psgr LDVs'!$B24,'AEO 40'!$B:$B,0))</f>
        <v>#N/A</v>
      </c>
      <c r="E24" t="e">
        <f>INDEX('AEO 40'!I:I,MATCH('psgr LDVs'!$B24,'AEO 40'!$B:$B,0))</f>
        <v>#N/A</v>
      </c>
      <c r="F24" t="e">
        <f>INDEX('AEO 40'!J:J,MATCH('psgr LDVs'!$B24,'AEO 40'!$B:$B,0))</f>
        <v>#N/A</v>
      </c>
      <c r="G24" t="e">
        <f>INDEX('AEO 40'!K:K,MATCH('psgr LDVs'!$B24,'AEO 40'!$B:$B,0))</f>
        <v>#N/A</v>
      </c>
      <c r="H24" t="e">
        <f>INDEX('AEO 40'!L:L,MATCH('psgr LDVs'!$B24,'AEO 40'!$B:$B,0))</f>
        <v>#N/A</v>
      </c>
      <c r="I24" t="e">
        <f>INDEX('AEO 40'!M:M,MATCH('psgr LDVs'!$B24,'AEO 40'!$B:$B,0))</f>
        <v>#N/A</v>
      </c>
      <c r="J24" t="e">
        <f>INDEX('AEO 40'!N:N,MATCH('psgr LDVs'!$B24,'AEO 40'!$B:$B,0))</f>
        <v>#N/A</v>
      </c>
      <c r="K24" t="e">
        <f>INDEX('AEO 40'!O:O,MATCH('psgr LDVs'!$B24,'AEO 40'!$B:$B,0))</f>
        <v>#N/A</v>
      </c>
      <c r="L24" t="e">
        <f>INDEX('AEO 40'!P:P,MATCH('psgr LDVs'!$B24,'AEO 40'!$B:$B,0))</f>
        <v>#N/A</v>
      </c>
      <c r="M24" t="e">
        <f>INDEX('AEO 40'!Q:Q,MATCH('psgr LDVs'!$B24,'AEO 40'!$B:$B,0))</f>
        <v>#N/A</v>
      </c>
      <c r="N24" t="e">
        <f>INDEX('AEO 40'!R:R,MATCH('psgr LDVs'!$B24,'AEO 40'!$B:$B,0))</f>
        <v>#N/A</v>
      </c>
      <c r="O24" t="e">
        <f>INDEX('AEO 40'!S:S,MATCH('psgr LDVs'!$B24,'AEO 40'!$B:$B,0))</f>
        <v>#N/A</v>
      </c>
      <c r="P24" t="e">
        <f>INDEX('AEO 40'!T:T,MATCH('psgr LDVs'!$B24,'AEO 40'!$B:$B,0))</f>
        <v>#N/A</v>
      </c>
      <c r="Q24" t="e">
        <f>INDEX('AEO 40'!U:U,MATCH('psgr LDVs'!$B24,'AEO 40'!$B:$B,0))</f>
        <v>#N/A</v>
      </c>
      <c r="R24" t="e">
        <f>INDEX('AEO 40'!V:V,MATCH('psgr LDVs'!$B24,'AEO 40'!$B:$B,0))</f>
        <v>#N/A</v>
      </c>
      <c r="S24" t="e">
        <f>INDEX('AEO 40'!W:W,MATCH('psgr LDVs'!$B24,'AEO 40'!$B:$B,0))</f>
        <v>#N/A</v>
      </c>
      <c r="T24" t="e">
        <f>INDEX('AEO 40'!X:X,MATCH('psgr LDVs'!$B24,'AEO 40'!$B:$B,0))</f>
        <v>#N/A</v>
      </c>
      <c r="U24" t="e">
        <f>INDEX('AEO 40'!Y:Y,MATCH('psgr LDVs'!$B24,'AEO 40'!$B:$B,0))</f>
        <v>#N/A</v>
      </c>
      <c r="V24" t="e">
        <f>INDEX('AEO 40'!Z:Z,MATCH('psgr LDVs'!$B24,'AEO 40'!$B:$B,0))</f>
        <v>#N/A</v>
      </c>
      <c r="W24" t="e">
        <f>INDEX('AEO 40'!AA:AA,MATCH('psgr LDVs'!$B24,'AEO 40'!$B:$B,0))</f>
        <v>#N/A</v>
      </c>
      <c r="X24" t="e">
        <f>INDEX('AEO 40'!AB:AB,MATCH('psgr LDVs'!$B24,'AEO 40'!$B:$B,0))</f>
        <v>#N/A</v>
      </c>
      <c r="Y24" t="e">
        <f>INDEX('AEO 40'!AC:AC,MATCH('psgr LDVs'!$B24,'AEO 40'!$B:$B,0))</f>
        <v>#N/A</v>
      </c>
      <c r="Z24" t="e">
        <f>INDEX('AEO 40'!AD:AD,MATCH('psgr LDVs'!$B24,'AEO 40'!$B:$B,0))</f>
        <v>#N/A</v>
      </c>
      <c r="AA24" t="e">
        <f>INDEX('AEO 40'!AE:AE,MATCH('psgr LDVs'!$B24,'AEO 40'!$B:$B,0))</f>
        <v>#N/A</v>
      </c>
      <c r="AB24" t="e">
        <f>INDEX('AEO 40'!AF:AF,MATCH('psgr LDVs'!$B24,'AEO 40'!$B:$B,0))</f>
        <v>#N/A</v>
      </c>
      <c r="AC24" t="e">
        <f>INDEX('AEO 40'!AG:AG,MATCH('psgr LDVs'!$B24,'AEO 40'!$B:$B,0))</f>
        <v>#N/A</v>
      </c>
      <c r="AD24" t="e">
        <f>INDEX('AEO 40'!AH:AH,MATCH('psgr LDVs'!$B24,'AEO 40'!$B:$B,0))</f>
        <v>#N/A</v>
      </c>
      <c r="AE24" t="e">
        <f>INDEX('AEO 40'!AI:AI,MATCH('psgr LDVs'!$B24,'AEO 40'!$B:$B,0))</f>
        <v>#N/A</v>
      </c>
      <c r="AF24" t="e">
        <f>INDEX('AEO 40'!AJ:AJ,MATCH('psgr LDVs'!$B24,'AEO 40'!$B:$B,0))</f>
        <v>#N/A</v>
      </c>
      <c r="AG24" t="e">
        <f>INDEX('AEO 40'!AK:AK,MATCH('psgr LDVs'!$B24,'AEO 40'!$B:$B,0))</f>
        <v>#N/A</v>
      </c>
    </row>
    <row r="25" spans="1:33" ht="13.6">
      <c r="A25" s="114" t="s">
        <v>114</v>
      </c>
      <c r="B25" s="110" t="s">
        <v>889</v>
      </c>
      <c r="C25">
        <f>INDEX('AEO 40'!G:G,MATCH('psgr LDVs'!$B25,'AEO 40'!$B:$B,0))</f>
        <v>30.990406</v>
      </c>
      <c r="D25">
        <f>INDEX('AEO 40'!H:H,MATCH('psgr LDVs'!$B25,'AEO 40'!$B:$B,0))</f>
        <v>31.943642000000001</v>
      </c>
      <c r="E25">
        <f>INDEX('AEO 40'!I:I,MATCH('psgr LDVs'!$B25,'AEO 40'!$B:$B,0))</f>
        <v>32.440624</v>
      </c>
      <c r="F25">
        <f>INDEX('AEO 40'!J:J,MATCH('psgr LDVs'!$B25,'AEO 40'!$B:$B,0))</f>
        <v>32.825465999999999</v>
      </c>
      <c r="G25">
        <f>INDEX('AEO 40'!K:K,MATCH('psgr LDVs'!$B25,'AEO 40'!$B:$B,0))</f>
        <v>33.102694999999997</v>
      </c>
      <c r="H25">
        <f>INDEX('AEO 40'!L:L,MATCH('psgr LDVs'!$B25,'AEO 40'!$B:$B,0))</f>
        <v>33.476562000000001</v>
      </c>
      <c r="I25">
        <f>INDEX('AEO 40'!M:M,MATCH('psgr LDVs'!$B25,'AEO 40'!$B:$B,0))</f>
        <v>33.571907000000003</v>
      </c>
      <c r="J25">
        <f>INDEX('AEO 40'!N:N,MATCH('psgr LDVs'!$B25,'AEO 40'!$B:$B,0))</f>
        <v>33.565994000000003</v>
      </c>
      <c r="K25">
        <f>INDEX('AEO 40'!O:O,MATCH('psgr LDVs'!$B25,'AEO 40'!$B:$B,0))</f>
        <v>33.562564999999999</v>
      </c>
      <c r="L25">
        <f>INDEX('AEO 40'!P:P,MATCH('psgr LDVs'!$B25,'AEO 40'!$B:$B,0))</f>
        <v>33.548819999999999</v>
      </c>
      <c r="M25">
        <f>INDEX('AEO 40'!Q:Q,MATCH('psgr LDVs'!$B25,'AEO 40'!$B:$B,0))</f>
        <v>33.544189000000003</v>
      </c>
      <c r="N25">
        <f>INDEX('AEO 40'!R:R,MATCH('psgr LDVs'!$B25,'AEO 40'!$B:$B,0))</f>
        <v>33.522174999999997</v>
      </c>
      <c r="O25">
        <f>INDEX('AEO 40'!S:S,MATCH('psgr LDVs'!$B25,'AEO 40'!$B:$B,0))</f>
        <v>33.498440000000002</v>
      </c>
      <c r="P25">
        <f>INDEX('AEO 40'!T:T,MATCH('psgr LDVs'!$B25,'AEO 40'!$B:$B,0))</f>
        <v>33.465426999999998</v>
      </c>
      <c r="Q25">
        <f>INDEX('AEO 40'!U:U,MATCH('psgr LDVs'!$B25,'AEO 40'!$B:$B,0))</f>
        <v>33.440703999999997</v>
      </c>
      <c r="R25">
        <f>INDEX('AEO 40'!V:V,MATCH('psgr LDVs'!$B25,'AEO 40'!$B:$B,0))</f>
        <v>33.408821000000003</v>
      </c>
      <c r="S25">
        <f>INDEX('AEO 40'!W:W,MATCH('psgr LDVs'!$B25,'AEO 40'!$B:$B,0))</f>
        <v>33.381706000000001</v>
      </c>
      <c r="T25">
        <f>INDEX('AEO 40'!X:X,MATCH('psgr LDVs'!$B25,'AEO 40'!$B:$B,0))</f>
        <v>33.347293999999998</v>
      </c>
      <c r="U25">
        <f>INDEX('AEO 40'!Y:Y,MATCH('psgr LDVs'!$B25,'AEO 40'!$B:$B,0))</f>
        <v>33.332577000000001</v>
      </c>
      <c r="V25">
        <f>INDEX('AEO 40'!Z:Z,MATCH('psgr LDVs'!$B25,'AEO 40'!$B:$B,0))</f>
        <v>33.302700000000002</v>
      </c>
      <c r="W25">
        <f>INDEX('AEO 40'!AA:AA,MATCH('psgr LDVs'!$B25,'AEO 40'!$B:$B,0))</f>
        <v>33.280067000000003</v>
      </c>
      <c r="X25">
        <f>INDEX('AEO 40'!AB:AB,MATCH('psgr LDVs'!$B25,'AEO 40'!$B:$B,0))</f>
        <v>33.257980000000003</v>
      </c>
      <c r="Y25">
        <f>INDEX('AEO 40'!AC:AC,MATCH('psgr LDVs'!$B25,'AEO 40'!$B:$B,0))</f>
        <v>33.240932000000001</v>
      </c>
      <c r="Z25">
        <f>INDEX('AEO 40'!AD:AD,MATCH('psgr LDVs'!$B25,'AEO 40'!$B:$B,0))</f>
        <v>33.219738</v>
      </c>
      <c r="AA25">
        <f>INDEX('AEO 40'!AE:AE,MATCH('psgr LDVs'!$B25,'AEO 40'!$B:$B,0))</f>
        <v>33.203418999999997</v>
      </c>
      <c r="AB25">
        <f>INDEX('AEO 40'!AF:AF,MATCH('psgr LDVs'!$B25,'AEO 40'!$B:$B,0))</f>
        <v>33.186416999999999</v>
      </c>
      <c r="AC25">
        <f>INDEX('AEO 40'!AG:AG,MATCH('psgr LDVs'!$B25,'AEO 40'!$B:$B,0))</f>
        <v>33.167811999999998</v>
      </c>
      <c r="AD25">
        <f>INDEX('AEO 40'!AH:AH,MATCH('psgr LDVs'!$B25,'AEO 40'!$B:$B,0))</f>
        <v>33.151446999999997</v>
      </c>
      <c r="AE25">
        <f>INDEX('AEO 40'!AI:AI,MATCH('psgr LDVs'!$B25,'AEO 40'!$B:$B,0))</f>
        <v>33.132545</v>
      </c>
      <c r="AF25">
        <f>INDEX('AEO 40'!AJ:AJ,MATCH('psgr LDVs'!$B25,'AEO 40'!$B:$B,0))</f>
        <v>33.115498000000002</v>
      </c>
      <c r="AG25">
        <f>INDEX('AEO 40'!AK:AK,MATCH('psgr LDVs'!$B25,'AEO 40'!$B:$B,0))</f>
        <v>33.098548999999998</v>
      </c>
    </row>
    <row r="26" spans="1:33" ht="13.6">
      <c r="A26" s="114" t="s">
        <v>112</v>
      </c>
      <c r="B26" s="110" t="s">
        <v>890</v>
      </c>
      <c r="C26">
        <f>INDEX('AEO 40'!G:G,MATCH('psgr LDVs'!$B26,'AEO 40'!$B:$B,0))</f>
        <v>0</v>
      </c>
      <c r="D26">
        <f>INDEX('AEO 40'!H:H,MATCH('psgr LDVs'!$B26,'AEO 40'!$B:$B,0))</f>
        <v>0</v>
      </c>
      <c r="E26">
        <f>INDEX('AEO 40'!I:I,MATCH('psgr LDVs'!$B26,'AEO 40'!$B:$B,0))</f>
        <v>0</v>
      </c>
      <c r="F26">
        <f>INDEX('AEO 40'!J:J,MATCH('psgr LDVs'!$B26,'AEO 40'!$B:$B,0))</f>
        <v>0</v>
      </c>
      <c r="G26">
        <f>INDEX('AEO 40'!K:K,MATCH('psgr LDVs'!$B26,'AEO 40'!$B:$B,0))</f>
        <v>0</v>
      </c>
      <c r="H26">
        <f>INDEX('AEO 40'!L:L,MATCH('psgr LDVs'!$B26,'AEO 40'!$B:$B,0))</f>
        <v>0</v>
      </c>
      <c r="I26">
        <f>INDEX('AEO 40'!M:M,MATCH('psgr LDVs'!$B26,'AEO 40'!$B:$B,0))</f>
        <v>0</v>
      </c>
      <c r="J26">
        <f>INDEX('AEO 40'!N:N,MATCH('psgr LDVs'!$B26,'AEO 40'!$B:$B,0))</f>
        <v>0</v>
      </c>
      <c r="K26">
        <f>INDEX('AEO 40'!O:O,MATCH('psgr LDVs'!$B26,'AEO 40'!$B:$B,0))</f>
        <v>0</v>
      </c>
      <c r="L26">
        <f>INDEX('AEO 40'!P:P,MATCH('psgr LDVs'!$B26,'AEO 40'!$B:$B,0))</f>
        <v>0</v>
      </c>
      <c r="M26">
        <f>INDEX('AEO 40'!Q:Q,MATCH('psgr LDVs'!$B26,'AEO 40'!$B:$B,0))</f>
        <v>0</v>
      </c>
      <c r="N26">
        <f>INDEX('AEO 40'!R:R,MATCH('psgr LDVs'!$B26,'AEO 40'!$B:$B,0))</f>
        <v>0</v>
      </c>
      <c r="O26">
        <f>INDEX('AEO 40'!S:S,MATCH('psgr LDVs'!$B26,'AEO 40'!$B:$B,0))</f>
        <v>0</v>
      </c>
      <c r="P26">
        <f>INDEX('AEO 40'!T:T,MATCH('psgr LDVs'!$B26,'AEO 40'!$B:$B,0))</f>
        <v>0</v>
      </c>
      <c r="Q26">
        <f>INDEX('AEO 40'!U:U,MATCH('psgr LDVs'!$B26,'AEO 40'!$B:$B,0))</f>
        <v>0</v>
      </c>
      <c r="R26">
        <f>INDEX('AEO 40'!V:V,MATCH('psgr LDVs'!$B26,'AEO 40'!$B:$B,0))</f>
        <v>0</v>
      </c>
      <c r="S26">
        <f>INDEX('AEO 40'!W:W,MATCH('psgr LDVs'!$B26,'AEO 40'!$B:$B,0))</f>
        <v>0</v>
      </c>
      <c r="T26">
        <f>INDEX('AEO 40'!X:X,MATCH('psgr LDVs'!$B26,'AEO 40'!$B:$B,0))</f>
        <v>0</v>
      </c>
      <c r="U26">
        <f>INDEX('AEO 40'!Y:Y,MATCH('psgr LDVs'!$B26,'AEO 40'!$B:$B,0))</f>
        <v>0</v>
      </c>
      <c r="V26">
        <f>INDEX('AEO 40'!Z:Z,MATCH('psgr LDVs'!$B26,'AEO 40'!$B:$B,0))</f>
        <v>0</v>
      </c>
      <c r="W26">
        <f>INDEX('AEO 40'!AA:AA,MATCH('psgr LDVs'!$B26,'AEO 40'!$B:$B,0))</f>
        <v>0</v>
      </c>
      <c r="X26">
        <f>INDEX('AEO 40'!AB:AB,MATCH('psgr LDVs'!$B26,'AEO 40'!$B:$B,0))</f>
        <v>0</v>
      </c>
      <c r="Y26">
        <f>INDEX('AEO 40'!AC:AC,MATCH('psgr LDVs'!$B26,'AEO 40'!$B:$B,0))</f>
        <v>0</v>
      </c>
      <c r="Z26">
        <f>INDEX('AEO 40'!AD:AD,MATCH('psgr LDVs'!$B26,'AEO 40'!$B:$B,0))</f>
        <v>0</v>
      </c>
      <c r="AA26">
        <f>INDEX('AEO 40'!AE:AE,MATCH('psgr LDVs'!$B26,'AEO 40'!$B:$B,0))</f>
        <v>0</v>
      </c>
      <c r="AB26">
        <f>INDEX('AEO 40'!AF:AF,MATCH('psgr LDVs'!$B26,'AEO 40'!$B:$B,0))</f>
        <v>0</v>
      </c>
      <c r="AC26">
        <f>INDEX('AEO 40'!AG:AG,MATCH('psgr LDVs'!$B26,'AEO 40'!$B:$B,0))</f>
        <v>0</v>
      </c>
      <c r="AD26">
        <f>INDEX('AEO 40'!AH:AH,MATCH('psgr LDVs'!$B26,'AEO 40'!$B:$B,0))</f>
        <v>0</v>
      </c>
      <c r="AE26">
        <f>INDEX('AEO 40'!AI:AI,MATCH('psgr LDVs'!$B26,'AEO 40'!$B:$B,0))</f>
        <v>0</v>
      </c>
      <c r="AF26">
        <f>INDEX('AEO 40'!AJ:AJ,MATCH('psgr LDVs'!$B26,'AEO 40'!$B:$B,0))</f>
        <v>0</v>
      </c>
      <c r="AG26">
        <f>INDEX('AEO 40'!AK:AK,MATCH('psgr LDVs'!$B26,'AEO 40'!$B:$B,0))</f>
        <v>0</v>
      </c>
    </row>
    <row r="27" spans="1:33" ht="13.6">
      <c r="A27" s="114" t="s">
        <v>112</v>
      </c>
      <c r="B27" s="110" t="s">
        <v>891</v>
      </c>
      <c r="C27">
        <f>INDEX('AEO 40'!G:G,MATCH('psgr LDVs'!$B27,'AEO 40'!$B:$B,0))</f>
        <v>99.170578000000006</v>
      </c>
      <c r="D27">
        <f>INDEX('AEO 40'!H:H,MATCH('psgr LDVs'!$B27,'AEO 40'!$B:$B,0))</f>
        <v>98.425858000000005</v>
      </c>
      <c r="E27">
        <f>INDEX('AEO 40'!I:I,MATCH('psgr LDVs'!$B27,'AEO 40'!$B:$B,0))</f>
        <v>97.966483999999994</v>
      </c>
      <c r="F27">
        <f>INDEX('AEO 40'!J:J,MATCH('psgr LDVs'!$B27,'AEO 40'!$B:$B,0))</f>
        <v>97.268912999999998</v>
      </c>
      <c r="G27">
        <f>INDEX('AEO 40'!K:K,MATCH('psgr LDVs'!$B27,'AEO 40'!$B:$B,0))</f>
        <v>96.143173000000004</v>
      </c>
      <c r="H27">
        <f>INDEX('AEO 40'!L:L,MATCH('psgr LDVs'!$B27,'AEO 40'!$B:$B,0))</f>
        <v>95.668143999999998</v>
      </c>
      <c r="I27">
        <f>INDEX('AEO 40'!M:M,MATCH('psgr LDVs'!$B27,'AEO 40'!$B:$B,0))</f>
        <v>94.834434999999999</v>
      </c>
      <c r="J27">
        <f>INDEX('AEO 40'!N:N,MATCH('psgr LDVs'!$B27,'AEO 40'!$B:$B,0))</f>
        <v>94.355391999999995</v>
      </c>
      <c r="K27">
        <f>INDEX('AEO 40'!O:O,MATCH('psgr LDVs'!$B27,'AEO 40'!$B:$B,0))</f>
        <v>94.001389000000003</v>
      </c>
      <c r="L27">
        <f>INDEX('AEO 40'!P:P,MATCH('psgr LDVs'!$B27,'AEO 40'!$B:$B,0))</f>
        <v>93.716849999999994</v>
      </c>
      <c r="M27">
        <f>INDEX('AEO 40'!Q:Q,MATCH('psgr LDVs'!$B27,'AEO 40'!$B:$B,0))</f>
        <v>93.490691999999996</v>
      </c>
      <c r="N27">
        <f>INDEX('AEO 40'!R:R,MATCH('psgr LDVs'!$B27,'AEO 40'!$B:$B,0))</f>
        <v>93.308113000000006</v>
      </c>
      <c r="O27">
        <f>INDEX('AEO 40'!S:S,MATCH('psgr LDVs'!$B27,'AEO 40'!$B:$B,0))</f>
        <v>93.187011999999996</v>
      </c>
      <c r="P27">
        <f>INDEX('AEO 40'!T:T,MATCH('psgr LDVs'!$B27,'AEO 40'!$B:$B,0))</f>
        <v>93.132262999999995</v>
      </c>
      <c r="Q27">
        <f>INDEX('AEO 40'!U:U,MATCH('psgr LDVs'!$B27,'AEO 40'!$B:$B,0))</f>
        <v>93.097610000000003</v>
      </c>
      <c r="R27">
        <f>INDEX('AEO 40'!V:V,MATCH('psgr LDVs'!$B27,'AEO 40'!$B:$B,0))</f>
        <v>93.076767000000004</v>
      </c>
      <c r="S27">
        <f>INDEX('AEO 40'!W:W,MATCH('psgr LDVs'!$B27,'AEO 40'!$B:$B,0))</f>
        <v>93.061546000000007</v>
      </c>
      <c r="T27">
        <f>INDEX('AEO 40'!X:X,MATCH('psgr LDVs'!$B27,'AEO 40'!$B:$B,0))</f>
        <v>93.061256</v>
      </c>
      <c r="U27">
        <f>INDEX('AEO 40'!Y:Y,MATCH('psgr LDVs'!$B27,'AEO 40'!$B:$B,0))</f>
        <v>93.044792000000001</v>
      </c>
      <c r="V27">
        <f>INDEX('AEO 40'!Z:Z,MATCH('psgr LDVs'!$B27,'AEO 40'!$B:$B,0))</f>
        <v>93.038985999999994</v>
      </c>
      <c r="W27">
        <f>INDEX('AEO 40'!AA:AA,MATCH('psgr LDVs'!$B27,'AEO 40'!$B:$B,0))</f>
        <v>93.038894999999997</v>
      </c>
      <c r="X27">
        <f>INDEX('AEO 40'!AB:AB,MATCH('psgr LDVs'!$B27,'AEO 40'!$B:$B,0))</f>
        <v>93.032844999999995</v>
      </c>
      <c r="Y27">
        <f>INDEX('AEO 40'!AC:AC,MATCH('psgr LDVs'!$B27,'AEO 40'!$B:$B,0))</f>
        <v>93.025749000000005</v>
      </c>
      <c r="Z27">
        <f>INDEX('AEO 40'!AD:AD,MATCH('psgr LDVs'!$B27,'AEO 40'!$B:$B,0))</f>
        <v>93.028473000000005</v>
      </c>
      <c r="AA27">
        <f>INDEX('AEO 40'!AE:AE,MATCH('psgr LDVs'!$B27,'AEO 40'!$B:$B,0))</f>
        <v>93.029976000000005</v>
      </c>
      <c r="AB27">
        <f>INDEX('AEO 40'!AF:AF,MATCH('psgr LDVs'!$B27,'AEO 40'!$B:$B,0))</f>
        <v>93.030547999999996</v>
      </c>
      <c r="AC27">
        <f>INDEX('AEO 40'!AG:AG,MATCH('psgr LDVs'!$B27,'AEO 40'!$B:$B,0))</f>
        <v>93.030151000000004</v>
      </c>
      <c r="AD27">
        <f>INDEX('AEO 40'!AH:AH,MATCH('psgr LDVs'!$B27,'AEO 40'!$B:$B,0))</f>
        <v>93.034119000000004</v>
      </c>
      <c r="AE27">
        <f>INDEX('AEO 40'!AI:AI,MATCH('psgr LDVs'!$B27,'AEO 40'!$B:$B,0))</f>
        <v>93.038291999999998</v>
      </c>
      <c r="AF27">
        <f>INDEX('AEO 40'!AJ:AJ,MATCH('psgr LDVs'!$B27,'AEO 40'!$B:$B,0))</f>
        <v>93.043633</v>
      </c>
      <c r="AG27">
        <f>INDEX('AEO 40'!AK:AK,MATCH('psgr LDVs'!$B27,'AEO 40'!$B:$B,0))</f>
        <v>93.050651999999999</v>
      </c>
    </row>
    <row r="28" spans="1:33" ht="13.6">
      <c r="A28" s="114" t="s">
        <v>112</v>
      </c>
      <c r="B28" s="110" t="s">
        <v>892</v>
      </c>
      <c r="C28">
        <f>INDEX('AEO 40'!G:G,MATCH('psgr LDVs'!$B28,'AEO 40'!$B:$B,0))</f>
        <v>102.266846</v>
      </c>
      <c r="D28">
        <f>INDEX('AEO 40'!H:H,MATCH('psgr LDVs'!$B28,'AEO 40'!$B:$B,0))</f>
        <v>101.903458</v>
      </c>
      <c r="E28">
        <f>INDEX('AEO 40'!I:I,MATCH('psgr LDVs'!$B28,'AEO 40'!$B:$B,0))</f>
        <v>101.578209</v>
      </c>
      <c r="F28">
        <f>INDEX('AEO 40'!J:J,MATCH('psgr LDVs'!$B28,'AEO 40'!$B:$B,0))</f>
        <v>101.308868</v>
      </c>
      <c r="G28">
        <f>INDEX('AEO 40'!K:K,MATCH('psgr LDVs'!$B28,'AEO 40'!$B:$B,0))</f>
        <v>101.025757</v>
      </c>
      <c r="H28">
        <f>INDEX('AEO 40'!L:L,MATCH('psgr LDVs'!$B28,'AEO 40'!$B:$B,0))</f>
        <v>101.13318599999999</v>
      </c>
      <c r="I28">
        <f>INDEX('AEO 40'!M:M,MATCH('psgr LDVs'!$B28,'AEO 40'!$B:$B,0))</f>
        <v>100.486519</v>
      </c>
      <c r="J28">
        <f>INDEX('AEO 40'!N:N,MATCH('psgr LDVs'!$B28,'AEO 40'!$B:$B,0))</f>
        <v>100.032928</v>
      </c>
      <c r="K28">
        <f>INDEX('AEO 40'!O:O,MATCH('psgr LDVs'!$B28,'AEO 40'!$B:$B,0))</f>
        <v>99.763084000000006</v>
      </c>
      <c r="L28">
        <f>INDEX('AEO 40'!P:P,MATCH('psgr LDVs'!$B28,'AEO 40'!$B:$B,0))</f>
        <v>99.556579999999997</v>
      </c>
      <c r="M28">
        <f>INDEX('AEO 40'!Q:Q,MATCH('psgr LDVs'!$B28,'AEO 40'!$B:$B,0))</f>
        <v>99.235022999999998</v>
      </c>
      <c r="N28">
        <f>INDEX('AEO 40'!R:R,MATCH('psgr LDVs'!$B28,'AEO 40'!$B:$B,0))</f>
        <v>99.055297999999993</v>
      </c>
      <c r="O28">
        <f>INDEX('AEO 40'!S:S,MATCH('psgr LDVs'!$B28,'AEO 40'!$B:$B,0))</f>
        <v>98.916320999999996</v>
      </c>
      <c r="P28">
        <f>INDEX('AEO 40'!T:T,MATCH('psgr LDVs'!$B28,'AEO 40'!$B:$B,0))</f>
        <v>98.822158999999999</v>
      </c>
      <c r="Q28">
        <f>INDEX('AEO 40'!U:U,MATCH('psgr LDVs'!$B28,'AEO 40'!$B:$B,0))</f>
        <v>98.744956999999999</v>
      </c>
      <c r="R28">
        <f>INDEX('AEO 40'!V:V,MATCH('psgr LDVs'!$B28,'AEO 40'!$B:$B,0))</f>
        <v>98.715148999999997</v>
      </c>
      <c r="S28">
        <f>INDEX('AEO 40'!W:W,MATCH('psgr LDVs'!$B28,'AEO 40'!$B:$B,0))</f>
        <v>98.680153000000004</v>
      </c>
      <c r="T28">
        <f>INDEX('AEO 40'!X:X,MATCH('psgr LDVs'!$B28,'AEO 40'!$B:$B,0))</f>
        <v>98.658019999999993</v>
      </c>
      <c r="U28">
        <f>INDEX('AEO 40'!Y:Y,MATCH('psgr LDVs'!$B28,'AEO 40'!$B:$B,0))</f>
        <v>98.630225999999993</v>
      </c>
      <c r="V28">
        <f>INDEX('AEO 40'!Z:Z,MATCH('psgr LDVs'!$B28,'AEO 40'!$B:$B,0))</f>
        <v>98.622421000000003</v>
      </c>
      <c r="W28">
        <f>INDEX('AEO 40'!AA:AA,MATCH('psgr LDVs'!$B28,'AEO 40'!$B:$B,0))</f>
        <v>98.606689000000003</v>
      </c>
      <c r="X28">
        <f>INDEX('AEO 40'!AB:AB,MATCH('psgr LDVs'!$B28,'AEO 40'!$B:$B,0))</f>
        <v>98.614448999999993</v>
      </c>
      <c r="Y28">
        <f>INDEX('AEO 40'!AC:AC,MATCH('psgr LDVs'!$B28,'AEO 40'!$B:$B,0))</f>
        <v>98.629638999999997</v>
      </c>
      <c r="Z28">
        <f>INDEX('AEO 40'!AD:AD,MATCH('psgr LDVs'!$B28,'AEO 40'!$B:$B,0))</f>
        <v>98.642951999999994</v>
      </c>
      <c r="AA28">
        <f>INDEX('AEO 40'!AE:AE,MATCH('psgr LDVs'!$B28,'AEO 40'!$B:$B,0))</f>
        <v>98.655411000000001</v>
      </c>
      <c r="AB28">
        <f>INDEX('AEO 40'!AF:AF,MATCH('psgr LDVs'!$B28,'AEO 40'!$B:$B,0))</f>
        <v>98.662529000000006</v>
      </c>
      <c r="AC28">
        <f>INDEX('AEO 40'!AG:AG,MATCH('psgr LDVs'!$B28,'AEO 40'!$B:$B,0))</f>
        <v>98.681045999999995</v>
      </c>
      <c r="AD28">
        <f>INDEX('AEO 40'!AH:AH,MATCH('psgr LDVs'!$B28,'AEO 40'!$B:$B,0))</f>
        <v>98.693382</v>
      </c>
      <c r="AE28">
        <f>INDEX('AEO 40'!AI:AI,MATCH('psgr LDVs'!$B28,'AEO 40'!$B:$B,0))</f>
        <v>98.710662999999997</v>
      </c>
      <c r="AF28">
        <f>INDEX('AEO 40'!AJ:AJ,MATCH('psgr LDVs'!$B28,'AEO 40'!$B:$B,0))</f>
        <v>98.711699999999993</v>
      </c>
      <c r="AG28">
        <f>INDEX('AEO 40'!AK:AK,MATCH('psgr LDVs'!$B28,'AEO 40'!$B:$B,0))</f>
        <v>98.717856999999995</v>
      </c>
    </row>
    <row r="29" spans="1:33" ht="13.6">
      <c r="A29" s="114" t="s">
        <v>116</v>
      </c>
      <c r="B29" s="110" t="s">
        <v>893</v>
      </c>
      <c r="C29">
        <f>INDEX('AEO 40'!G:G,MATCH('psgr LDVs'!$B29,'AEO 40'!$B:$B,0))</f>
        <v>47.010894999999998</v>
      </c>
      <c r="D29">
        <f>INDEX('AEO 40'!H:H,MATCH('psgr LDVs'!$B29,'AEO 40'!$B:$B,0))</f>
        <v>48.666736999999998</v>
      </c>
      <c r="E29">
        <f>INDEX('AEO 40'!I:I,MATCH('psgr LDVs'!$B29,'AEO 40'!$B:$B,0))</f>
        <v>48.673076999999999</v>
      </c>
      <c r="F29">
        <f>INDEX('AEO 40'!J:J,MATCH('psgr LDVs'!$B29,'AEO 40'!$B:$B,0))</f>
        <v>48.637653</v>
      </c>
      <c r="G29">
        <f>INDEX('AEO 40'!K:K,MATCH('psgr LDVs'!$B29,'AEO 40'!$B:$B,0))</f>
        <v>48.747093</v>
      </c>
      <c r="H29">
        <f>INDEX('AEO 40'!L:L,MATCH('psgr LDVs'!$B29,'AEO 40'!$B:$B,0))</f>
        <v>49.038077999999999</v>
      </c>
      <c r="I29">
        <f>INDEX('AEO 40'!M:M,MATCH('psgr LDVs'!$B29,'AEO 40'!$B:$B,0))</f>
        <v>48.779297</v>
      </c>
      <c r="J29">
        <f>INDEX('AEO 40'!N:N,MATCH('psgr LDVs'!$B29,'AEO 40'!$B:$B,0))</f>
        <v>48.589343999999997</v>
      </c>
      <c r="K29">
        <f>INDEX('AEO 40'!O:O,MATCH('psgr LDVs'!$B29,'AEO 40'!$B:$B,0))</f>
        <v>48.586292</v>
      </c>
      <c r="L29">
        <f>INDEX('AEO 40'!P:P,MATCH('psgr LDVs'!$B29,'AEO 40'!$B:$B,0))</f>
        <v>48.598315999999997</v>
      </c>
      <c r="M29">
        <f>INDEX('AEO 40'!Q:Q,MATCH('psgr LDVs'!$B29,'AEO 40'!$B:$B,0))</f>
        <v>48.652186999999998</v>
      </c>
      <c r="N29">
        <f>INDEX('AEO 40'!R:R,MATCH('psgr LDVs'!$B29,'AEO 40'!$B:$B,0))</f>
        <v>48.651966000000002</v>
      </c>
      <c r="O29">
        <f>INDEX('AEO 40'!S:S,MATCH('psgr LDVs'!$B29,'AEO 40'!$B:$B,0))</f>
        <v>48.711070999999997</v>
      </c>
      <c r="P29">
        <f>INDEX('AEO 40'!T:T,MATCH('psgr LDVs'!$B29,'AEO 40'!$B:$B,0))</f>
        <v>48.775672999999998</v>
      </c>
      <c r="Q29">
        <f>INDEX('AEO 40'!U:U,MATCH('psgr LDVs'!$B29,'AEO 40'!$B:$B,0))</f>
        <v>48.856216000000003</v>
      </c>
      <c r="R29">
        <f>INDEX('AEO 40'!V:V,MATCH('psgr LDVs'!$B29,'AEO 40'!$B:$B,0))</f>
        <v>48.910851000000001</v>
      </c>
      <c r="S29">
        <f>INDEX('AEO 40'!W:W,MATCH('psgr LDVs'!$B29,'AEO 40'!$B:$B,0))</f>
        <v>48.999389999999998</v>
      </c>
      <c r="T29">
        <f>INDEX('AEO 40'!X:X,MATCH('psgr LDVs'!$B29,'AEO 40'!$B:$B,0))</f>
        <v>49.103886000000003</v>
      </c>
      <c r="U29">
        <f>INDEX('AEO 40'!Y:Y,MATCH('psgr LDVs'!$B29,'AEO 40'!$B:$B,0))</f>
        <v>49.215206000000002</v>
      </c>
      <c r="V29">
        <f>INDEX('AEO 40'!Z:Z,MATCH('psgr LDVs'!$B29,'AEO 40'!$B:$B,0))</f>
        <v>49.318787</v>
      </c>
      <c r="W29">
        <f>INDEX('AEO 40'!AA:AA,MATCH('psgr LDVs'!$B29,'AEO 40'!$B:$B,0))</f>
        <v>49.432774000000002</v>
      </c>
      <c r="X29">
        <f>INDEX('AEO 40'!AB:AB,MATCH('psgr LDVs'!$B29,'AEO 40'!$B:$B,0))</f>
        <v>49.535141000000003</v>
      </c>
      <c r="Y29">
        <f>INDEX('AEO 40'!AC:AC,MATCH('psgr LDVs'!$B29,'AEO 40'!$B:$B,0))</f>
        <v>49.630180000000003</v>
      </c>
      <c r="Z29">
        <f>INDEX('AEO 40'!AD:AD,MATCH('psgr LDVs'!$B29,'AEO 40'!$B:$B,0))</f>
        <v>49.724373</v>
      </c>
      <c r="AA29">
        <f>INDEX('AEO 40'!AE:AE,MATCH('psgr LDVs'!$B29,'AEO 40'!$B:$B,0))</f>
        <v>49.812339999999999</v>
      </c>
      <c r="AB29">
        <f>INDEX('AEO 40'!AF:AF,MATCH('psgr LDVs'!$B29,'AEO 40'!$B:$B,0))</f>
        <v>49.911625000000001</v>
      </c>
      <c r="AC29">
        <f>INDEX('AEO 40'!AG:AG,MATCH('psgr LDVs'!$B29,'AEO 40'!$B:$B,0))</f>
        <v>50.010784000000001</v>
      </c>
      <c r="AD29">
        <f>INDEX('AEO 40'!AH:AH,MATCH('psgr LDVs'!$B29,'AEO 40'!$B:$B,0))</f>
        <v>50.118468999999997</v>
      </c>
      <c r="AE29">
        <f>INDEX('AEO 40'!AI:AI,MATCH('psgr LDVs'!$B29,'AEO 40'!$B:$B,0))</f>
        <v>50.208205999999997</v>
      </c>
      <c r="AF29">
        <f>INDEX('AEO 40'!AJ:AJ,MATCH('psgr LDVs'!$B29,'AEO 40'!$B:$B,0))</f>
        <v>50.309421999999998</v>
      </c>
      <c r="AG29">
        <f>INDEX('AEO 40'!AK:AK,MATCH('psgr LDVs'!$B29,'AEO 40'!$B:$B,0))</f>
        <v>50.396254999999996</v>
      </c>
    </row>
    <row r="30" spans="1:33" ht="13.6">
      <c r="A30" s="114" t="s">
        <v>116</v>
      </c>
      <c r="B30" s="110" t="s">
        <v>894</v>
      </c>
      <c r="C30">
        <f>INDEX('AEO 40'!G:G,MATCH('psgr LDVs'!$B30,'AEO 40'!$B:$B,0))</f>
        <v>54.178719000000001</v>
      </c>
      <c r="D30">
        <f>INDEX('AEO 40'!H:H,MATCH('psgr LDVs'!$B30,'AEO 40'!$B:$B,0))</f>
        <v>54.943477999999999</v>
      </c>
      <c r="E30">
        <f>INDEX('AEO 40'!I:I,MATCH('psgr LDVs'!$B30,'AEO 40'!$B:$B,0))</f>
        <v>55.361336000000001</v>
      </c>
      <c r="F30">
        <f>INDEX('AEO 40'!J:J,MATCH('psgr LDVs'!$B30,'AEO 40'!$B:$B,0))</f>
        <v>55.719273000000001</v>
      </c>
      <c r="G30">
        <f>INDEX('AEO 40'!K:K,MATCH('psgr LDVs'!$B30,'AEO 40'!$B:$B,0))</f>
        <v>55.809593</v>
      </c>
      <c r="H30">
        <f>INDEX('AEO 40'!L:L,MATCH('psgr LDVs'!$B30,'AEO 40'!$B:$B,0))</f>
        <v>63.485649000000002</v>
      </c>
      <c r="I30">
        <f>INDEX('AEO 40'!M:M,MATCH('psgr LDVs'!$B30,'AEO 40'!$B:$B,0))</f>
        <v>68.484520000000003</v>
      </c>
      <c r="J30">
        <f>INDEX('AEO 40'!N:N,MATCH('psgr LDVs'!$B30,'AEO 40'!$B:$B,0))</f>
        <v>68.751510999999994</v>
      </c>
      <c r="K30">
        <f>INDEX('AEO 40'!O:O,MATCH('psgr LDVs'!$B30,'AEO 40'!$B:$B,0))</f>
        <v>68.741553999999994</v>
      </c>
      <c r="L30">
        <f>INDEX('AEO 40'!P:P,MATCH('psgr LDVs'!$B30,'AEO 40'!$B:$B,0))</f>
        <v>68.681708999999998</v>
      </c>
      <c r="M30">
        <f>INDEX('AEO 40'!Q:Q,MATCH('psgr LDVs'!$B30,'AEO 40'!$B:$B,0))</f>
        <v>68.649299999999997</v>
      </c>
      <c r="N30">
        <f>INDEX('AEO 40'!R:R,MATCH('psgr LDVs'!$B30,'AEO 40'!$B:$B,0))</f>
        <v>68.550644000000005</v>
      </c>
      <c r="O30">
        <f>INDEX('AEO 40'!S:S,MATCH('psgr LDVs'!$B30,'AEO 40'!$B:$B,0))</f>
        <v>68.517280999999997</v>
      </c>
      <c r="P30">
        <f>INDEX('AEO 40'!T:T,MATCH('psgr LDVs'!$B30,'AEO 40'!$B:$B,0))</f>
        <v>68.479759000000001</v>
      </c>
      <c r="Q30">
        <f>INDEX('AEO 40'!U:U,MATCH('psgr LDVs'!$B30,'AEO 40'!$B:$B,0))</f>
        <v>68.449592999999993</v>
      </c>
      <c r="R30">
        <f>INDEX('AEO 40'!V:V,MATCH('psgr LDVs'!$B30,'AEO 40'!$B:$B,0))</f>
        <v>68.394249000000002</v>
      </c>
      <c r="S30">
        <f>INDEX('AEO 40'!W:W,MATCH('psgr LDVs'!$B30,'AEO 40'!$B:$B,0))</f>
        <v>68.384406999999996</v>
      </c>
      <c r="T30">
        <f>INDEX('AEO 40'!X:X,MATCH('psgr LDVs'!$B30,'AEO 40'!$B:$B,0))</f>
        <v>68.371727000000007</v>
      </c>
      <c r="U30">
        <f>INDEX('AEO 40'!Y:Y,MATCH('psgr LDVs'!$B30,'AEO 40'!$B:$B,0))</f>
        <v>68.351546999999997</v>
      </c>
      <c r="V30">
        <f>INDEX('AEO 40'!Z:Z,MATCH('psgr LDVs'!$B30,'AEO 40'!$B:$B,0))</f>
        <v>68.321335000000005</v>
      </c>
      <c r="W30">
        <f>INDEX('AEO 40'!AA:AA,MATCH('psgr LDVs'!$B30,'AEO 40'!$B:$B,0))</f>
        <v>68.303077999999999</v>
      </c>
      <c r="X30">
        <f>INDEX('AEO 40'!AB:AB,MATCH('psgr LDVs'!$B30,'AEO 40'!$B:$B,0))</f>
        <v>68.287857000000002</v>
      </c>
      <c r="Y30">
        <f>INDEX('AEO 40'!AC:AC,MATCH('psgr LDVs'!$B30,'AEO 40'!$B:$B,0))</f>
        <v>68.261382999999995</v>
      </c>
      <c r="Z30">
        <f>INDEX('AEO 40'!AD:AD,MATCH('psgr LDVs'!$B30,'AEO 40'!$B:$B,0))</f>
        <v>68.245688999999999</v>
      </c>
      <c r="AA30">
        <f>INDEX('AEO 40'!AE:AE,MATCH('psgr LDVs'!$B30,'AEO 40'!$B:$B,0))</f>
        <v>68.226166000000006</v>
      </c>
      <c r="AB30">
        <f>INDEX('AEO 40'!AF:AF,MATCH('psgr LDVs'!$B30,'AEO 40'!$B:$B,0))</f>
        <v>68.203636000000003</v>
      </c>
      <c r="AC30">
        <f>INDEX('AEO 40'!AG:AG,MATCH('psgr LDVs'!$B30,'AEO 40'!$B:$B,0))</f>
        <v>68.171843999999993</v>
      </c>
      <c r="AD30">
        <f>INDEX('AEO 40'!AH:AH,MATCH('psgr LDVs'!$B30,'AEO 40'!$B:$B,0))</f>
        <v>68.151306000000005</v>
      </c>
      <c r="AE30">
        <f>INDEX('AEO 40'!AI:AI,MATCH('psgr LDVs'!$B30,'AEO 40'!$B:$B,0))</f>
        <v>68.114295999999996</v>
      </c>
      <c r="AF30">
        <f>INDEX('AEO 40'!AJ:AJ,MATCH('psgr LDVs'!$B30,'AEO 40'!$B:$B,0))</f>
        <v>68.093361000000002</v>
      </c>
      <c r="AG30">
        <f>INDEX('AEO 40'!AK:AK,MATCH('psgr LDVs'!$B30,'AEO 40'!$B:$B,0))</f>
        <v>68.061813000000001</v>
      </c>
    </row>
    <row r="31" spans="1:33" ht="13.6">
      <c r="A31" s="114" t="s">
        <v>115</v>
      </c>
      <c r="B31" s="110" t="s">
        <v>895</v>
      </c>
      <c r="C31">
        <f>INDEX('AEO 40'!G:G,MATCH('psgr LDVs'!$B31,'AEO 40'!$B:$B,0))</f>
        <v>0</v>
      </c>
      <c r="D31">
        <f>INDEX('AEO 40'!H:H,MATCH('psgr LDVs'!$B31,'AEO 40'!$B:$B,0))</f>
        <v>0</v>
      </c>
      <c r="E31">
        <f>INDEX('AEO 40'!I:I,MATCH('psgr LDVs'!$B31,'AEO 40'!$B:$B,0))</f>
        <v>0</v>
      </c>
      <c r="F31">
        <f>INDEX('AEO 40'!J:J,MATCH('psgr LDVs'!$B31,'AEO 40'!$B:$B,0))</f>
        <v>0</v>
      </c>
      <c r="G31">
        <f>INDEX('AEO 40'!K:K,MATCH('psgr LDVs'!$B31,'AEO 40'!$B:$B,0))</f>
        <v>0</v>
      </c>
      <c r="H31">
        <f>INDEX('AEO 40'!L:L,MATCH('psgr LDVs'!$B31,'AEO 40'!$B:$B,0))</f>
        <v>0</v>
      </c>
      <c r="I31">
        <f>INDEX('AEO 40'!M:M,MATCH('psgr LDVs'!$B31,'AEO 40'!$B:$B,0))</f>
        <v>0</v>
      </c>
      <c r="J31">
        <f>INDEX('AEO 40'!N:N,MATCH('psgr LDVs'!$B31,'AEO 40'!$B:$B,0))</f>
        <v>0</v>
      </c>
      <c r="K31">
        <f>INDEX('AEO 40'!O:O,MATCH('psgr LDVs'!$B31,'AEO 40'!$B:$B,0))</f>
        <v>0</v>
      </c>
      <c r="L31">
        <f>INDEX('AEO 40'!P:P,MATCH('psgr LDVs'!$B31,'AEO 40'!$B:$B,0))</f>
        <v>0</v>
      </c>
      <c r="M31">
        <f>INDEX('AEO 40'!Q:Q,MATCH('psgr LDVs'!$B31,'AEO 40'!$B:$B,0))</f>
        <v>0</v>
      </c>
      <c r="N31">
        <f>INDEX('AEO 40'!R:R,MATCH('psgr LDVs'!$B31,'AEO 40'!$B:$B,0))</f>
        <v>0</v>
      </c>
      <c r="O31">
        <f>INDEX('AEO 40'!S:S,MATCH('psgr LDVs'!$B31,'AEO 40'!$B:$B,0))</f>
        <v>0</v>
      </c>
      <c r="P31">
        <f>INDEX('AEO 40'!T:T,MATCH('psgr LDVs'!$B31,'AEO 40'!$B:$B,0))</f>
        <v>0</v>
      </c>
      <c r="Q31">
        <f>INDEX('AEO 40'!U:U,MATCH('psgr LDVs'!$B31,'AEO 40'!$B:$B,0))</f>
        <v>0</v>
      </c>
      <c r="R31">
        <f>INDEX('AEO 40'!V:V,MATCH('psgr LDVs'!$B31,'AEO 40'!$B:$B,0))</f>
        <v>0</v>
      </c>
      <c r="S31">
        <f>INDEX('AEO 40'!W:W,MATCH('psgr LDVs'!$B31,'AEO 40'!$B:$B,0))</f>
        <v>0</v>
      </c>
      <c r="T31">
        <f>INDEX('AEO 40'!X:X,MATCH('psgr LDVs'!$B31,'AEO 40'!$B:$B,0))</f>
        <v>0</v>
      </c>
      <c r="U31">
        <f>INDEX('AEO 40'!Y:Y,MATCH('psgr LDVs'!$B31,'AEO 40'!$B:$B,0))</f>
        <v>0</v>
      </c>
      <c r="V31">
        <f>INDEX('AEO 40'!Z:Z,MATCH('psgr LDVs'!$B31,'AEO 40'!$B:$B,0))</f>
        <v>0</v>
      </c>
      <c r="W31">
        <f>INDEX('AEO 40'!AA:AA,MATCH('psgr LDVs'!$B31,'AEO 40'!$B:$B,0))</f>
        <v>0</v>
      </c>
      <c r="X31">
        <f>INDEX('AEO 40'!AB:AB,MATCH('psgr LDVs'!$B31,'AEO 40'!$B:$B,0))</f>
        <v>0</v>
      </c>
      <c r="Y31">
        <f>INDEX('AEO 40'!AC:AC,MATCH('psgr LDVs'!$B31,'AEO 40'!$B:$B,0))</f>
        <v>0</v>
      </c>
      <c r="Z31">
        <f>INDEX('AEO 40'!AD:AD,MATCH('psgr LDVs'!$B31,'AEO 40'!$B:$B,0))</f>
        <v>0</v>
      </c>
      <c r="AA31">
        <f>INDEX('AEO 40'!AE:AE,MATCH('psgr LDVs'!$B31,'AEO 40'!$B:$B,0))</f>
        <v>0</v>
      </c>
      <c r="AB31">
        <f>INDEX('AEO 40'!AF:AF,MATCH('psgr LDVs'!$B31,'AEO 40'!$B:$B,0))</f>
        <v>0</v>
      </c>
      <c r="AC31">
        <f>INDEX('AEO 40'!AG:AG,MATCH('psgr LDVs'!$B31,'AEO 40'!$B:$B,0))</f>
        <v>0</v>
      </c>
      <c r="AD31">
        <f>INDEX('AEO 40'!AH:AH,MATCH('psgr LDVs'!$B31,'AEO 40'!$B:$B,0))</f>
        <v>0</v>
      </c>
      <c r="AE31">
        <f>INDEX('AEO 40'!AI:AI,MATCH('psgr LDVs'!$B31,'AEO 40'!$B:$B,0))</f>
        <v>0</v>
      </c>
      <c r="AF31">
        <f>INDEX('AEO 40'!AJ:AJ,MATCH('psgr LDVs'!$B31,'AEO 40'!$B:$B,0))</f>
        <v>0</v>
      </c>
      <c r="AG31">
        <f>INDEX('AEO 40'!AK:AK,MATCH('psgr LDVs'!$B31,'AEO 40'!$B:$B,0))</f>
        <v>0</v>
      </c>
    </row>
    <row r="32" spans="1:33" ht="13.6">
      <c r="A32" s="114" t="s">
        <v>114</v>
      </c>
      <c r="B32" s="110" t="s">
        <v>896</v>
      </c>
      <c r="C32">
        <f>INDEX('AEO 40'!G:G,MATCH('psgr LDVs'!$B32,'AEO 40'!$B:$B,0))</f>
        <v>44.357875999999997</v>
      </c>
      <c r="D32">
        <f>INDEX('AEO 40'!H:H,MATCH('psgr LDVs'!$B32,'AEO 40'!$B:$B,0))</f>
        <v>45.452750999999999</v>
      </c>
      <c r="E32">
        <f>INDEX('AEO 40'!I:I,MATCH('psgr LDVs'!$B32,'AEO 40'!$B:$B,0))</f>
        <v>45.995403000000003</v>
      </c>
      <c r="F32">
        <f>INDEX('AEO 40'!J:J,MATCH('psgr LDVs'!$B32,'AEO 40'!$B:$B,0))</f>
        <v>46.538032999999999</v>
      </c>
      <c r="G32">
        <f>INDEX('AEO 40'!K:K,MATCH('psgr LDVs'!$B32,'AEO 40'!$B:$B,0))</f>
        <v>46.906703999999998</v>
      </c>
      <c r="H32">
        <f>INDEX('AEO 40'!L:L,MATCH('psgr LDVs'!$B32,'AEO 40'!$B:$B,0))</f>
        <v>47.992401000000001</v>
      </c>
      <c r="I32">
        <f>INDEX('AEO 40'!M:M,MATCH('psgr LDVs'!$B32,'AEO 40'!$B:$B,0))</f>
        <v>48.900967000000001</v>
      </c>
      <c r="J32">
        <f>INDEX('AEO 40'!N:N,MATCH('psgr LDVs'!$B32,'AEO 40'!$B:$B,0))</f>
        <v>49.071804</v>
      </c>
      <c r="K32">
        <f>INDEX('AEO 40'!O:O,MATCH('psgr LDVs'!$B32,'AEO 40'!$B:$B,0))</f>
        <v>49.005198999999998</v>
      </c>
      <c r="L32">
        <f>INDEX('AEO 40'!P:P,MATCH('psgr LDVs'!$B32,'AEO 40'!$B:$B,0))</f>
        <v>48.905636000000001</v>
      </c>
      <c r="M32">
        <f>INDEX('AEO 40'!Q:Q,MATCH('psgr LDVs'!$B32,'AEO 40'!$B:$B,0))</f>
        <v>48.841782000000002</v>
      </c>
      <c r="N32">
        <f>INDEX('AEO 40'!R:R,MATCH('psgr LDVs'!$B32,'AEO 40'!$B:$B,0))</f>
        <v>48.765984000000003</v>
      </c>
      <c r="O32">
        <f>INDEX('AEO 40'!S:S,MATCH('psgr LDVs'!$B32,'AEO 40'!$B:$B,0))</f>
        <v>48.728816999999999</v>
      </c>
      <c r="P32">
        <f>INDEX('AEO 40'!T:T,MATCH('psgr LDVs'!$B32,'AEO 40'!$B:$B,0))</f>
        <v>48.689647999999998</v>
      </c>
      <c r="Q32">
        <f>INDEX('AEO 40'!U:U,MATCH('psgr LDVs'!$B32,'AEO 40'!$B:$B,0))</f>
        <v>48.653519000000003</v>
      </c>
      <c r="R32">
        <f>INDEX('AEO 40'!V:V,MATCH('psgr LDVs'!$B32,'AEO 40'!$B:$B,0))</f>
        <v>48.602058</v>
      </c>
      <c r="S32">
        <f>INDEX('AEO 40'!W:W,MATCH('psgr LDVs'!$B32,'AEO 40'!$B:$B,0))</f>
        <v>48.562153000000002</v>
      </c>
      <c r="T32">
        <f>INDEX('AEO 40'!X:X,MATCH('psgr LDVs'!$B32,'AEO 40'!$B:$B,0))</f>
        <v>48.523819000000003</v>
      </c>
      <c r="U32">
        <f>INDEX('AEO 40'!Y:Y,MATCH('psgr LDVs'!$B32,'AEO 40'!$B:$B,0))</f>
        <v>48.476131000000002</v>
      </c>
      <c r="V32">
        <f>INDEX('AEO 40'!Z:Z,MATCH('psgr LDVs'!$B32,'AEO 40'!$B:$B,0))</f>
        <v>48.422843999999998</v>
      </c>
      <c r="W32">
        <f>INDEX('AEO 40'!AA:AA,MATCH('psgr LDVs'!$B32,'AEO 40'!$B:$B,0))</f>
        <v>48.371502</v>
      </c>
      <c r="X32">
        <f>INDEX('AEO 40'!AB:AB,MATCH('psgr LDVs'!$B32,'AEO 40'!$B:$B,0))</f>
        <v>48.314053000000001</v>
      </c>
      <c r="Y32">
        <f>INDEX('AEO 40'!AC:AC,MATCH('psgr LDVs'!$B32,'AEO 40'!$B:$B,0))</f>
        <v>48.253825999999997</v>
      </c>
      <c r="Z32">
        <f>INDEX('AEO 40'!AD:AD,MATCH('psgr LDVs'!$B32,'AEO 40'!$B:$B,0))</f>
        <v>48.197032999999998</v>
      </c>
      <c r="AA32">
        <f>INDEX('AEO 40'!AE:AE,MATCH('psgr LDVs'!$B32,'AEO 40'!$B:$B,0))</f>
        <v>48.142715000000003</v>
      </c>
      <c r="AB32">
        <f>INDEX('AEO 40'!AF:AF,MATCH('psgr LDVs'!$B32,'AEO 40'!$B:$B,0))</f>
        <v>48.087707999999999</v>
      </c>
      <c r="AC32">
        <f>INDEX('AEO 40'!AG:AG,MATCH('psgr LDVs'!$B32,'AEO 40'!$B:$B,0))</f>
        <v>48.031067</v>
      </c>
      <c r="AD32">
        <f>INDEX('AEO 40'!AH:AH,MATCH('psgr LDVs'!$B32,'AEO 40'!$B:$B,0))</f>
        <v>47.979263000000003</v>
      </c>
      <c r="AE32">
        <f>INDEX('AEO 40'!AI:AI,MATCH('psgr LDVs'!$B32,'AEO 40'!$B:$B,0))</f>
        <v>47.924652000000002</v>
      </c>
      <c r="AF32">
        <f>INDEX('AEO 40'!AJ:AJ,MATCH('psgr LDVs'!$B32,'AEO 40'!$B:$B,0))</f>
        <v>47.875210000000003</v>
      </c>
      <c r="AG32">
        <f>INDEX('AEO 40'!AK:AK,MATCH('psgr LDVs'!$B32,'AEO 40'!$B:$B,0))</f>
        <v>47.825684000000003</v>
      </c>
    </row>
    <row r="33" spans="1:33" ht="13.6">
      <c r="A33" s="114" t="s">
        <v>113</v>
      </c>
      <c r="B33" s="110" t="s">
        <v>897</v>
      </c>
      <c r="C33">
        <f>INDEX('AEO 40'!G:G,MATCH('psgr LDVs'!$B33,'AEO 40'!$B:$B,0))</f>
        <v>31.861865999999999</v>
      </c>
      <c r="D33">
        <f>INDEX('AEO 40'!H:H,MATCH('psgr LDVs'!$B33,'AEO 40'!$B:$B,0))</f>
        <v>32.843581999999998</v>
      </c>
      <c r="E33">
        <f>INDEX('AEO 40'!I:I,MATCH('psgr LDVs'!$B33,'AEO 40'!$B:$B,0))</f>
        <v>33.386707000000001</v>
      </c>
      <c r="F33">
        <f>INDEX('AEO 40'!J:J,MATCH('psgr LDVs'!$B33,'AEO 40'!$B:$B,0))</f>
        <v>33.716830999999999</v>
      </c>
      <c r="G33">
        <f>INDEX('AEO 40'!K:K,MATCH('psgr LDVs'!$B33,'AEO 40'!$B:$B,0))</f>
        <v>33.918095000000001</v>
      </c>
      <c r="H33">
        <f>INDEX('AEO 40'!L:L,MATCH('psgr LDVs'!$B33,'AEO 40'!$B:$B,0))</f>
        <v>34.391376000000001</v>
      </c>
      <c r="I33">
        <f>INDEX('AEO 40'!M:M,MATCH('psgr LDVs'!$B33,'AEO 40'!$B:$B,0))</f>
        <v>34.498711</v>
      </c>
      <c r="J33">
        <f>INDEX('AEO 40'!N:N,MATCH('psgr LDVs'!$B33,'AEO 40'!$B:$B,0))</f>
        <v>34.498961999999999</v>
      </c>
      <c r="K33">
        <f>INDEX('AEO 40'!O:O,MATCH('psgr LDVs'!$B33,'AEO 40'!$B:$B,0))</f>
        <v>34.490237999999998</v>
      </c>
      <c r="L33">
        <f>INDEX('AEO 40'!P:P,MATCH('psgr LDVs'!$B33,'AEO 40'!$B:$B,0))</f>
        <v>34.477215000000001</v>
      </c>
      <c r="M33">
        <f>INDEX('AEO 40'!Q:Q,MATCH('psgr LDVs'!$B33,'AEO 40'!$B:$B,0))</f>
        <v>34.467044999999999</v>
      </c>
      <c r="N33">
        <f>INDEX('AEO 40'!R:R,MATCH('psgr LDVs'!$B33,'AEO 40'!$B:$B,0))</f>
        <v>34.451011999999999</v>
      </c>
      <c r="O33">
        <f>INDEX('AEO 40'!S:S,MATCH('psgr LDVs'!$B33,'AEO 40'!$B:$B,0))</f>
        <v>34.429020000000001</v>
      </c>
      <c r="P33">
        <f>INDEX('AEO 40'!T:T,MATCH('psgr LDVs'!$B33,'AEO 40'!$B:$B,0))</f>
        <v>34.387855999999999</v>
      </c>
      <c r="Q33">
        <f>INDEX('AEO 40'!U:U,MATCH('psgr LDVs'!$B33,'AEO 40'!$B:$B,0))</f>
        <v>34.36533</v>
      </c>
      <c r="R33">
        <f>INDEX('AEO 40'!V:V,MATCH('psgr LDVs'!$B33,'AEO 40'!$B:$B,0))</f>
        <v>34.336357</v>
      </c>
      <c r="S33">
        <f>INDEX('AEO 40'!W:W,MATCH('psgr LDVs'!$B33,'AEO 40'!$B:$B,0))</f>
        <v>34.319068999999999</v>
      </c>
      <c r="T33">
        <f>INDEX('AEO 40'!X:X,MATCH('psgr LDVs'!$B33,'AEO 40'!$B:$B,0))</f>
        <v>34.303936</v>
      </c>
      <c r="U33">
        <f>INDEX('AEO 40'!Y:Y,MATCH('psgr LDVs'!$B33,'AEO 40'!$B:$B,0))</f>
        <v>34.285034000000003</v>
      </c>
      <c r="V33">
        <f>INDEX('AEO 40'!Z:Z,MATCH('psgr LDVs'!$B33,'AEO 40'!$B:$B,0))</f>
        <v>34.259048</v>
      </c>
      <c r="W33">
        <f>INDEX('AEO 40'!AA:AA,MATCH('psgr LDVs'!$B33,'AEO 40'!$B:$B,0))</f>
        <v>34.230620999999999</v>
      </c>
      <c r="X33">
        <f>INDEX('AEO 40'!AB:AB,MATCH('psgr LDVs'!$B33,'AEO 40'!$B:$B,0))</f>
        <v>34.206336999999998</v>
      </c>
      <c r="Y33">
        <f>INDEX('AEO 40'!AC:AC,MATCH('psgr LDVs'!$B33,'AEO 40'!$B:$B,0))</f>
        <v>34.186405000000001</v>
      </c>
      <c r="Z33">
        <f>INDEX('AEO 40'!AD:AD,MATCH('psgr LDVs'!$B33,'AEO 40'!$B:$B,0))</f>
        <v>34.159382000000001</v>
      </c>
      <c r="AA33">
        <f>INDEX('AEO 40'!AE:AE,MATCH('psgr LDVs'!$B33,'AEO 40'!$B:$B,0))</f>
        <v>34.135489999999997</v>
      </c>
      <c r="AB33">
        <f>INDEX('AEO 40'!AF:AF,MATCH('psgr LDVs'!$B33,'AEO 40'!$B:$B,0))</f>
        <v>34.113357999999998</v>
      </c>
      <c r="AC33">
        <f>INDEX('AEO 40'!AG:AG,MATCH('psgr LDVs'!$B33,'AEO 40'!$B:$B,0))</f>
        <v>34.092205</v>
      </c>
      <c r="AD33">
        <f>INDEX('AEO 40'!AH:AH,MATCH('psgr LDVs'!$B33,'AEO 40'!$B:$B,0))</f>
        <v>34.066825999999999</v>
      </c>
      <c r="AE33">
        <f>INDEX('AEO 40'!AI:AI,MATCH('psgr LDVs'!$B33,'AEO 40'!$B:$B,0))</f>
        <v>34.039417</v>
      </c>
      <c r="AF33">
        <f>INDEX('AEO 40'!AJ:AJ,MATCH('psgr LDVs'!$B33,'AEO 40'!$B:$B,0))</f>
        <v>34.015148000000003</v>
      </c>
      <c r="AG33">
        <f>INDEX('AEO 40'!AK:AK,MATCH('psgr LDVs'!$B33,'AEO 40'!$B:$B,0))</f>
        <v>33.990993000000003</v>
      </c>
    </row>
    <row r="34" spans="1:33" ht="13.6">
      <c r="A34" s="114" t="s">
        <v>113</v>
      </c>
      <c r="B34" s="110" t="s">
        <v>898</v>
      </c>
      <c r="C34">
        <f>INDEX('AEO 40'!G:G,MATCH('psgr LDVs'!$B34,'AEO 40'!$B:$B,0))</f>
        <v>29.55686</v>
      </c>
      <c r="D34">
        <f>INDEX('AEO 40'!H:H,MATCH('psgr LDVs'!$B34,'AEO 40'!$B:$B,0))</f>
        <v>30.560005</v>
      </c>
      <c r="E34">
        <f>INDEX('AEO 40'!I:I,MATCH('psgr LDVs'!$B34,'AEO 40'!$B:$B,0))</f>
        <v>31.066334000000001</v>
      </c>
      <c r="F34">
        <f>INDEX('AEO 40'!J:J,MATCH('psgr LDVs'!$B34,'AEO 40'!$B:$B,0))</f>
        <v>31.427596999999999</v>
      </c>
      <c r="G34">
        <f>INDEX('AEO 40'!K:K,MATCH('psgr LDVs'!$B34,'AEO 40'!$B:$B,0))</f>
        <v>31.681533999999999</v>
      </c>
      <c r="H34">
        <f>INDEX('AEO 40'!L:L,MATCH('psgr LDVs'!$B34,'AEO 40'!$B:$B,0))</f>
        <v>31.997173</v>
      </c>
      <c r="I34">
        <f>INDEX('AEO 40'!M:M,MATCH('psgr LDVs'!$B34,'AEO 40'!$B:$B,0))</f>
        <v>32.123885999999999</v>
      </c>
      <c r="J34">
        <f>INDEX('AEO 40'!N:N,MATCH('psgr LDVs'!$B34,'AEO 40'!$B:$B,0))</f>
        <v>32.132770999999998</v>
      </c>
      <c r="K34">
        <f>INDEX('AEO 40'!O:O,MATCH('psgr LDVs'!$B34,'AEO 40'!$B:$B,0))</f>
        <v>32.130611000000002</v>
      </c>
      <c r="L34">
        <f>INDEX('AEO 40'!P:P,MATCH('psgr LDVs'!$B34,'AEO 40'!$B:$B,0))</f>
        <v>32.118251999999998</v>
      </c>
      <c r="M34">
        <f>INDEX('AEO 40'!Q:Q,MATCH('psgr LDVs'!$B34,'AEO 40'!$B:$B,0))</f>
        <v>32.116740999999998</v>
      </c>
      <c r="N34">
        <f>INDEX('AEO 40'!R:R,MATCH('psgr LDVs'!$B34,'AEO 40'!$B:$B,0))</f>
        <v>32.099792000000001</v>
      </c>
      <c r="O34">
        <f>INDEX('AEO 40'!S:S,MATCH('psgr LDVs'!$B34,'AEO 40'!$B:$B,0))</f>
        <v>32.078986999999998</v>
      </c>
      <c r="P34">
        <f>INDEX('AEO 40'!T:T,MATCH('psgr LDVs'!$B34,'AEO 40'!$B:$B,0))</f>
        <v>32.053646000000001</v>
      </c>
      <c r="Q34">
        <f>INDEX('AEO 40'!U:U,MATCH('psgr LDVs'!$B34,'AEO 40'!$B:$B,0))</f>
        <v>32.035358000000002</v>
      </c>
      <c r="R34">
        <f>INDEX('AEO 40'!V:V,MATCH('psgr LDVs'!$B34,'AEO 40'!$B:$B,0))</f>
        <v>32.011780000000002</v>
      </c>
      <c r="S34">
        <f>INDEX('AEO 40'!W:W,MATCH('psgr LDVs'!$B34,'AEO 40'!$B:$B,0))</f>
        <v>31.985199000000001</v>
      </c>
      <c r="T34">
        <f>INDEX('AEO 40'!X:X,MATCH('psgr LDVs'!$B34,'AEO 40'!$B:$B,0))</f>
        <v>31.960155</v>
      </c>
      <c r="U34">
        <f>INDEX('AEO 40'!Y:Y,MATCH('psgr LDVs'!$B34,'AEO 40'!$B:$B,0))</f>
        <v>31.950474</v>
      </c>
      <c r="V34">
        <f>INDEX('AEO 40'!Z:Z,MATCH('psgr LDVs'!$B34,'AEO 40'!$B:$B,0))</f>
        <v>31.926682</v>
      </c>
      <c r="W34">
        <f>INDEX('AEO 40'!AA:AA,MATCH('psgr LDVs'!$B34,'AEO 40'!$B:$B,0))</f>
        <v>31.909835999999999</v>
      </c>
      <c r="X34">
        <f>INDEX('AEO 40'!AB:AB,MATCH('psgr LDVs'!$B34,'AEO 40'!$B:$B,0))</f>
        <v>31.894207000000002</v>
      </c>
      <c r="Y34">
        <f>INDEX('AEO 40'!AC:AC,MATCH('psgr LDVs'!$B34,'AEO 40'!$B:$B,0))</f>
        <v>31.879822000000001</v>
      </c>
      <c r="Z34">
        <f>INDEX('AEO 40'!AD:AD,MATCH('psgr LDVs'!$B34,'AEO 40'!$B:$B,0))</f>
        <v>31.863997999999999</v>
      </c>
      <c r="AA34">
        <f>INDEX('AEO 40'!AE:AE,MATCH('psgr LDVs'!$B34,'AEO 40'!$B:$B,0))</f>
        <v>31.851064999999998</v>
      </c>
      <c r="AB34">
        <f>INDEX('AEO 40'!AF:AF,MATCH('psgr LDVs'!$B34,'AEO 40'!$B:$B,0))</f>
        <v>31.837519</v>
      </c>
      <c r="AC34">
        <f>INDEX('AEO 40'!AG:AG,MATCH('psgr LDVs'!$B34,'AEO 40'!$B:$B,0))</f>
        <v>31.822821000000001</v>
      </c>
      <c r="AD34">
        <f>INDEX('AEO 40'!AH:AH,MATCH('psgr LDVs'!$B34,'AEO 40'!$B:$B,0))</f>
        <v>31.810343</v>
      </c>
      <c r="AE34">
        <f>INDEX('AEO 40'!AI:AI,MATCH('psgr LDVs'!$B34,'AEO 40'!$B:$B,0))</f>
        <v>31.794965999999999</v>
      </c>
      <c r="AF34">
        <f>INDEX('AEO 40'!AJ:AJ,MATCH('psgr LDVs'!$B34,'AEO 40'!$B:$B,0))</f>
        <v>31.781870000000001</v>
      </c>
      <c r="AG34">
        <f>INDEX('AEO 40'!AK:AK,MATCH('psgr LDVs'!$B34,'AEO 40'!$B:$B,0))</f>
        <v>31.769265999999998</v>
      </c>
    </row>
    <row r="35" spans="1:33" ht="13.6">
      <c r="A35" s="114" t="s">
        <v>853</v>
      </c>
      <c r="B35" s="110" t="s">
        <v>899</v>
      </c>
      <c r="C35">
        <f>INDEX('AEO 40'!G:G,MATCH('psgr LDVs'!$B35,'AEO 40'!$B:$B,0))</f>
        <v>30.622246000000001</v>
      </c>
      <c r="D35">
        <f>INDEX('AEO 40'!H:H,MATCH('psgr LDVs'!$B35,'AEO 40'!$B:$B,0))</f>
        <v>31.605253000000001</v>
      </c>
      <c r="E35">
        <f>INDEX('AEO 40'!I:I,MATCH('psgr LDVs'!$B35,'AEO 40'!$B:$B,0))</f>
        <v>32.179554000000003</v>
      </c>
      <c r="F35">
        <f>INDEX('AEO 40'!J:J,MATCH('psgr LDVs'!$B35,'AEO 40'!$B:$B,0))</f>
        <v>32.467956999999998</v>
      </c>
      <c r="G35">
        <f>INDEX('AEO 40'!K:K,MATCH('psgr LDVs'!$B35,'AEO 40'!$B:$B,0))</f>
        <v>32.679893</v>
      </c>
      <c r="H35">
        <f>INDEX('AEO 40'!L:L,MATCH('psgr LDVs'!$B35,'AEO 40'!$B:$B,0))</f>
        <v>33.143794999999997</v>
      </c>
      <c r="I35">
        <f>INDEX('AEO 40'!M:M,MATCH('psgr LDVs'!$B35,'AEO 40'!$B:$B,0))</f>
        <v>33.203918000000002</v>
      </c>
      <c r="J35">
        <f>INDEX('AEO 40'!N:N,MATCH('psgr LDVs'!$B35,'AEO 40'!$B:$B,0))</f>
        <v>33.179671999999997</v>
      </c>
      <c r="K35">
        <f>INDEX('AEO 40'!O:O,MATCH('psgr LDVs'!$B35,'AEO 40'!$B:$B,0))</f>
        <v>33.157229999999998</v>
      </c>
      <c r="L35">
        <f>INDEX('AEO 40'!P:P,MATCH('psgr LDVs'!$B35,'AEO 40'!$B:$B,0))</f>
        <v>33.124744</v>
      </c>
      <c r="M35">
        <f>INDEX('AEO 40'!Q:Q,MATCH('psgr LDVs'!$B35,'AEO 40'!$B:$B,0))</f>
        <v>33.096722</v>
      </c>
      <c r="N35">
        <f>INDEX('AEO 40'!R:R,MATCH('psgr LDVs'!$B35,'AEO 40'!$B:$B,0))</f>
        <v>33.071339000000002</v>
      </c>
      <c r="O35">
        <f>INDEX('AEO 40'!S:S,MATCH('psgr LDVs'!$B35,'AEO 40'!$B:$B,0))</f>
        <v>33.032288000000001</v>
      </c>
      <c r="P35">
        <f>INDEX('AEO 40'!T:T,MATCH('psgr LDVs'!$B35,'AEO 40'!$B:$B,0))</f>
        <v>32.987822999999999</v>
      </c>
      <c r="Q35">
        <f>INDEX('AEO 40'!U:U,MATCH('psgr LDVs'!$B35,'AEO 40'!$B:$B,0))</f>
        <v>32.946789000000003</v>
      </c>
      <c r="R35">
        <f>INDEX('AEO 40'!V:V,MATCH('psgr LDVs'!$B35,'AEO 40'!$B:$B,0))</f>
        <v>32.911011000000002</v>
      </c>
      <c r="S35">
        <f>INDEX('AEO 40'!W:W,MATCH('psgr LDVs'!$B35,'AEO 40'!$B:$B,0))</f>
        <v>32.895007999999997</v>
      </c>
      <c r="T35">
        <f>INDEX('AEO 40'!X:X,MATCH('psgr LDVs'!$B35,'AEO 40'!$B:$B,0))</f>
        <v>32.851913000000003</v>
      </c>
      <c r="U35">
        <f>INDEX('AEO 40'!Y:Y,MATCH('psgr LDVs'!$B35,'AEO 40'!$B:$B,0))</f>
        <v>32.818314000000001</v>
      </c>
      <c r="V35">
        <f>INDEX('AEO 40'!Z:Z,MATCH('psgr LDVs'!$B35,'AEO 40'!$B:$B,0))</f>
        <v>32.777790000000003</v>
      </c>
      <c r="W35">
        <f>INDEX('AEO 40'!AA:AA,MATCH('psgr LDVs'!$B35,'AEO 40'!$B:$B,0))</f>
        <v>32.736030999999997</v>
      </c>
      <c r="X35">
        <f>INDEX('AEO 40'!AB:AB,MATCH('psgr LDVs'!$B35,'AEO 40'!$B:$B,0))</f>
        <v>32.696677999999999</v>
      </c>
      <c r="Y35">
        <f>INDEX('AEO 40'!AC:AC,MATCH('psgr LDVs'!$B35,'AEO 40'!$B:$B,0))</f>
        <v>32.661732000000001</v>
      </c>
      <c r="Z35">
        <f>INDEX('AEO 40'!AD:AD,MATCH('psgr LDVs'!$B35,'AEO 40'!$B:$B,0))</f>
        <v>32.618389000000001</v>
      </c>
      <c r="AA35">
        <f>INDEX('AEO 40'!AE:AE,MATCH('psgr LDVs'!$B35,'AEO 40'!$B:$B,0))</f>
        <v>32.578406999999999</v>
      </c>
      <c r="AB35">
        <f>INDEX('AEO 40'!AF:AF,MATCH('psgr LDVs'!$B35,'AEO 40'!$B:$B,0))</f>
        <v>32.533005000000003</v>
      </c>
      <c r="AC35">
        <f>INDEX('AEO 40'!AG:AG,MATCH('psgr LDVs'!$B35,'AEO 40'!$B:$B,0))</f>
        <v>32.495533000000002</v>
      </c>
      <c r="AD35">
        <f>INDEX('AEO 40'!AH:AH,MATCH('psgr LDVs'!$B35,'AEO 40'!$B:$B,0))</f>
        <v>32.456966000000001</v>
      </c>
      <c r="AE35">
        <f>INDEX('AEO 40'!AI:AI,MATCH('psgr LDVs'!$B35,'AEO 40'!$B:$B,0))</f>
        <v>32.419879999999999</v>
      </c>
      <c r="AF35">
        <f>INDEX('AEO 40'!AJ:AJ,MATCH('psgr LDVs'!$B35,'AEO 40'!$B:$B,0))</f>
        <v>32.378104999999998</v>
      </c>
      <c r="AG35">
        <f>INDEX('AEO 40'!AK:AK,MATCH('psgr LDVs'!$B35,'AEO 40'!$B:$B,0))</f>
        <v>32.336609000000003</v>
      </c>
    </row>
    <row r="36" spans="1:33" ht="13.6">
      <c r="A36" s="114" t="s">
        <v>853</v>
      </c>
      <c r="B36" s="110" t="s">
        <v>900</v>
      </c>
      <c r="C36">
        <f>INDEX('AEO 40'!G:G,MATCH('psgr LDVs'!$B36,'AEO 40'!$B:$B,0))</f>
        <v>29.502110999999999</v>
      </c>
      <c r="D36">
        <f>INDEX('AEO 40'!H:H,MATCH('psgr LDVs'!$B36,'AEO 40'!$B:$B,0))</f>
        <v>30.504111999999999</v>
      </c>
      <c r="E36">
        <f>INDEX('AEO 40'!I:I,MATCH('psgr LDVs'!$B36,'AEO 40'!$B:$B,0))</f>
        <v>31.009266</v>
      </c>
      <c r="F36">
        <f>INDEX('AEO 40'!J:J,MATCH('psgr LDVs'!$B36,'AEO 40'!$B:$B,0))</f>
        <v>31.374596</v>
      </c>
      <c r="G36">
        <f>INDEX('AEO 40'!K:K,MATCH('psgr LDVs'!$B36,'AEO 40'!$B:$B,0))</f>
        <v>31.631080999999998</v>
      </c>
      <c r="H36">
        <f>INDEX('AEO 40'!L:L,MATCH('psgr LDVs'!$B36,'AEO 40'!$B:$B,0))</f>
        <v>31.944258000000001</v>
      </c>
      <c r="I36">
        <f>INDEX('AEO 40'!M:M,MATCH('psgr LDVs'!$B36,'AEO 40'!$B:$B,0))</f>
        <v>32.076157000000002</v>
      </c>
      <c r="J36">
        <f>INDEX('AEO 40'!N:N,MATCH('psgr LDVs'!$B36,'AEO 40'!$B:$B,0))</f>
        <v>32.08567</v>
      </c>
      <c r="K36">
        <f>INDEX('AEO 40'!O:O,MATCH('psgr LDVs'!$B36,'AEO 40'!$B:$B,0))</f>
        <v>32.083663999999999</v>
      </c>
      <c r="L36">
        <f>INDEX('AEO 40'!P:P,MATCH('psgr LDVs'!$B36,'AEO 40'!$B:$B,0))</f>
        <v>32.071297000000001</v>
      </c>
      <c r="M36">
        <f>INDEX('AEO 40'!Q:Q,MATCH('psgr LDVs'!$B36,'AEO 40'!$B:$B,0))</f>
        <v>32.069775</v>
      </c>
      <c r="N36">
        <f>INDEX('AEO 40'!R:R,MATCH('psgr LDVs'!$B36,'AEO 40'!$B:$B,0))</f>
        <v>32.052813999999998</v>
      </c>
      <c r="O36">
        <f>INDEX('AEO 40'!S:S,MATCH('psgr LDVs'!$B36,'AEO 40'!$B:$B,0))</f>
        <v>32.032027999999997</v>
      </c>
      <c r="P36">
        <f>INDEX('AEO 40'!T:T,MATCH('psgr LDVs'!$B36,'AEO 40'!$B:$B,0))</f>
        <v>32.006858999999999</v>
      </c>
      <c r="Q36">
        <f>INDEX('AEO 40'!U:U,MATCH('psgr LDVs'!$B36,'AEO 40'!$B:$B,0))</f>
        <v>31.988849999999999</v>
      </c>
      <c r="R36">
        <f>INDEX('AEO 40'!V:V,MATCH('psgr LDVs'!$B36,'AEO 40'!$B:$B,0))</f>
        <v>31.965149</v>
      </c>
      <c r="S36">
        <f>INDEX('AEO 40'!W:W,MATCH('psgr LDVs'!$B36,'AEO 40'!$B:$B,0))</f>
        <v>31.938510999999998</v>
      </c>
      <c r="T36">
        <f>INDEX('AEO 40'!X:X,MATCH('psgr LDVs'!$B36,'AEO 40'!$B:$B,0))</f>
        <v>31.913309000000002</v>
      </c>
      <c r="U36">
        <f>INDEX('AEO 40'!Y:Y,MATCH('psgr LDVs'!$B36,'AEO 40'!$B:$B,0))</f>
        <v>31.903884999999999</v>
      </c>
      <c r="V36">
        <f>INDEX('AEO 40'!Z:Z,MATCH('psgr LDVs'!$B36,'AEO 40'!$B:$B,0))</f>
        <v>31.879961000000002</v>
      </c>
      <c r="W36">
        <f>INDEX('AEO 40'!AA:AA,MATCH('psgr LDVs'!$B36,'AEO 40'!$B:$B,0))</f>
        <v>31.863143999999998</v>
      </c>
      <c r="X36">
        <f>INDEX('AEO 40'!AB:AB,MATCH('psgr LDVs'!$B36,'AEO 40'!$B:$B,0))</f>
        <v>31.847632999999998</v>
      </c>
      <c r="Y36">
        <f>INDEX('AEO 40'!AC:AC,MATCH('psgr LDVs'!$B36,'AEO 40'!$B:$B,0))</f>
        <v>31.833341999999998</v>
      </c>
      <c r="Z36">
        <f>INDEX('AEO 40'!AD:AD,MATCH('psgr LDVs'!$B36,'AEO 40'!$B:$B,0))</f>
        <v>31.817549</v>
      </c>
      <c r="AA36">
        <f>INDEX('AEO 40'!AE:AE,MATCH('psgr LDVs'!$B36,'AEO 40'!$B:$B,0))</f>
        <v>31.804779</v>
      </c>
      <c r="AB36">
        <f>INDEX('AEO 40'!AF:AF,MATCH('psgr LDVs'!$B36,'AEO 40'!$B:$B,0))</f>
        <v>31.791487</v>
      </c>
      <c r="AC36">
        <f>INDEX('AEO 40'!AG:AG,MATCH('psgr LDVs'!$B36,'AEO 40'!$B:$B,0))</f>
        <v>31.776972000000001</v>
      </c>
      <c r="AD36">
        <f>INDEX('AEO 40'!AH:AH,MATCH('psgr LDVs'!$B36,'AEO 40'!$B:$B,0))</f>
        <v>31.764709</v>
      </c>
      <c r="AE36">
        <f>INDEX('AEO 40'!AI:AI,MATCH('psgr LDVs'!$B36,'AEO 40'!$B:$B,0))</f>
        <v>31.749523</v>
      </c>
      <c r="AF36">
        <f>INDEX('AEO 40'!AJ:AJ,MATCH('psgr LDVs'!$B36,'AEO 40'!$B:$B,0))</f>
        <v>31.736805</v>
      </c>
      <c r="AG36">
        <f>INDEX('AEO 40'!AK:AK,MATCH('psgr LDVs'!$B36,'AEO 40'!$B:$B,0))</f>
        <v>31.724529</v>
      </c>
    </row>
    <row r="37" spans="1:33" ht="13.6">
      <c r="A37" s="114" t="s">
        <v>854</v>
      </c>
      <c r="B37" s="110" t="s">
        <v>901</v>
      </c>
      <c r="C37">
        <f>INDEX('AEO 40'!G:G,MATCH('psgr LDVs'!$B37,'AEO 40'!$B:$B,0))</f>
        <v>0</v>
      </c>
      <c r="D37">
        <f>INDEX('AEO 40'!H:H,MATCH('psgr LDVs'!$B37,'AEO 40'!$B:$B,0))</f>
        <v>0</v>
      </c>
      <c r="E37">
        <f>INDEX('AEO 40'!I:I,MATCH('psgr LDVs'!$B37,'AEO 40'!$B:$B,0))</f>
        <v>0</v>
      </c>
      <c r="F37">
        <f>INDEX('AEO 40'!J:J,MATCH('psgr LDVs'!$B37,'AEO 40'!$B:$B,0))</f>
        <v>0</v>
      </c>
      <c r="G37">
        <f>INDEX('AEO 40'!K:K,MATCH('psgr LDVs'!$B37,'AEO 40'!$B:$B,0))</f>
        <v>0</v>
      </c>
      <c r="H37">
        <f>INDEX('AEO 40'!L:L,MATCH('psgr LDVs'!$B37,'AEO 40'!$B:$B,0))</f>
        <v>0</v>
      </c>
      <c r="I37">
        <f>INDEX('AEO 40'!M:M,MATCH('psgr LDVs'!$B37,'AEO 40'!$B:$B,0))</f>
        <v>0</v>
      </c>
      <c r="J37">
        <f>INDEX('AEO 40'!N:N,MATCH('psgr LDVs'!$B37,'AEO 40'!$B:$B,0))</f>
        <v>0</v>
      </c>
      <c r="K37">
        <f>INDEX('AEO 40'!O:O,MATCH('psgr LDVs'!$B37,'AEO 40'!$B:$B,0))</f>
        <v>0</v>
      </c>
      <c r="L37">
        <f>INDEX('AEO 40'!P:P,MATCH('psgr LDVs'!$B37,'AEO 40'!$B:$B,0))</f>
        <v>0</v>
      </c>
      <c r="M37">
        <f>INDEX('AEO 40'!Q:Q,MATCH('psgr LDVs'!$B37,'AEO 40'!$B:$B,0))</f>
        <v>0</v>
      </c>
      <c r="N37">
        <f>INDEX('AEO 40'!R:R,MATCH('psgr LDVs'!$B37,'AEO 40'!$B:$B,0))</f>
        <v>0</v>
      </c>
      <c r="O37">
        <f>INDEX('AEO 40'!S:S,MATCH('psgr LDVs'!$B37,'AEO 40'!$B:$B,0))</f>
        <v>0</v>
      </c>
      <c r="P37">
        <f>INDEX('AEO 40'!T:T,MATCH('psgr LDVs'!$B37,'AEO 40'!$B:$B,0))</f>
        <v>0</v>
      </c>
      <c r="Q37">
        <f>INDEX('AEO 40'!U:U,MATCH('psgr LDVs'!$B37,'AEO 40'!$B:$B,0))</f>
        <v>0</v>
      </c>
      <c r="R37">
        <f>INDEX('AEO 40'!V:V,MATCH('psgr LDVs'!$B37,'AEO 40'!$B:$B,0))</f>
        <v>0</v>
      </c>
      <c r="S37">
        <f>INDEX('AEO 40'!W:W,MATCH('psgr LDVs'!$B37,'AEO 40'!$B:$B,0))</f>
        <v>0</v>
      </c>
      <c r="T37">
        <f>INDEX('AEO 40'!X:X,MATCH('psgr LDVs'!$B37,'AEO 40'!$B:$B,0))</f>
        <v>0</v>
      </c>
      <c r="U37">
        <f>INDEX('AEO 40'!Y:Y,MATCH('psgr LDVs'!$B37,'AEO 40'!$B:$B,0))</f>
        <v>0</v>
      </c>
      <c r="V37">
        <f>INDEX('AEO 40'!Z:Z,MATCH('psgr LDVs'!$B37,'AEO 40'!$B:$B,0))</f>
        <v>0</v>
      </c>
      <c r="W37">
        <f>INDEX('AEO 40'!AA:AA,MATCH('psgr LDVs'!$B37,'AEO 40'!$B:$B,0))</f>
        <v>0</v>
      </c>
      <c r="X37">
        <f>INDEX('AEO 40'!AB:AB,MATCH('psgr LDVs'!$B37,'AEO 40'!$B:$B,0))</f>
        <v>0</v>
      </c>
      <c r="Y37">
        <f>INDEX('AEO 40'!AC:AC,MATCH('psgr LDVs'!$B37,'AEO 40'!$B:$B,0))</f>
        <v>0</v>
      </c>
      <c r="Z37">
        <f>INDEX('AEO 40'!AD:AD,MATCH('psgr LDVs'!$B37,'AEO 40'!$B:$B,0))</f>
        <v>0</v>
      </c>
      <c r="AA37">
        <f>INDEX('AEO 40'!AE:AE,MATCH('psgr LDVs'!$B37,'AEO 40'!$B:$B,0))</f>
        <v>0</v>
      </c>
      <c r="AB37">
        <f>INDEX('AEO 40'!AF:AF,MATCH('psgr LDVs'!$B37,'AEO 40'!$B:$B,0))</f>
        <v>0</v>
      </c>
      <c r="AC37">
        <f>INDEX('AEO 40'!AG:AG,MATCH('psgr LDVs'!$B37,'AEO 40'!$B:$B,0))</f>
        <v>0</v>
      </c>
      <c r="AD37">
        <f>INDEX('AEO 40'!AH:AH,MATCH('psgr LDVs'!$B37,'AEO 40'!$B:$B,0))</f>
        <v>0</v>
      </c>
      <c r="AE37">
        <f>INDEX('AEO 40'!AI:AI,MATCH('psgr LDVs'!$B37,'AEO 40'!$B:$B,0))</f>
        <v>0</v>
      </c>
      <c r="AF37">
        <f>INDEX('AEO 40'!AJ:AJ,MATCH('psgr LDVs'!$B37,'AEO 40'!$B:$B,0))</f>
        <v>0</v>
      </c>
      <c r="AG37">
        <f>INDEX('AEO 40'!AK:AK,MATCH('psgr LDVs'!$B37,'AEO 40'!$B:$B,0))</f>
        <v>0</v>
      </c>
    </row>
    <row r="38" spans="1:33" ht="13.6">
      <c r="A38" s="114" t="s">
        <v>854</v>
      </c>
      <c r="B38" s="110" t="s">
        <v>902</v>
      </c>
      <c r="C38">
        <f>INDEX('AEO 40'!G:G,MATCH('psgr LDVs'!$B38,'AEO 40'!$B:$B,0))</f>
        <v>37.807884000000001</v>
      </c>
      <c r="D38">
        <f>INDEX('AEO 40'!H:H,MATCH('psgr LDVs'!$B38,'AEO 40'!$B:$B,0))</f>
        <v>38.799689999999998</v>
      </c>
      <c r="E38">
        <f>INDEX('AEO 40'!I:I,MATCH('psgr LDVs'!$B38,'AEO 40'!$B:$B,0))</f>
        <v>38.842461</v>
      </c>
      <c r="F38">
        <f>INDEX('AEO 40'!J:J,MATCH('psgr LDVs'!$B38,'AEO 40'!$B:$B,0))</f>
        <v>38.809654000000002</v>
      </c>
      <c r="G38">
        <f>INDEX('AEO 40'!K:K,MATCH('psgr LDVs'!$B38,'AEO 40'!$B:$B,0))</f>
        <v>38.952423000000003</v>
      </c>
      <c r="H38">
        <f>INDEX('AEO 40'!L:L,MATCH('psgr LDVs'!$B38,'AEO 40'!$B:$B,0))</f>
        <v>38.998772000000002</v>
      </c>
      <c r="I38">
        <f>INDEX('AEO 40'!M:M,MATCH('psgr LDVs'!$B38,'AEO 40'!$B:$B,0))</f>
        <v>38.980716999999999</v>
      </c>
      <c r="J38">
        <f>INDEX('AEO 40'!N:N,MATCH('psgr LDVs'!$B38,'AEO 40'!$B:$B,0))</f>
        <v>38.968319000000001</v>
      </c>
      <c r="K38">
        <f>INDEX('AEO 40'!O:O,MATCH('psgr LDVs'!$B38,'AEO 40'!$B:$B,0))</f>
        <v>38.987118000000002</v>
      </c>
      <c r="L38">
        <f>INDEX('AEO 40'!P:P,MATCH('psgr LDVs'!$B38,'AEO 40'!$B:$B,0))</f>
        <v>39.008662999999999</v>
      </c>
      <c r="M38">
        <f>INDEX('AEO 40'!Q:Q,MATCH('psgr LDVs'!$B38,'AEO 40'!$B:$B,0))</f>
        <v>39.052441000000002</v>
      </c>
      <c r="N38">
        <f>INDEX('AEO 40'!R:R,MATCH('psgr LDVs'!$B38,'AEO 40'!$B:$B,0))</f>
        <v>39.070346999999998</v>
      </c>
      <c r="O38">
        <f>INDEX('AEO 40'!S:S,MATCH('psgr LDVs'!$B38,'AEO 40'!$B:$B,0))</f>
        <v>39.100074999999997</v>
      </c>
      <c r="P38">
        <f>INDEX('AEO 40'!T:T,MATCH('psgr LDVs'!$B38,'AEO 40'!$B:$B,0))</f>
        <v>39.154696999999999</v>
      </c>
      <c r="Q38">
        <f>INDEX('AEO 40'!U:U,MATCH('psgr LDVs'!$B38,'AEO 40'!$B:$B,0))</f>
        <v>39.224575000000002</v>
      </c>
      <c r="R38">
        <f>INDEX('AEO 40'!V:V,MATCH('psgr LDVs'!$B38,'AEO 40'!$B:$B,0))</f>
        <v>39.296847999999997</v>
      </c>
      <c r="S38">
        <f>INDEX('AEO 40'!W:W,MATCH('psgr LDVs'!$B38,'AEO 40'!$B:$B,0))</f>
        <v>39.371372000000001</v>
      </c>
      <c r="T38">
        <f>INDEX('AEO 40'!X:X,MATCH('psgr LDVs'!$B38,'AEO 40'!$B:$B,0))</f>
        <v>39.457985000000001</v>
      </c>
      <c r="U38">
        <f>INDEX('AEO 40'!Y:Y,MATCH('psgr LDVs'!$B38,'AEO 40'!$B:$B,0))</f>
        <v>39.552101</v>
      </c>
      <c r="V38">
        <f>INDEX('AEO 40'!Z:Z,MATCH('psgr LDVs'!$B38,'AEO 40'!$B:$B,0))</f>
        <v>39.651665000000001</v>
      </c>
      <c r="W38">
        <f>INDEX('AEO 40'!AA:AA,MATCH('psgr LDVs'!$B38,'AEO 40'!$B:$B,0))</f>
        <v>39.760478999999997</v>
      </c>
      <c r="X38">
        <f>INDEX('AEO 40'!AB:AB,MATCH('psgr LDVs'!$B38,'AEO 40'!$B:$B,0))</f>
        <v>39.875320000000002</v>
      </c>
      <c r="Y38">
        <f>INDEX('AEO 40'!AC:AC,MATCH('psgr LDVs'!$B38,'AEO 40'!$B:$B,0))</f>
        <v>39.989348999999997</v>
      </c>
      <c r="Z38">
        <f>INDEX('AEO 40'!AD:AD,MATCH('psgr LDVs'!$B38,'AEO 40'!$B:$B,0))</f>
        <v>40.106861000000002</v>
      </c>
      <c r="AA38">
        <f>INDEX('AEO 40'!AE:AE,MATCH('psgr LDVs'!$B38,'AEO 40'!$B:$B,0))</f>
        <v>40.228512000000002</v>
      </c>
      <c r="AB38">
        <f>INDEX('AEO 40'!AF:AF,MATCH('psgr LDVs'!$B38,'AEO 40'!$B:$B,0))</f>
        <v>40.351573999999999</v>
      </c>
      <c r="AC38">
        <f>INDEX('AEO 40'!AG:AG,MATCH('psgr LDVs'!$B38,'AEO 40'!$B:$B,0))</f>
        <v>40.465255999999997</v>
      </c>
      <c r="AD38">
        <f>INDEX('AEO 40'!AH:AH,MATCH('psgr LDVs'!$B38,'AEO 40'!$B:$B,0))</f>
        <v>40.573878999999998</v>
      </c>
      <c r="AE38">
        <f>INDEX('AEO 40'!AI:AI,MATCH('psgr LDVs'!$B38,'AEO 40'!$B:$B,0))</f>
        <v>40.674187000000003</v>
      </c>
      <c r="AF38">
        <f>INDEX('AEO 40'!AJ:AJ,MATCH('psgr LDVs'!$B38,'AEO 40'!$B:$B,0))</f>
        <v>40.771259000000001</v>
      </c>
      <c r="AG38">
        <f>INDEX('AEO 40'!AK:AK,MATCH('psgr LDVs'!$B38,'AEO 40'!$B:$B,0))</f>
        <v>40.860550000000003</v>
      </c>
    </row>
    <row r="39" spans="1:33" ht="13.6">
      <c r="A39" s="114"/>
      <c r="B39" s="110" t="s">
        <v>903</v>
      </c>
      <c r="C39">
        <f>INDEX('AEO 40'!G:G,MATCH('psgr LDVs'!$B39,'AEO 40'!$B:$B,0))</f>
        <v>31.765070000000001</v>
      </c>
      <c r="D39">
        <f>INDEX('AEO 40'!H:H,MATCH('psgr LDVs'!$B39,'AEO 40'!$B:$B,0))</f>
        <v>32.790131000000002</v>
      </c>
      <c r="E39">
        <f>INDEX('AEO 40'!I:I,MATCH('psgr LDVs'!$B39,'AEO 40'!$B:$B,0))</f>
        <v>33.304336999999997</v>
      </c>
      <c r="F39">
        <f>INDEX('AEO 40'!J:J,MATCH('psgr LDVs'!$B39,'AEO 40'!$B:$B,0))</f>
        <v>33.675227999999997</v>
      </c>
      <c r="G39">
        <f>INDEX('AEO 40'!K:K,MATCH('psgr LDVs'!$B39,'AEO 40'!$B:$B,0))</f>
        <v>33.948895</v>
      </c>
      <c r="H39">
        <f>INDEX('AEO 40'!L:L,MATCH('psgr LDVs'!$B39,'AEO 40'!$B:$B,0))</f>
        <v>34.370635999999998</v>
      </c>
      <c r="I39">
        <f>INDEX('AEO 40'!M:M,MATCH('psgr LDVs'!$B39,'AEO 40'!$B:$B,0))</f>
        <v>34.850887</v>
      </c>
      <c r="J39">
        <f>INDEX('AEO 40'!N:N,MATCH('psgr LDVs'!$B39,'AEO 40'!$B:$B,0))</f>
        <v>34.987330999999998</v>
      </c>
      <c r="K39">
        <f>INDEX('AEO 40'!O:O,MATCH('psgr LDVs'!$B39,'AEO 40'!$B:$B,0))</f>
        <v>35.027724999999997</v>
      </c>
      <c r="L39">
        <f>INDEX('AEO 40'!P:P,MATCH('psgr LDVs'!$B39,'AEO 40'!$B:$B,0))</f>
        <v>35.055889000000001</v>
      </c>
      <c r="M39">
        <f>INDEX('AEO 40'!Q:Q,MATCH('psgr LDVs'!$B39,'AEO 40'!$B:$B,0))</f>
        <v>35.139995999999996</v>
      </c>
      <c r="N39">
        <f>INDEX('AEO 40'!R:R,MATCH('psgr LDVs'!$B39,'AEO 40'!$B:$B,0))</f>
        <v>35.184066999999999</v>
      </c>
      <c r="O39">
        <f>INDEX('AEO 40'!S:S,MATCH('psgr LDVs'!$B39,'AEO 40'!$B:$B,0))</f>
        <v>35.253815000000003</v>
      </c>
      <c r="P39">
        <f>INDEX('AEO 40'!T:T,MATCH('psgr LDVs'!$B39,'AEO 40'!$B:$B,0))</f>
        <v>35.313755</v>
      </c>
      <c r="Q39">
        <f>INDEX('AEO 40'!U:U,MATCH('psgr LDVs'!$B39,'AEO 40'!$B:$B,0))</f>
        <v>35.395432</v>
      </c>
      <c r="R39">
        <f>INDEX('AEO 40'!V:V,MATCH('psgr LDVs'!$B39,'AEO 40'!$B:$B,0))</f>
        <v>35.447819000000003</v>
      </c>
      <c r="S39">
        <f>INDEX('AEO 40'!W:W,MATCH('psgr LDVs'!$B39,'AEO 40'!$B:$B,0))</f>
        <v>35.509632000000003</v>
      </c>
      <c r="T39">
        <f>INDEX('AEO 40'!X:X,MATCH('psgr LDVs'!$B39,'AEO 40'!$B:$B,0))</f>
        <v>35.580489999999998</v>
      </c>
      <c r="U39">
        <f>INDEX('AEO 40'!Y:Y,MATCH('psgr LDVs'!$B39,'AEO 40'!$B:$B,0))</f>
        <v>35.672145999999998</v>
      </c>
      <c r="V39">
        <f>INDEX('AEO 40'!Z:Z,MATCH('psgr LDVs'!$B39,'AEO 40'!$B:$B,0))</f>
        <v>35.736598999999998</v>
      </c>
      <c r="W39">
        <f>INDEX('AEO 40'!AA:AA,MATCH('psgr LDVs'!$B39,'AEO 40'!$B:$B,0))</f>
        <v>35.815669999999997</v>
      </c>
      <c r="X39">
        <f>INDEX('AEO 40'!AB:AB,MATCH('psgr LDVs'!$B39,'AEO 40'!$B:$B,0))</f>
        <v>35.866309999999999</v>
      </c>
      <c r="Y39">
        <f>INDEX('AEO 40'!AC:AC,MATCH('psgr LDVs'!$B39,'AEO 40'!$B:$B,0))</f>
        <v>35.911537000000003</v>
      </c>
      <c r="Z39">
        <f>INDEX('AEO 40'!AD:AD,MATCH('psgr LDVs'!$B39,'AEO 40'!$B:$B,0))</f>
        <v>35.962077999999998</v>
      </c>
      <c r="AA39">
        <f>INDEX('AEO 40'!AE:AE,MATCH('psgr LDVs'!$B39,'AEO 40'!$B:$B,0))</f>
        <v>36.021683000000003</v>
      </c>
      <c r="AB39">
        <f>INDEX('AEO 40'!AF:AF,MATCH('psgr LDVs'!$B39,'AEO 40'!$B:$B,0))</f>
        <v>36.090629999999997</v>
      </c>
      <c r="AC39">
        <f>INDEX('AEO 40'!AG:AG,MATCH('psgr LDVs'!$B39,'AEO 40'!$B:$B,0))</f>
        <v>36.147751</v>
      </c>
      <c r="AD39">
        <f>INDEX('AEO 40'!AH:AH,MATCH('psgr LDVs'!$B39,'AEO 40'!$B:$B,0))</f>
        <v>36.213341</v>
      </c>
      <c r="AE39">
        <f>INDEX('AEO 40'!AI:AI,MATCH('psgr LDVs'!$B39,'AEO 40'!$B:$B,0))</f>
        <v>36.274783999999997</v>
      </c>
      <c r="AF39">
        <f>INDEX('AEO 40'!AJ:AJ,MATCH('psgr LDVs'!$B39,'AEO 40'!$B:$B,0))</f>
        <v>36.358317999999997</v>
      </c>
      <c r="AG39">
        <f>INDEX('AEO 40'!AK:AK,MATCH('psgr LDVs'!$B39,'AEO 40'!$B:$B,0))</f>
        <v>36.442936000000003</v>
      </c>
    </row>
    <row r="40" spans="1:33" ht="13.6">
      <c r="D40" s="14"/>
    </row>
    <row r="41" spans="1:33" s="1" customFormat="1">
      <c r="A41" s="1" t="s">
        <v>3036</v>
      </c>
      <c r="C41" s="1">
        <v>2020</v>
      </c>
      <c r="D41" s="1">
        <v>2021</v>
      </c>
      <c r="E41" s="1">
        <v>2022</v>
      </c>
      <c r="F41" s="1">
        <v>2023</v>
      </c>
      <c r="G41" s="1">
        <v>2024</v>
      </c>
      <c r="H41" s="1">
        <v>2025</v>
      </c>
      <c r="I41" s="1">
        <v>2026</v>
      </c>
      <c r="J41" s="1">
        <v>2027</v>
      </c>
      <c r="K41" s="1">
        <v>2028</v>
      </c>
      <c r="L41" s="1">
        <v>2029</v>
      </c>
      <c r="M41" s="1">
        <v>2030</v>
      </c>
      <c r="N41" s="1">
        <v>2031</v>
      </c>
      <c r="O41" s="1">
        <v>2032</v>
      </c>
      <c r="P41" s="1">
        <v>2033</v>
      </c>
      <c r="Q41" s="1">
        <v>2034</v>
      </c>
      <c r="R41" s="1">
        <v>2035</v>
      </c>
      <c r="S41" s="1">
        <v>2036</v>
      </c>
      <c r="T41" s="1">
        <v>2037</v>
      </c>
      <c r="U41" s="1">
        <v>2038</v>
      </c>
      <c r="V41" s="1">
        <v>2039</v>
      </c>
      <c r="W41" s="1">
        <v>2040</v>
      </c>
      <c r="X41" s="1">
        <v>2041</v>
      </c>
      <c r="Y41" s="1">
        <v>2042</v>
      </c>
      <c r="Z41" s="1">
        <v>2043</v>
      </c>
      <c r="AA41" s="1">
        <v>2044</v>
      </c>
      <c r="AB41" s="1">
        <v>2045</v>
      </c>
      <c r="AC41" s="1">
        <v>2046</v>
      </c>
      <c r="AD41" s="1">
        <v>2047</v>
      </c>
      <c r="AE41" s="1">
        <v>2048</v>
      </c>
      <c r="AF41" s="1">
        <v>2049</v>
      </c>
      <c r="AG41" s="1">
        <v>2050</v>
      </c>
    </row>
    <row r="42" spans="1:33" ht="13.6">
      <c r="A42" s="114" t="s">
        <v>114</v>
      </c>
      <c r="B42" s="110" t="s">
        <v>912</v>
      </c>
      <c r="C42">
        <f>INDEX('AEO 38'!G:G,MATCH('psgr LDVs'!$B42,'AEO 38'!$B:$B,0))</f>
        <v>4430.5400390000004</v>
      </c>
      <c r="D42">
        <f>INDEX('AEO 38'!H:H,MATCH('psgr LDVs'!$B42,'AEO 38'!$B:$B,0))</f>
        <v>4768.9262699999999</v>
      </c>
      <c r="E42">
        <f>INDEX('AEO 38'!I:I,MATCH('psgr LDVs'!$B42,'AEO 38'!$B:$B,0))</f>
        <v>5242.6860349999997</v>
      </c>
      <c r="F42">
        <f>INDEX('AEO 38'!J:J,MATCH('psgr LDVs'!$B42,'AEO 38'!$B:$B,0))</f>
        <v>5277.4257809999999</v>
      </c>
      <c r="G42">
        <f>INDEX('AEO 38'!K:K,MATCH('psgr LDVs'!$B42,'AEO 38'!$B:$B,0))</f>
        <v>5332.482422</v>
      </c>
      <c r="H42">
        <f>INDEX('AEO 38'!L:L,MATCH('psgr LDVs'!$B42,'AEO 38'!$B:$B,0))</f>
        <v>5366.3647460000002</v>
      </c>
      <c r="I42">
        <f>INDEX('AEO 38'!M:M,MATCH('psgr LDVs'!$B42,'AEO 38'!$B:$B,0))</f>
        <v>5276.0283200000003</v>
      </c>
      <c r="J42">
        <f>INDEX('AEO 38'!N:N,MATCH('psgr LDVs'!$B42,'AEO 38'!$B:$B,0))</f>
        <v>5157.7226559999999</v>
      </c>
      <c r="K42">
        <f>INDEX('AEO 38'!O:O,MATCH('psgr LDVs'!$B42,'AEO 38'!$B:$B,0))</f>
        <v>5160.4291990000002</v>
      </c>
      <c r="L42">
        <f>INDEX('AEO 38'!P:P,MATCH('psgr LDVs'!$B42,'AEO 38'!$B:$B,0))</f>
        <v>5150.4785160000001</v>
      </c>
      <c r="M42">
        <f>INDEX('AEO 38'!Q:Q,MATCH('psgr LDVs'!$B42,'AEO 38'!$B:$B,0))</f>
        <v>5149.1210940000001</v>
      </c>
      <c r="N42">
        <f>INDEX('AEO 38'!R:R,MATCH('psgr LDVs'!$B42,'AEO 38'!$B:$B,0))</f>
        <v>5129.0278319999998</v>
      </c>
      <c r="O42">
        <f>INDEX('AEO 38'!S:S,MATCH('psgr LDVs'!$B42,'AEO 38'!$B:$B,0))</f>
        <v>5123.6499020000001</v>
      </c>
      <c r="P42">
        <f>INDEX('AEO 38'!T:T,MATCH('psgr LDVs'!$B42,'AEO 38'!$B:$B,0))</f>
        <v>5107.1650390000004</v>
      </c>
      <c r="Q42">
        <f>INDEX('AEO 38'!U:U,MATCH('psgr LDVs'!$B42,'AEO 38'!$B:$B,0))</f>
        <v>5106.6157229999999</v>
      </c>
      <c r="R42">
        <f>INDEX('AEO 38'!V:V,MATCH('psgr LDVs'!$B42,'AEO 38'!$B:$B,0))</f>
        <v>5067.029297</v>
      </c>
      <c r="S42">
        <f>INDEX('AEO 38'!W:W,MATCH('psgr LDVs'!$B42,'AEO 38'!$B:$B,0))</f>
        <v>4988.6606449999999</v>
      </c>
      <c r="T42">
        <f>INDEX('AEO 38'!X:X,MATCH('psgr LDVs'!$B42,'AEO 38'!$B:$B,0))</f>
        <v>4915.4423829999996</v>
      </c>
      <c r="U42">
        <f>INDEX('AEO 38'!Y:Y,MATCH('psgr LDVs'!$B42,'AEO 38'!$B:$B,0))</f>
        <v>4879.7421880000002</v>
      </c>
      <c r="V42">
        <f>INDEX('AEO 38'!Z:Z,MATCH('psgr LDVs'!$B42,'AEO 38'!$B:$B,0))</f>
        <v>4824.8183589999999</v>
      </c>
      <c r="W42">
        <f>INDEX('AEO 38'!AA:AA,MATCH('psgr LDVs'!$B42,'AEO 38'!$B:$B,0))</f>
        <v>4767.015625</v>
      </c>
      <c r="X42">
        <f>INDEX('AEO 38'!AB:AB,MATCH('psgr LDVs'!$B42,'AEO 38'!$B:$B,0))</f>
        <v>4718.7866210000002</v>
      </c>
      <c r="Y42">
        <f>INDEX('AEO 38'!AC:AC,MATCH('psgr LDVs'!$B42,'AEO 38'!$B:$B,0))</f>
        <v>4672.1494140000004</v>
      </c>
      <c r="Z42">
        <f>INDEX('AEO 38'!AD:AD,MATCH('psgr LDVs'!$B42,'AEO 38'!$B:$B,0))</f>
        <v>4616.1040039999998</v>
      </c>
      <c r="AA42">
        <f>INDEX('AEO 38'!AE:AE,MATCH('psgr LDVs'!$B42,'AEO 38'!$B:$B,0))</f>
        <v>4570.1870120000003</v>
      </c>
      <c r="AB42">
        <f>INDEX('AEO 38'!AF:AF,MATCH('psgr LDVs'!$B42,'AEO 38'!$B:$B,0))</f>
        <v>4571.701172</v>
      </c>
      <c r="AC42">
        <f>INDEX('AEO 38'!AG:AG,MATCH('psgr LDVs'!$B42,'AEO 38'!$B:$B,0))</f>
        <v>4505.4287109999996</v>
      </c>
      <c r="AD42">
        <f>INDEX('AEO 38'!AH:AH,MATCH('psgr LDVs'!$B42,'AEO 38'!$B:$B,0))</f>
        <v>4434.6743159999996</v>
      </c>
      <c r="AE42">
        <f>INDEX('AEO 38'!AI:AI,MATCH('psgr LDVs'!$B42,'AEO 38'!$B:$B,0))</f>
        <v>4405.3608400000003</v>
      </c>
      <c r="AF42">
        <f>INDEX('AEO 38'!AJ:AJ,MATCH('psgr LDVs'!$B42,'AEO 38'!$B:$B,0))</f>
        <v>4332.6879879999997</v>
      </c>
      <c r="AG42">
        <f>INDEX('AEO 38'!AK:AK,MATCH('psgr LDVs'!$B42,'AEO 38'!$B:$B,0))</f>
        <v>4252.9243159999996</v>
      </c>
    </row>
    <row r="43" spans="1:33" ht="13.6">
      <c r="A43" s="114" t="s">
        <v>115</v>
      </c>
      <c r="B43" s="110" t="s">
        <v>913</v>
      </c>
      <c r="C43">
        <f>INDEX('AEO 38'!G:G,MATCH('psgr LDVs'!$B43,'AEO 38'!$B:$B,0))</f>
        <v>9.1703000000000007E-2</v>
      </c>
      <c r="D43">
        <f>INDEX('AEO 38'!H:H,MATCH('psgr LDVs'!$B43,'AEO 38'!$B:$B,0))</f>
        <v>9.0031E-2</v>
      </c>
      <c r="E43">
        <f>INDEX('AEO 38'!I:I,MATCH('psgr LDVs'!$B43,'AEO 38'!$B:$B,0))</f>
        <v>9.4423999999999994E-2</v>
      </c>
      <c r="F43">
        <f>INDEX('AEO 38'!J:J,MATCH('psgr LDVs'!$B43,'AEO 38'!$B:$B,0))</f>
        <v>8.9815000000000006E-2</v>
      </c>
      <c r="G43">
        <f>INDEX('AEO 38'!K:K,MATCH('psgr LDVs'!$B43,'AEO 38'!$B:$B,0))</f>
        <v>8.7709999999999996E-2</v>
      </c>
      <c r="H43">
        <f>INDEX('AEO 38'!L:L,MATCH('psgr LDVs'!$B43,'AEO 38'!$B:$B,0))</f>
        <v>8.9249999999999996E-2</v>
      </c>
      <c r="I43">
        <f>INDEX('AEO 38'!M:M,MATCH('psgr LDVs'!$B43,'AEO 38'!$B:$B,0))</f>
        <v>8.6430999999999994E-2</v>
      </c>
      <c r="J43">
        <f>INDEX('AEO 38'!N:N,MATCH('psgr LDVs'!$B43,'AEO 38'!$B:$B,0))</f>
        <v>8.3304000000000003E-2</v>
      </c>
      <c r="K43">
        <f>INDEX('AEO 38'!O:O,MATCH('psgr LDVs'!$B43,'AEO 38'!$B:$B,0))</f>
        <v>8.455E-2</v>
      </c>
      <c r="L43">
        <f>INDEX('AEO 38'!P:P,MATCH('psgr LDVs'!$B43,'AEO 38'!$B:$B,0))</f>
        <v>8.4074999999999997E-2</v>
      </c>
      <c r="M43">
        <f>INDEX('AEO 38'!Q:Q,MATCH('psgr LDVs'!$B43,'AEO 38'!$B:$B,0))</f>
        <v>8.3117999999999997E-2</v>
      </c>
      <c r="N43">
        <f>INDEX('AEO 38'!R:R,MATCH('psgr LDVs'!$B43,'AEO 38'!$B:$B,0))</f>
        <v>8.4137000000000003E-2</v>
      </c>
      <c r="O43">
        <f>INDEX('AEO 38'!S:S,MATCH('psgr LDVs'!$B43,'AEO 38'!$B:$B,0))</f>
        <v>8.3977999999999997E-2</v>
      </c>
      <c r="P43">
        <f>INDEX('AEO 38'!T:T,MATCH('psgr LDVs'!$B43,'AEO 38'!$B:$B,0))</f>
        <v>8.3596000000000004E-2</v>
      </c>
      <c r="Q43">
        <f>INDEX('AEO 38'!U:U,MATCH('psgr LDVs'!$B43,'AEO 38'!$B:$B,0))</f>
        <v>8.4751999999999994E-2</v>
      </c>
      <c r="R43">
        <f>INDEX('AEO 38'!V:V,MATCH('psgr LDVs'!$B43,'AEO 38'!$B:$B,0))</f>
        <v>8.4325999999999998E-2</v>
      </c>
      <c r="S43">
        <f>INDEX('AEO 38'!W:W,MATCH('psgr LDVs'!$B43,'AEO 38'!$B:$B,0))</f>
        <v>8.3612000000000006E-2</v>
      </c>
      <c r="T43">
        <f>INDEX('AEO 38'!X:X,MATCH('psgr LDVs'!$B43,'AEO 38'!$B:$B,0))</f>
        <v>8.1952999999999998E-2</v>
      </c>
      <c r="U43">
        <f>INDEX('AEO 38'!Y:Y,MATCH('psgr LDVs'!$B43,'AEO 38'!$B:$B,0))</f>
        <v>8.1092999999999998E-2</v>
      </c>
      <c r="V43">
        <f>INDEX('AEO 38'!Z:Z,MATCH('psgr LDVs'!$B43,'AEO 38'!$B:$B,0))</f>
        <v>8.1319000000000002E-2</v>
      </c>
      <c r="W43">
        <f>INDEX('AEO 38'!AA:AA,MATCH('psgr LDVs'!$B43,'AEO 38'!$B:$B,0))</f>
        <v>7.8959000000000001E-2</v>
      </c>
      <c r="X43">
        <f>INDEX('AEO 38'!AB:AB,MATCH('psgr LDVs'!$B43,'AEO 38'!$B:$B,0))</f>
        <v>7.8243999999999994E-2</v>
      </c>
      <c r="Y43">
        <f>INDEX('AEO 38'!AC:AC,MATCH('psgr LDVs'!$B43,'AEO 38'!$B:$B,0))</f>
        <v>7.7311000000000005E-2</v>
      </c>
      <c r="Z43">
        <f>INDEX('AEO 38'!AD:AD,MATCH('psgr LDVs'!$B43,'AEO 38'!$B:$B,0))</f>
        <v>7.6275999999999997E-2</v>
      </c>
      <c r="AA43">
        <f>INDEX('AEO 38'!AE:AE,MATCH('psgr LDVs'!$B43,'AEO 38'!$B:$B,0))</f>
        <v>7.5326000000000004E-2</v>
      </c>
      <c r="AB43">
        <f>INDEX('AEO 38'!AF:AF,MATCH('psgr LDVs'!$B43,'AEO 38'!$B:$B,0))</f>
        <v>7.5412999999999994E-2</v>
      </c>
      <c r="AC43">
        <f>INDEX('AEO 38'!AG:AG,MATCH('psgr LDVs'!$B43,'AEO 38'!$B:$B,0))</f>
        <v>7.4001999999999998E-2</v>
      </c>
      <c r="AD43">
        <f>INDEX('AEO 38'!AH:AH,MATCH('psgr LDVs'!$B43,'AEO 38'!$B:$B,0))</f>
        <v>7.2724999999999998E-2</v>
      </c>
      <c r="AE43">
        <f>INDEX('AEO 38'!AI:AI,MATCH('psgr LDVs'!$B43,'AEO 38'!$B:$B,0))</f>
        <v>7.1912000000000004E-2</v>
      </c>
      <c r="AF43">
        <f>INDEX('AEO 38'!AJ:AJ,MATCH('psgr LDVs'!$B43,'AEO 38'!$B:$B,0))</f>
        <v>7.0516999999999996E-2</v>
      </c>
      <c r="AG43">
        <f>INDEX('AEO 38'!AK:AK,MATCH('psgr LDVs'!$B43,'AEO 38'!$B:$B,0))</f>
        <v>6.9125000000000006E-2</v>
      </c>
    </row>
    <row r="44" spans="1:33" ht="13.6">
      <c r="A44" s="114"/>
      <c r="B44" s="110" t="s">
        <v>914</v>
      </c>
      <c r="C44">
        <f>INDEX('AEO 38'!G:G,MATCH('psgr LDVs'!$B44,'AEO 38'!$B:$B,0))</f>
        <v>4430.6318359999996</v>
      </c>
      <c r="D44">
        <f>INDEX('AEO 38'!H:H,MATCH('psgr LDVs'!$B44,'AEO 38'!$B:$B,0))</f>
        <v>4769.0161129999997</v>
      </c>
      <c r="E44">
        <f>INDEX('AEO 38'!I:I,MATCH('psgr LDVs'!$B44,'AEO 38'!$B:$B,0))</f>
        <v>5242.7802730000003</v>
      </c>
      <c r="F44">
        <f>INDEX('AEO 38'!J:J,MATCH('psgr LDVs'!$B44,'AEO 38'!$B:$B,0))</f>
        <v>5277.515625</v>
      </c>
      <c r="G44">
        <f>INDEX('AEO 38'!K:K,MATCH('psgr LDVs'!$B44,'AEO 38'!$B:$B,0))</f>
        <v>5332.5703119999998</v>
      </c>
      <c r="H44">
        <f>INDEX('AEO 38'!L:L,MATCH('psgr LDVs'!$B44,'AEO 38'!$B:$B,0))</f>
        <v>5366.4541019999997</v>
      </c>
      <c r="I44">
        <f>INDEX('AEO 38'!M:M,MATCH('psgr LDVs'!$B44,'AEO 38'!$B:$B,0))</f>
        <v>5276.1147460000002</v>
      </c>
      <c r="J44">
        <f>INDEX('AEO 38'!N:N,MATCH('psgr LDVs'!$B44,'AEO 38'!$B:$B,0))</f>
        <v>5157.8061520000001</v>
      </c>
      <c r="K44">
        <f>INDEX('AEO 38'!O:O,MATCH('psgr LDVs'!$B44,'AEO 38'!$B:$B,0))</f>
        <v>5160.513672</v>
      </c>
      <c r="L44">
        <f>INDEX('AEO 38'!P:P,MATCH('psgr LDVs'!$B44,'AEO 38'!$B:$B,0))</f>
        <v>5150.5625</v>
      </c>
      <c r="M44">
        <f>INDEX('AEO 38'!Q:Q,MATCH('psgr LDVs'!$B44,'AEO 38'!$B:$B,0))</f>
        <v>5149.2041019999997</v>
      </c>
      <c r="N44">
        <f>INDEX('AEO 38'!R:R,MATCH('psgr LDVs'!$B44,'AEO 38'!$B:$B,0))</f>
        <v>5129.1118159999996</v>
      </c>
      <c r="O44">
        <f>INDEX('AEO 38'!S:S,MATCH('psgr LDVs'!$B44,'AEO 38'!$B:$B,0))</f>
        <v>5123.7338870000003</v>
      </c>
      <c r="P44">
        <f>INDEX('AEO 38'!T:T,MATCH('psgr LDVs'!$B44,'AEO 38'!$B:$B,0))</f>
        <v>5107.2485349999997</v>
      </c>
      <c r="Q44">
        <f>INDEX('AEO 38'!U:U,MATCH('psgr LDVs'!$B44,'AEO 38'!$B:$B,0))</f>
        <v>5106.7006840000004</v>
      </c>
      <c r="R44">
        <f>INDEX('AEO 38'!V:V,MATCH('psgr LDVs'!$B44,'AEO 38'!$B:$B,0))</f>
        <v>5067.1137699999999</v>
      </c>
      <c r="S44">
        <f>INDEX('AEO 38'!W:W,MATCH('psgr LDVs'!$B44,'AEO 38'!$B:$B,0))</f>
        <v>4988.7441410000001</v>
      </c>
      <c r="T44">
        <f>INDEX('AEO 38'!X:X,MATCH('psgr LDVs'!$B44,'AEO 38'!$B:$B,0))</f>
        <v>4915.5244140000004</v>
      </c>
      <c r="U44">
        <f>INDEX('AEO 38'!Y:Y,MATCH('psgr LDVs'!$B44,'AEO 38'!$B:$B,0))</f>
        <v>4879.8232420000004</v>
      </c>
      <c r="V44">
        <f>INDEX('AEO 38'!Z:Z,MATCH('psgr LDVs'!$B44,'AEO 38'!$B:$B,0))</f>
        <v>4824.8999020000001</v>
      </c>
      <c r="W44">
        <f>INDEX('AEO 38'!AA:AA,MATCH('psgr LDVs'!$B44,'AEO 38'!$B:$B,0))</f>
        <v>4767.0947269999997</v>
      </c>
      <c r="X44">
        <f>INDEX('AEO 38'!AB:AB,MATCH('psgr LDVs'!$B44,'AEO 38'!$B:$B,0))</f>
        <v>4718.8647460000002</v>
      </c>
      <c r="Y44">
        <f>INDEX('AEO 38'!AC:AC,MATCH('psgr LDVs'!$B44,'AEO 38'!$B:$B,0))</f>
        <v>4672.2265619999998</v>
      </c>
      <c r="Z44">
        <f>INDEX('AEO 38'!AD:AD,MATCH('psgr LDVs'!$B44,'AEO 38'!$B:$B,0))</f>
        <v>4616.1801759999998</v>
      </c>
      <c r="AA44">
        <f>INDEX('AEO 38'!AE:AE,MATCH('psgr LDVs'!$B44,'AEO 38'!$B:$B,0))</f>
        <v>4570.2622069999998</v>
      </c>
      <c r="AB44">
        <f>INDEX('AEO 38'!AF:AF,MATCH('psgr LDVs'!$B44,'AEO 38'!$B:$B,0))</f>
        <v>4571.7763670000004</v>
      </c>
      <c r="AC44">
        <f>INDEX('AEO 38'!AG:AG,MATCH('psgr LDVs'!$B44,'AEO 38'!$B:$B,0))</f>
        <v>4505.5029299999997</v>
      </c>
      <c r="AD44">
        <f>INDEX('AEO 38'!AH:AH,MATCH('psgr LDVs'!$B44,'AEO 38'!$B:$B,0))</f>
        <v>4434.7470700000003</v>
      </c>
      <c r="AE44">
        <f>INDEX('AEO 38'!AI:AI,MATCH('psgr LDVs'!$B44,'AEO 38'!$B:$B,0))</f>
        <v>4405.4326170000004</v>
      </c>
      <c r="AF44">
        <f>INDEX('AEO 38'!AJ:AJ,MATCH('psgr LDVs'!$B44,'AEO 38'!$B:$B,0))</f>
        <v>4332.7583009999998</v>
      </c>
      <c r="AG44">
        <f>INDEX('AEO 38'!AK:AK,MATCH('psgr LDVs'!$B44,'AEO 38'!$B:$B,0))</f>
        <v>4252.9936520000001</v>
      </c>
    </row>
    <row r="45" spans="1:33" ht="13.6">
      <c r="A45" s="114" t="s">
        <v>114</v>
      </c>
      <c r="B45" s="110" t="s">
        <v>915</v>
      </c>
      <c r="C45">
        <f>INDEX('AEO 38'!G:G,MATCH('psgr LDVs'!$B45,'AEO 38'!$B:$B,0))</f>
        <v>82.865729999999999</v>
      </c>
      <c r="D45">
        <f>INDEX('AEO 38'!H:H,MATCH('psgr LDVs'!$B45,'AEO 38'!$B:$B,0))</f>
        <v>88.778244000000001</v>
      </c>
      <c r="E45">
        <f>INDEX('AEO 38'!I:I,MATCH('psgr LDVs'!$B45,'AEO 38'!$B:$B,0))</f>
        <v>97.887755999999996</v>
      </c>
      <c r="F45">
        <f>INDEX('AEO 38'!J:J,MATCH('psgr LDVs'!$B45,'AEO 38'!$B:$B,0))</f>
        <v>98.749519000000006</v>
      </c>
      <c r="G45">
        <f>INDEX('AEO 38'!K:K,MATCH('psgr LDVs'!$B45,'AEO 38'!$B:$B,0))</f>
        <v>99.876137</v>
      </c>
      <c r="H45">
        <f>INDEX('AEO 38'!L:L,MATCH('psgr LDVs'!$B45,'AEO 38'!$B:$B,0))</f>
        <v>100.600273</v>
      </c>
      <c r="I45">
        <f>INDEX('AEO 38'!M:M,MATCH('psgr LDVs'!$B45,'AEO 38'!$B:$B,0))</f>
        <v>99.069312999999994</v>
      </c>
      <c r="J45">
        <f>INDEX('AEO 38'!N:N,MATCH('psgr LDVs'!$B45,'AEO 38'!$B:$B,0))</f>
        <v>97.080337999999998</v>
      </c>
      <c r="K45">
        <f>INDEX('AEO 38'!O:O,MATCH('psgr LDVs'!$B45,'AEO 38'!$B:$B,0))</f>
        <v>97.452324000000004</v>
      </c>
      <c r="L45">
        <f>INDEX('AEO 38'!P:P,MATCH('psgr LDVs'!$B45,'AEO 38'!$B:$B,0))</f>
        <v>97.519157000000007</v>
      </c>
      <c r="M45">
        <f>INDEX('AEO 38'!Q:Q,MATCH('psgr LDVs'!$B45,'AEO 38'!$B:$B,0))</f>
        <v>97.800719999999998</v>
      </c>
      <c r="N45">
        <f>INDEX('AEO 38'!R:R,MATCH('psgr LDVs'!$B45,'AEO 38'!$B:$B,0))</f>
        <v>97.808364999999995</v>
      </c>
      <c r="O45">
        <f>INDEX('AEO 38'!S:S,MATCH('psgr LDVs'!$B45,'AEO 38'!$B:$B,0))</f>
        <v>98.015251000000006</v>
      </c>
      <c r="P45">
        <f>INDEX('AEO 38'!T:T,MATCH('psgr LDVs'!$B45,'AEO 38'!$B:$B,0))</f>
        <v>98.066704000000001</v>
      </c>
      <c r="Q45">
        <f>INDEX('AEO 38'!U:U,MATCH('psgr LDVs'!$B45,'AEO 38'!$B:$B,0))</f>
        <v>98.425704999999994</v>
      </c>
      <c r="R45">
        <f>INDEX('AEO 38'!V:V,MATCH('psgr LDVs'!$B45,'AEO 38'!$B:$B,0))</f>
        <v>98.079757999999998</v>
      </c>
      <c r="S45">
        <f>INDEX('AEO 38'!W:W,MATCH('psgr LDVs'!$B45,'AEO 38'!$B:$B,0))</f>
        <v>96.899742000000003</v>
      </c>
      <c r="T45">
        <f>INDEX('AEO 38'!X:X,MATCH('psgr LDVs'!$B45,'AEO 38'!$B:$B,0))</f>
        <v>95.840691000000007</v>
      </c>
      <c r="U45">
        <f>INDEX('AEO 38'!Y:Y,MATCH('psgr LDVs'!$B45,'AEO 38'!$B:$B,0))</f>
        <v>95.533233999999993</v>
      </c>
      <c r="V45">
        <f>INDEX('AEO 38'!Z:Z,MATCH('psgr LDVs'!$B45,'AEO 38'!$B:$B,0))</f>
        <v>94.846573000000006</v>
      </c>
      <c r="W45">
        <f>INDEX('AEO 38'!AA:AA,MATCH('psgr LDVs'!$B45,'AEO 38'!$B:$B,0))</f>
        <v>94.080093000000005</v>
      </c>
      <c r="X45">
        <f>INDEX('AEO 38'!AB:AB,MATCH('psgr LDVs'!$B45,'AEO 38'!$B:$B,0))</f>
        <v>93.468681000000004</v>
      </c>
      <c r="Y45">
        <f>INDEX('AEO 38'!AC:AC,MATCH('psgr LDVs'!$B45,'AEO 38'!$B:$B,0))</f>
        <v>92.857795999999993</v>
      </c>
      <c r="Z45">
        <f>INDEX('AEO 38'!AD:AD,MATCH('psgr LDVs'!$B45,'AEO 38'!$B:$B,0))</f>
        <v>92.050880000000006</v>
      </c>
      <c r="AA45">
        <f>INDEX('AEO 38'!AE:AE,MATCH('psgr LDVs'!$B45,'AEO 38'!$B:$B,0))</f>
        <v>91.469420999999997</v>
      </c>
      <c r="AB45">
        <f>INDEX('AEO 38'!AF:AF,MATCH('psgr LDVs'!$B45,'AEO 38'!$B:$B,0))</f>
        <v>91.848557</v>
      </c>
      <c r="AC45">
        <f>INDEX('AEO 38'!AG:AG,MATCH('psgr LDVs'!$B45,'AEO 38'!$B:$B,0))</f>
        <v>90.884299999999996</v>
      </c>
      <c r="AD45">
        <f>INDEX('AEO 38'!AH:AH,MATCH('psgr LDVs'!$B45,'AEO 38'!$B:$B,0))</f>
        <v>89.801238999999995</v>
      </c>
      <c r="AE45">
        <f>INDEX('AEO 38'!AI:AI,MATCH('psgr LDVs'!$B45,'AEO 38'!$B:$B,0))</f>
        <v>89.570892000000001</v>
      </c>
      <c r="AF45">
        <f>INDEX('AEO 38'!AJ:AJ,MATCH('psgr LDVs'!$B45,'AEO 38'!$B:$B,0))</f>
        <v>88.466881000000001</v>
      </c>
      <c r="AG45">
        <f>INDEX('AEO 38'!AK:AK,MATCH('psgr LDVs'!$B45,'AEO 38'!$B:$B,0))</f>
        <v>87.250068999999996</v>
      </c>
    </row>
    <row r="46" spans="1:33" ht="13.6">
      <c r="A46" s="114" t="s">
        <v>112</v>
      </c>
      <c r="B46" s="110" t="s">
        <v>916</v>
      </c>
      <c r="C46">
        <f>INDEX('AEO 38'!G:G,MATCH('psgr LDVs'!$B46,'AEO 38'!$B:$B,0))</f>
        <v>2.0141610000000001</v>
      </c>
      <c r="D46">
        <f>INDEX('AEO 38'!H:H,MATCH('psgr LDVs'!$B46,'AEO 38'!$B:$B,0))</f>
        <v>2.1167549999999999</v>
      </c>
      <c r="E46">
        <f>INDEX('AEO 38'!I:I,MATCH('psgr LDVs'!$B46,'AEO 38'!$B:$B,0))</f>
        <v>2.187926</v>
      </c>
      <c r="F46">
        <f>INDEX('AEO 38'!J:J,MATCH('psgr LDVs'!$B46,'AEO 38'!$B:$B,0))</f>
        <v>2.1156649999999999</v>
      </c>
      <c r="G46">
        <f>INDEX('AEO 38'!K:K,MATCH('psgr LDVs'!$B46,'AEO 38'!$B:$B,0))</f>
        <v>2.1331000000000002</v>
      </c>
      <c r="H46">
        <f>INDEX('AEO 38'!L:L,MATCH('psgr LDVs'!$B46,'AEO 38'!$B:$B,0))</f>
        <v>2.1878470000000001</v>
      </c>
      <c r="I46">
        <f>INDEX('AEO 38'!M:M,MATCH('psgr LDVs'!$B46,'AEO 38'!$B:$B,0))</f>
        <v>2.2507450000000002</v>
      </c>
      <c r="J46">
        <f>INDEX('AEO 38'!N:N,MATCH('psgr LDVs'!$B46,'AEO 38'!$B:$B,0))</f>
        <v>2.3191920000000001</v>
      </c>
      <c r="K46">
        <f>INDEX('AEO 38'!O:O,MATCH('psgr LDVs'!$B46,'AEO 38'!$B:$B,0))</f>
        <v>2.4630990000000001</v>
      </c>
      <c r="L46">
        <f>INDEX('AEO 38'!P:P,MATCH('psgr LDVs'!$B46,'AEO 38'!$B:$B,0))</f>
        <v>2.6162890000000001</v>
      </c>
      <c r="M46">
        <f>INDEX('AEO 38'!Q:Q,MATCH('psgr LDVs'!$B46,'AEO 38'!$B:$B,0))</f>
        <v>2.8022209999999999</v>
      </c>
      <c r="N46">
        <f>INDEX('AEO 38'!R:R,MATCH('psgr LDVs'!$B46,'AEO 38'!$B:$B,0))</f>
        <v>2.953589</v>
      </c>
      <c r="O46">
        <f>INDEX('AEO 38'!S:S,MATCH('psgr LDVs'!$B46,'AEO 38'!$B:$B,0))</f>
        <v>3.1204510000000001</v>
      </c>
      <c r="P46">
        <f>INDEX('AEO 38'!T:T,MATCH('psgr LDVs'!$B46,'AEO 38'!$B:$B,0))</f>
        <v>3.262651</v>
      </c>
      <c r="Q46">
        <f>INDEX('AEO 38'!U:U,MATCH('psgr LDVs'!$B46,'AEO 38'!$B:$B,0))</f>
        <v>3.4054700000000002</v>
      </c>
      <c r="R46">
        <f>INDEX('AEO 38'!V:V,MATCH('psgr LDVs'!$B46,'AEO 38'!$B:$B,0))</f>
        <v>3.4967199999999998</v>
      </c>
      <c r="S46">
        <f>INDEX('AEO 38'!W:W,MATCH('psgr LDVs'!$B46,'AEO 38'!$B:$B,0))</f>
        <v>3.5487950000000001</v>
      </c>
      <c r="T46">
        <f>INDEX('AEO 38'!X:X,MATCH('psgr LDVs'!$B46,'AEO 38'!$B:$B,0))</f>
        <v>3.5898059999999998</v>
      </c>
      <c r="U46">
        <f>INDEX('AEO 38'!Y:Y,MATCH('psgr LDVs'!$B46,'AEO 38'!$B:$B,0))</f>
        <v>3.6460110000000001</v>
      </c>
      <c r="V46">
        <f>INDEX('AEO 38'!Z:Z,MATCH('psgr LDVs'!$B46,'AEO 38'!$B:$B,0))</f>
        <v>3.6739130000000002</v>
      </c>
      <c r="W46">
        <f>INDEX('AEO 38'!AA:AA,MATCH('psgr LDVs'!$B46,'AEO 38'!$B:$B,0))</f>
        <v>3.6936909999999998</v>
      </c>
      <c r="X46">
        <f>INDEX('AEO 38'!AB:AB,MATCH('psgr LDVs'!$B46,'AEO 38'!$B:$B,0))</f>
        <v>3.701219</v>
      </c>
      <c r="Y46">
        <f>INDEX('AEO 38'!AC:AC,MATCH('psgr LDVs'!$B46,'AEO 38'!$B:$B,0))</f>
        <v>3.7075459999999998</v>
      </c>
      <c r="Z46">
        <f>INDEX('AEO 38'!AD:AD,MATCH('psgr LDVs'!$B46,'AEO 38'!$B:$B,0))</f>
        <v>3.7041620000000002</v>
      </c>
      <c r="AA46">
        <f>INDEX('AEO 38'!AE:AE,MATCH('psgr LDVs'!$B46,'AEO 38'!$B:$B,0))</f>
        <v>3.7067700000000001</v>
      </c>
      <c r="AB46">
        <f>INDEX('AEO 38'!AF:AF,MATCH('psgr LDVs'!$B46,'AEO 38'!$B:$B,0))</f>
        <v>3.748243</v>
      </c>
      <c r="AC46">
        <f>INDEX('AEO 38'!AG:AG,MATCH('psgr LDVs'!$B46,'AEO 38'!$B:$B,0))</f>
        <v>3.7305229999999998</v>
      </c>
      <c r="AD46">
        <f>INDEX('AEO 38'!AH:AH,MATCH('psgr LDVs'!$B46,'AEO 38'!$B:$B,0))</f>
        <v>3.7078289999999998</v>
      </c>
      <c r="AE46">
        <f>INDEX('AEO 38'!AI:AI,MATCH('psgr LDVs'!$B46,'AEO 38'!$B:$B,0))</f>
        <v>3.7189480000000001</v>
      </c>
      <c r="AF46">
        <f>INDEX('AEO 38'!AJ:AJ,MATCH('psgr LDVs'!$B46,'AEO 38'!$B:$B,0))</f>
        <v>3.697174</v>
      </c>
      <c r="AG46">
        <f>INDEX('AEO 38'!AK:AK,MATCH('psgr LDVs'!$B46,'AEO 38'!$B:$B,0))</f>
        <v>3.6692339999999999</v>
      </c>
    </row>
    <row r="47" spans="1:33" ht="13.6">
      <c r="A47" s="114" t="s">
        <v>112</v>
      </c>
      <c r="B47" s="110" t="s">
        <v>917</v>
      </c>
      <c r="C47">
        <f>INDEX('AEO 38'!G:G,MATCH('psgr LDVs'!$B47,'AEO 38'!$B:$B,0))</f>
        <v>45.098399999999998</v>
      </c>
      <c r="D47">
        <f>INDEX('AEO 38'!H:H,MATCH('psgr LDVs'!$B47,'AEO 38'!$B:$B,0))</f>
        <v>43.183132000000001</v>
      </c>
      <c r="E47">
        <f>INDEX('AEO 38'!I:I,MATCH('psgr LDVs'!$B47,'AEO 38'!$B:$B,0))</f>
        <v>44.878860000000003</v>
      </c>
      <c r="F47">
        <f>INDEX('AEO 38'!J:J,MATCH('psgr LDVs'!$B47,'AEO 38'!$B:$B,0))</f>
        <v>42.311188000000001</v>
      </c>
      <c r="G47">
        <f>INDEX('AEO 38'!K:K,MATCH('psgr LDVs'!$B47,'AEO 38'!$B:$B,0))</f>
        <v>41.219119999999997</v>
      </c>
      <c r="H47">
        <f>INDEX('AEO 38'!L:L,MATCH('psgr LDVs'!$B47,'AEO 38'!$B:$B,0))</f>
        <v>41.567672999999999</v>
      </c>
      <c r="I47">
        <f>INDEX('AEO 38'!M:M,MATCH('psgr LDVs'!$B47,'AEO 38'!$B:$B,0))</f>
        <v>41.456791000000003</v>
      </c>
      <c r="J47">
        <f>INDEX('AEO 38'!N:N,MATCH('psgr LDVs'!$B47,'AEO 38'!$B:$B,0))</f>
        <v>43.140450000000001</v>
      </c>
      <c r="K47">
        <f>INDEX('AEO 38'!O:O,MATCH('psgr LDVs'!$B47,'AEO 38'!$B:$B,0))</f>
        <v>46.895927</v>
      </c>
      <c r="L47">
        <f>INDEX('AEO 38'!P:P,MATCH('psgr LDVs'!$B47,'AEO 38'!$B:$B,0))</f>
        <v>51.488796000000001</v>
      </c>
      <c r="M47">
        <f>INDEX('AEO 38'!Q:Q,MATCH('psgr LDVs'!$B47,'AEO 38'!$B:$B,0))</f>
        <v>58.315021999999999</v>
      </c>
      <c r="N47">
        <f>INDEX('AEO 38'!R:R,MATCH('psgr LDVs'!$B47,'AEO 38'!$B:$B,0))</f>
        <v>64.530876000000006</v>
      </c>
      <c r="O47">
        <f>INDEX('AEO 38'!S:S,MATCH('psgr LDVs'!$B47,'AEO 38'!$B:$B,0))</f>
        <v>72.045967000000005</v>
      </c>
      <c r="P47">
        <f>INDEX('AEO 38'!T:T,MATCH('psgr LDVs'!$B47,'AEO 38'!$B:$B,0))</f>
        <v>79.581985000000003</v>
      </c>
      <c r="Q47">
        <f>INDEX('AEO 38'!U:U,MATCH('psgr LDVs'!$B47,'AEO 38'!$B:$B,0))</f>
        <v>87.853249000000005</v>
      </c>
      <c r="R47">
        <f>INDEX('AEO 38'!V:V,MATCH('psgr LDVs'!$B47,'AEO 38'!$B:$B,0))</f>
        <v>94.674225000000007</v>
      </c>
      <c r="S47">
        <f>INDEX('AEO 38'!W:W,MATCH('psgr LDVs'!$B47,'AEO 38'!$B:$B,0))</f>
        <v>100.86777499999999</v>
      </c>
      <c r="T47">
        <f>INDEX('AEO 38'!X:X,MATCH('psgr LDVs'!$B47,'AEO 38'!$B:$B,0))</f>
        <v>107.29220599999999</v>
      </c>
      <c r="U47">
        <f>INDEX('AEO 38'!Y:Y,MATCH('psgr LDVs'!$B47,'AEO 38'!$B:$B,0))</f>
        <v>114.558159</v>
      </c>
      <c r="V47">
        <f>INDEX('AEO 38'!Z:Z,MATCH('psgr LDVs'!$B47,'AEO 38'!$B:$B,0))</f>
        <v>120.887489</v>
      </c>
      <c r="W47">
        <f>INDEX('AEO 38'!AA:AA,MATCH('psgr LDVs'!$B47,'AEO 38'!$B:$B,0))</f>
        <v>127.426682</v>
      </c>
      <c r="X47">
        <f>INDEX('AEO 38'!AB:AB,MATCH('psgr LDVs'!$B47,'AEO 38'!$B:$B,0))</f>
        <v>133.08253500000001</v>
      </c>
      <c r="Y47">
        <f>INDEX('AEO 38'!AC:AC,MATCH('psgr LDVs'!$B47,'AEO 38'!$B:$B,0))</f>
        <v>138.54510500000001</v>
      </c>
      <c r="Z47">
        <f>INDEX('AEO 38'!AD:AD,MATCH('psgr LDVs'!$B47,'AEO 38'!$B:$B,0))</f>
        <v>144.04106100000001</v>
      </c>
      <c r="AA47">
        <f>INDEX('AEO 38'!AE:AE,MATCH('psgr LDVs'!$B47,'AEO 38'!$B:$B,0))</f>
        <v>150.035324</v>
      </c>
      <c r="AB47">
        <f>INDEX('AEO 38'!AF:AF,MATCH('psgr LDVs'!$B47,'AEO 38'!$B:$B,0))</f>
        <v>158.088089</v>
      </c>
      <c r="AC47">
        <f>INDEX('AEO 38'!AG:AG,MATCH('psgr LDVs'!$B47,'AEO 38'!$B:$B,0))</f>
        <v>163.426514</v>
      </c>
      <c r="AD47">
        <f>INDEX('AEO 38'!AH:AH,MATCH('psgr LDVs'!$B47,'AEO 38'!$B:$B,0))</f>
        <v>168.74787900000001</v>
      </c>
      <c r="AE47">
        <f>INDEX('AEO 38'!AI:AI,MATCH('psgr LDVs'!$B47,'AEO 38'!$B:$B,0))</f>
        <v>175.613022</v>
      </c>
      <c r="AF47">
        <f>INDEX('AEO 38'!AJ:AJ,MATCH('psgr LDVs'!$B47,'AEO 38'!$B:$B,0))</f>
        <v>181.703384</v>
      </c>
      <c r="AG47">
        <f>INDEX('AEO 38'!AK:AK,MATCH('psgr LDVs'!$B47,'AEO 38'!$B:$B,0))</f>
        <v>187.48808299999999</v>
      </c>
    </row>
    <row r="48" spans="1:33" ht="13.6">
      <c r="A48" s="114" t="s">
        <v>112</v>
      </c>
      <c r="B48" s="110" t="s">
        <v>918</v>
      </c>
      <c r="C48">
        <f>INDEX('AEO 38'!G:G,MATCH('psgr LDVs'!$B48,'AEO 38'!$B:$B,0))</f>
        <v>65.759253999999999</v>
      </c>
      <c r="D48">
        <f>INDEX('AEO 38'!H:H,MATCH('psgr LDVs'!$B48,'AEO 38'!$B:$B,0))</f>
        <v>57.491382999999999</v>
      </c>
      <c r="E48">
        <f>INDEX('AEO 38'!I:I,MATCH('psgr LDVs'!$B48,'AEO 38'!$B:$B,0))</f>
        <v>66.992439000000005</v>
      </c>
      <c r="F48">
        <f>INDEX('AEO 38'!J:J,MATCH('psgr LDVs'!$B48,'AEO 38'!$B:$B,0))</f>
        <v>73.780128000000005</v>
      </c>
      <c r="G48">
        <f>INDEX('AEO 38'!K:K,MATCH('psgr LDVs'!$B48,'AEO 38'!$B:$B,0))</f>
        <v>80.019737000000006</v>
      </c>
      <c r="H48">
        <f>INDEX('AEO 38'!L:L,MATCH('psgr LDVs'!$B48,'AEO 38'!$B:$B,0))</f>
        <v>83.488006999999996</v>
      </c>
      <c r="I48">
        <f>INDEX('AEO 38'!M:M,MATCH('psgr LDVs'!$B48,'AEO 38'!$B:$B,0))</f>
        <v>88.954521</v>
      </c>
      <c r="J48">
        <f>INDEX('AEO 38'!N:N,MATCH('psgr LDVs'!$B48,'AEO 38'!$B:$B,0))</f>
        <v>94.401580999999993</v>
      </c>
      <c r="K48">
        <f>INDEX('AEO 38'!O:O,MATCH('psgr LDVs'!$B48,'AEO 38'!$B:$B,0))</f>
        <v>105.246628</v>
      </c>
      <c r="L48">
        <f>INDEX('AEO 38'!P:P,MATCH('psgr LDVs'!$B48,'AEO 38'!$B:$B,0))</f>
        <v>117.28207399999999</v>
      </c>
      <c r="M48">
        <f>INDEX('AEO 38'!Q:Q,MATCH('psgr LDVs'!$B48,'AEO 38'!$B:$B,0))</f>
        <v>132.60144</v>
      </c>
      <c r="N48">
        <f>INDEX('AEO 38'!R:R,MATCH('psgr LDVs'!$B48,'AEO 38'!$B:$B,0))</f>
        <v>153.49262999999999</v>
      </c>
      <c r="O48">
        <f>INDEX('AEO 38'!S:S,MATCH('psgr LDVs'!$B48,'AEO 38'!$B:$B,0))</f>
        <v>173.61665300000001</v>
      </c>
      <c r="P48">
        <f>INDEX('AEO 38'!T:T,MATCH('psgr LDVs'!$B48,'AEO 38'!$B:$B,0))</f>
        <v>198.33242799999999</v>
      </c>
      <c r="Q48">
        <f>INDEX('AEO 38'!U:U,MATCH('psgr LDVs'!$B48,'AEO 38'!$B:$B,0))</f>
        <v>225.30926500000001</v>
      </c>
      <c r="R48">
        <f>INDEX('AEO 38'!V:V,MATCH('psgr LDVs'!$B48,'AEO 38'!$B:$B,0))</f>
        <v>254.45285000000001</v>
      </c>
      <c r="S48">
        <f>INDEX('AEO 38'!W:W,MATCH('psgr LDVs'!$B48,'AEO 38'!$B:$B,0))</f>
        <v>278.038544</v>
      </c>
      <c r="T48">
        <f>INDEX('AEO 38'!X:X,MATCH('psgr LDVs'!$B48,'AEO 38'!$B:$B,0))</f>
        <v>303.48288000000002</v>
      </c>
      <c r="U48">
        <f>INDEX('AEO 38'!Y:Y,MATCH('psgr LDVs'!$B48,'AEO 38'!$B:$B,0))</f>
        <v>332.549622</v>
      </c>
      <c r="V48">
        <f>INDEX('AEO 38'!Z:Z,MATCH('psgr LDVs'!$B48,'AEO 38'!$B:$B,0))</f>
        <v>360.707672</v>
      </c>
      <c r="W48">
        <f>INDEX('AEO 38'!AA:AA,MATCH('psgr LDVs'!$B48,'AEO 38'!$B:$B,0))</f>
        <v>386.63501000000002</v>
      </c>
      <c r="X48">
        <f>INDEX('AEO 38'!AB:AB,MATCH('psgr LDVs'!$B48,'AEO 38'!$B:$B,0))</f>
        <v>406.61685199999999</v>
      </c>
      <c r="Y48">
        <f>INDEX('AEO 38'!AC:AC,MATCH('psgr LDVs'!$B48,'AEO 38'!$B:$B,0))</f>
        <v>425.57904100000002</v>
      </c>
      <c r="Z48">
        <f>INDEX('AEO 38'!AD:AD,MATCH('psgr LDVs'!$B48,'AEO 38'!$B:$B,0))</f>
        <v>443.11395299999998</v>
      </c>
      <c r="AA48">
        <f>INDEX('AEO 38'!AE:AE,MATCH('psgr LDVs'!$B48,'AEO 38'!$B:$B,0))</f>
        <v>462.96020499999997</v>
      </c>
      <c r="AB48">
        <f>INDEX('AEO 38'!AF:AF,MATCH('psgr LDVs'!$B48,'AEO 38'!$B:$B,0))</f>
        <v>488.96313500000002</v>
      </c>
      <c r="AC48">
        <f>INDEX('AEO 38'!AG:AG,MATCH('psgr LDVs'!$B48,'AEO 38'!$B:$B,0))</f>
        <v>510.02221700000001</v>
      </c>
      <c r="AD48">
        <f>INDEX('AEO 38'!AH:AH,MATCH('psgr LDVs'!$B48,'AEO 38'!$B:$B,0))</f>
        <v>528.28735400000005</v>
      </c>
      <c r="AE48">
        <f>INDEX('AEO 38'!AI:AI,MATCH('psgr LDVs'!$B48,'AEO 38'!$B:$B,0))</f>
        <v>553.26159700000005</v>
      </c>
      <c r="AF48">
        <f>INDEX('AEO 38'!AJ:AJ,MATCH('psgr LDVs'!$B48,'AEO 38'!$B:$B,0))</f>
        <v>572.91253700000004</v>
      </c>
      <c r="AG48">
        <f>INDEX('AEO 38'!AK:AK,MATCH('psgr LDVs'!$B48,'AEO 38'!$B:$B,0))</f>
        <v>594.61016800000004</v>
      </c>
    </row>
    <row r="49" spans="1:33" ht="13.6">
      <c r="A49" s="114" t="s">
        <v>116</v>
      </c>
      <c r="B49" s="110" t="s">
        <v>919</v>
      </c>
      <c r="C49">
        <f>INDEX('AEO 38'!G:G,MATCH('psgr LDVs'!$B49,'AEO 38'!$B:$B,0))</f>
        <v>20.674416000000001</v>
      </c>
      <c r="D49">
        <f>INDEX('AEO 38'!H:H,MATCH('psgr LDVs'!$B49,'AEO 38'!$B:$B,0))</f>
        <v>28.176988999999999</v>
      </c>
      <c r="E49">
        <f>INDEX('AEO 38'!I:I,MATCH('psgr LDVs'!$B49,'AEO 38'!$B:$B,0))</f>
        <v>33.950932000000002</v>
      </c>
      <c r="F49">
        <f>INDEX('AEO 38'!J:J,MATCH('psgr LDVs'!$B49,'AEO 38'!$B:$B,0))</f>
        <v>36.931286</v>
      </c>
      <c r="G49">
        <f>INDEX('AEO 38'!K:K,MATCH('psgr LDVs'!$B49,'AEO 38'!$B:$B,0))</f>
        <v>41.969532000000001</v>
      </c>
      <c r="H49">
        <f>INDEX('AEO 38'!L:L,MATCH('psgr LDVs'!$B49,'AEO 38'!$B:$B,0))</f>
        <v>48.640994999999997</v>
      </c>
      <c r="I49">
        <f>INDEX('AEO 38'!M:M,MATCH('psgr LDVs'!$B49,'AEO 38'!$B:$B,0))</f>
        <v>55.013874000000001</v>
      </c>
      <c r="J49">
        <f>INDEX('AEO 38'!N:N,MATCH('psgr LDVs'!$B49,'AEO 38'!$B:$B,0))</f>
        <v>62.905365000000003</v>
      </c>
      <c r="K49">
        <f>INDEX('AEO 38'!O:O,MATCH('psgr LDVs'!$B49,'AEO 38'!$B:$B,0))</f>
        <v>73.882957000000005</v>
      </c>
      <c r="L49">
        <f>INDEX('AEO 38'!P:P,MATCH('psgr LDVs'!$B49,'AEO 38'!$B:$B,0))</f>
        <v>77.068755999999993</v>
      </c>
      <c r="M49">
        <f>INDEX('AEO 38'!Q:Q,MATCH('psgr LDVs'!$B49,'AEO 38'!$B:$B,0))</f>
        <v>80.696731999999997</v>
      </c>
      <c r="N49">
        <f>INDEX('AEO 38'!R:R,MATCH('psgr LDVs'!$B49,'AEO 38'!$B:$B,0))</f>
        <v>81.135765000000006</v>
      </c>
      <c r="O49">
        <f>INDEX('AEO 38'!S:S,MATCH('psgr LDVs'!$B49,'AEO 38'!$B:$B,0))</f>
        <v>83.302795000000003</v>
      </c>
      <c r="P49">
        <f>INDEX('AEO 38'!T:T,MATCH('psgr LDVs'!$B49,'AEO 38'!$B:$B,0))</f>
        <v>84.292327999999998</v>
      </c>
      <c r="Q49">
        <f>INDEX('AEO 38'!U:U,MATCH('psgr LDVs'!$B49,'AEO 38'!$B:$B,0))</f>
        <v>85.728806000000006</v>
      </c>
      <c r="R49">
        <f>INDEX('AEO 38'!V:V,MATCH('psgr LDVs'!$B49,'AEO 38'!$B:$B,0))</f>
        <v>84.681640999999999</v>
      </c>
      <c r="S49">
        <f>INDEX('AEO 38'!W:W,MATCH('psgr LDVs'!$B49,'AEO 38'!$B:$B,0))</f>
        <v>83.560676999999998</v>
      </c>
      <c r="T49">
        <f>INDEX('AEO 38'!X:X,MATCH('psgr LDVs'!$B49,'AEO 38'!$B:$B,0))</f>
        <v>82.382141000000004</v>
      </c>
      <c r="U49">
        <f>INDEX('AEO 38'!Y:Y,MATCH('psgr LDVs'!$B49,'AEO 38'!$B:$B,0))</f>
        <v>81.626305000000002</v>
      </c>
      <c r="V49">
        <f>INDEX('AEO 38'!Z:Z,MATCH('psgr LDVs'!$B49,'AEO 38'!$B:$B,0))</f>
        <v>79.956458999999995</v>
      </c>
      <c r="W49">
        <f>INDEX('AEO 38'!AA:AA,MATCH('psgr LDVs'!$B49,'AEO 38'!$B:$B,0))</f>
        <v>78.624977000000001</v>
      </c>
      <c r="X49">
        <f>INDEX('AEO 38'!AB:AB,MATCH('psgr LDVs'!$B49,'AEO 38'!$B:$B,0))</f>
        <v>76.511696000000001</v>
      </c>
      <c r="Y49">
        <f>INDEX('AEO 38'!AC:AC,MATCH('psgr LDVs'!$B49,'AEO 38'!$B:$B,0))</f>
        <v>74.205223000000004</v>
      </c>
      <c r="Z49">
        <f>INDEX('AEO 38'!AD:AD,MATCH('psgr LDVs'!$B49,'AEO 38'!$B:$B,0))</f>
        <v>72.000122000000005</v>
      </c>
      <c r="AA49">
        <f>INDEX('AEO 38'!AE:AE,MATCH('psgr LDVs'!$B49,'AEO 38'!$B:$B,0))</f>
        <v>69.958206000000004</v>
      </c>
      <c r="AB49">
        <f>INDEX('AEO 38'!AF:AF,MATCH('psgr LDVs'!$B49,'AEO 38'!$B:$B,0))</f>
        <v>68.774047999999993</v>
      </c>
      <c r="AC49">
        <f>INDEX('AEO 38'!AG:AG,MATCH('psgr LDVs'!$B49,'AEO 38'!$B:$B,0))</f>
        <v>66.152739999999994</v>
      </c>
      <c r="AD49">
        <f>INDEX('AEO 38'!AH:AH,MATCH('psgr LDVs'!$B49,'AEO 38'!$B:$B,0))</f>
        <v>63.704295999999999</v>
      </c>
      <c r="AE49">
        <f>INDEX('AEO 38'!AI:AI,MATCH('psgr LDVs'!$B49,'AEO 38'!$B:$B,0))</f>
        <v>61.705100999999999</v>
      </c>
      <c r="AF49">
        <f>INDEX('AEO 38'!AJ:AJ,MATCH('psgr LDVs'!$B49,'AEO 38'!$B:$B,0))</f>
        <v>59.545723000000002</v>
      </c>
      <c r="AG49">
        <f>INDEX('AEO 38'!AK:AK,MATCH('psgr LDVs'!$B49,'AEO 38'!$B:$B,0))</f>
        <v>57.139907999999998</v>
      </c>
    </row>
    <row r="50" spans="1:33" ht="13.6">
      <c r="A50" s="114" t="s">
        <v>116</v>
      </c>
      <c r="B50" s="110" t="s">
        <v>920</v>
      </c>
      <c r="C50">
        <f>INDEX('AEO 38'!G:G,MATCH('psgr LDVs'!$B50,'AEO 38'!$B:$B,0))</f>
        <v>5.3106419999999996</v>
      </c>
      <c r="D50">
        <f>INDEX('AEO 38'!H:H,MATCH('psgr LDVs'!$B50,'AEO 38'!$B:$B,0))</f>
        <v>5.6303320000000001</v>
      </c>
      <c r="E50">
        <f>INDEX('AEO 38'!I:I,MATCH('psgr LDVs'!$B50,'AEO 38'!$B:$B,0))</f>
        <v>5.2414160000000001</v>
      </c>
      <c r="F50">
        <f>INDEX('AEO 38'!J:J,MATCH('psgr LDVs'!$B50,'AEO 38'!$B:$B,0))</f>
        <v>4.6340560000000002</v>
      </c>
      <c r="G50">
        <f>INDEX('AEO 38'!K:K,MATCH('psgr LDVs'!$B50,'AEO 38'!$B:$B,0))</f>
        <v>4.4100590000000004</v>
      </c>
      <c r="H50">
        <f>INDEX('AEO 38'!L:L,MATCH('psgr LDVs'!$B50,'AEO 38'!$B:$B,0))</f>
        <v>4.3392419999999996</v>
      </c>
      <c r="I50">
        <f>INDEX('AEO 38'!M:M,MATCH('psgr LDVs'!$B50,'AEO 38'!$B:$B,0))</f>
        <v>4.3922869999999996</v>
      </c>
      <c r="J50">
        <f>INDEX('AEO 38'!N:N,MATCH('psgr LDVs'!$B50,'AEO 38'!$B:$B,0))</f>
        <v>4.544848</v>
      </c>
      <c r="K50">
        <f>INDEX('AEO 38'!O:O,MATCH('psgr LDVs'!$B50,'AEO 38'!$B:$B,0))</f>
        <v>4.8866290000000001</v>
      </c>
      <c r="L50">
        <f>INDEX('AEO 38'!P:P,MATCH('psgr LDVs'!$B50,'AEO 38'!$B:$B,0))</f>
        <v>5.3271199999999999</v>
      </c>
      <c r="M50">
        <f>INDEX('AEO 38'!Q:Q,MATCH('psgr LDVs'!$B50,'AEO 38'!$B:$B,0))</f>
        <v>5.9793890000000003</v>
      </c>
      <c r="N50">
        <f>INDEX('AEO 38'!R:R,MATCH('psgr LDVs'!$B50,'AEO 38'!$B:$B,0))</f>
        <v>6.4114420000000001</v>
      </c>
      <c r="O50">
        <f>INDEX('AEO 38'!S:S,MATCH('psgr LDVs'!$B50,'AEO 38'!$B:$B,0))</f>
        <v>6.8253269999999997</v>
      </c>
      <c r="P50">
        <f>INDEX('AEO 38'!T:T,MATCH('psgr LDVs'!$B50,'AEO 38'!$B:$B,0))</f>
        <v>7.1649520000000004</v>
      </c>
      <c r="Q50">
        <f>INDEX('AEO 38'!U:U,MATCH('psgr LDVs'!$B50,'AEO 38'!$B:$B,0))</f>
        <v>7.5200129999999996</v>
      </c>
      <c r="R50">
        <f>INDEX('AEO 38'!V:V,MATCH('psgr LDVs'!$B50,'AEO 38'!$B:$B,0))</f>
        <v>7.7050919999999996</v>
      </c>
      <c r="S50">
        <f>INDEX('AEO 38'!W:W,MATCH('psgr LDVs'!$B50,'AEO 38'!$B:$B,0))</f>
        <v>7.8150329999999997</v>
      </c>
      <c r="T50">
        <f>INDEX('AEO 38'!X:X,MATCH('psgr LDVs'!$B50,'AEO 38'!$B:$B,0))</f>
        <v>7.9051960000000001</v>
      </c>
      <c r="U50">
        <f>INDEX('AEO 38'!Y:Y,MATCH('psgr LDVs'!$B50,'AEO 38'!$B:$B,0))</f>
        <v>8.0241579999999999</v>
      </c>
      <c r="V50">
        <f>INDEX('AEO 38'!Z:Z,MATCH('psgr LDVs'!$B50,'AEO 38'!$B:$B,0))</f>
        <v>8.0557169999999996</v>
      </c>
      <c r="W50">
        <f>INDEX('AEO 38'!AA:AA,MATCH('psgr LDVs'!$B50,'AEO 38'!$B:$B,0))</f>
        <v>8.0790989999999994</v>
      </c>
      <c r="X50">
        <f>INDEX('AEO 38'!AB:AB,MATCH('psgr LDVs'!$B50,'AEO 38'!$B:$B,0))</f>
        <v>8.0360820000000004</v>
      </c>
      <c r="Y50">
        <f>INDEX('AEO 38'!AC:AC,MATCH('psgr LDVs'!$B50,'AEO 38'!$B:$B,0))</f>
        <v>7.9697839999999998</v>
      </c>
      <c r="Z50">
        <f>INDEX('AEO 38'!AD:AD,MATCH('psgr LDVs'!$B50,'AEO 38'!$B:$B,0))</f>
        <v>7.8934300000000004</v>
      </c>
      <c r="AA50">
        <f>INDEX('AEO 38'!AE:AE,MATCH('psgr LDVs'!$B50,'AEO 38'!$B:$B,0))</f>
        <v>7.8318729999999999</v>
      </c>
      <c r="AB50">
        <f>INDEX('AEO 38'!AF:AF,MATCH('psgr LDVs'!$B50,'AEO 38'!$B:$B,0))</f>
        <v>7.8577079999999997</v>
      </c>
      <c r="AC50">
        <f>INDEX('AEO 38'!AG:AG,MATCH('psgr LDVs'!$B50,'AEO 38'!$B:$B,0))</f>
        <v>7.7429709999999998</v>
      </c>
      <c r="AD50">
        <f>INDEX('AEO 38'!AH:AH,MATCH('psgr LDVs'!$B50,'AEO 38'!$B:$B,0))</f>
        <v>7.623875</v>
      </c>
      <c r="AE50">
        <f>INDEX('AEO 38'!AI:AI,MATCH('psgr LDVs'!$B50,'AEO 38'!$B:$B,0))</f>
        <v>7.568454</v>
      </c>
      <c r="AF50">
        <f>INDEX('AEO 38'!AJ:AJ,MATCH('psgr LDVs'!$B50,'AEO 38'!$B:$B,0))</f>
        <v>7.464639</v>
      </c>
      <c r="AG50">
        <f>INDEX('AEO 38'!AK:AK,MATCH('psgr LDVs'!$B50,'AEO 38'!$B:$B,0))</f>
        <v>7.3430020000000003</v>
      </c>
    </row>
    <row r="51" spans="1:33" ht="13.6">
      <c r="A51" s="114" t="s">
        <v>115</v>
      </c>
      <c r="B51" s="110" t="s">
        <v>921</v>
      </c>
      <c r="C51">
        <f>INDEX('AEO 38'!G:G,MATCH('psgr LDVs'!$B51,'AEO 38'!$B:$B,0))</f>
        <v>0</v>
      </c>
      <c r="D51">
        <f>INDEX('AEO 38'!H:H,MATCH('psgr LDVs'!$B51,'AEO 38'!$B:$B,0))</f>
        <v>0</v>
      </c>
      <c r="E51">
        <f>INDEX('AEO 38'!I:I,MATCH('psgr LDVs'!$B51,'AEO 38'!$B:$B,0))</f>
        <v>0</v>
      </c>
      <c r="F51">
        <f>INDEX('AEO 38'!J:J,MATCH('psgr LDVs'!$B51,'AEO 38'!$B:$B,0))</f>
        <v>0</v>
      </c>
      <c r="G51">
        <f>INDEX('AEO 38'!K:K,MATCH('psgr LDVs'!$B51,'AEO 38'!$B:$B,0))</f>
        <v>0</v>
      </c>
      <c r="H51">
        <f>INDEX('AEO 38'!L:L,MATCH('psgr LDVs'!$B51,'AEO 38'!$B:$B,0))</f>
        <v>0</v>
      </c>
      <c r="I51">
        <f>INDEX('AEO 38'!M:M,MATCH('psgr LDVs'!$B51,'AEO 38'!$B:$B,0))</f>
        <v>0</v>
      </c>
      <c r="J51">
        <f>INDEX('AEO 38'!N:N,MATCH('psgr LDVs'!$B51,'AEO 38'!$B:$B,0))</f>
        <v>0</v>
      </c>
      <c r="K51">
        <f>INDEX('AEO 38'!O:O,MATCH('psgr LDVs'!$B51,'AEO 38'!$B:$B,0))</f>
        <v>0</v>
      </c>
      <c r="L51">
        <f>INDEX('AEO 38'!P:P,MATCH('psgr LDVs'!$B51,'AEO 38'!$B:$B,0))</f>
        <v>0</v>
      </c>
      <c r="M51">
        <f>INDEX('AEO 38'!Q:Q,MATCH('psgr LDVs'!$B51,'AEO 38'!$B:$B,0))</f>
        <v>0</v>
      </c>
      <c r="N51">
        <f>INDEX('AEO 38'!R:R,MATCH('psgr LDVs'!$B51,'AEO 38'!$B:$B,0))</f>
        <v>0</v>
      </c>
      <c r="O51">
        <f>INDEX('AEO 38'!S:S,MATCH('psgr LDVs'!$B51,'AEO 38'!$B:$B,0))</f>
        <v>0</v>
      </c>
      <c r="P51">
        <f>INDEX('AEO 38'!T:T,MATCH('psgr LDVs'!$B51,'AEO 38'!$B:$B,0))</f>
        <v>0</v>
      </c>
      <c r="Q51">
        <f>INDEX('AEO 38'!U:U,MATCH('psgr LDVs'!$B51,'AEO 38'!$B:$B,0))</f>
        <v>0</v>
      </c>
      <c r="R51">
        <f>INDEX('AEO 38'!V:V,MATCH('psgr LDVs'!$B51,'AEO 38'!$B:$B,0))</f>
        <v>0</v>
      </c>
      <c r="S51">
        <f>INDEX('AEO 38'!W:W,MATCH('psgr LDVs'!$B51,'AEO 38'!$B:$B,0))</f>
        <v>0</v>
      </c>
      <c r="T51">
        <f>INDEX('AEO 38'!X:X,MATCH('psgr LDVs'!$B51,'AEO 38'!$B:$B,0))</f>
        <v>0</v>
      </c>
      <c r="U51">
        <f>INDEX('AEO 38'!Y:Y,MATCH('psgr LDVs'!$B51,'AEO 38'!$B:$B,0))</f>
        <v>0</v>
      </c>
      <c r="V51">
        <f>INDEX('AEO 38'!Z:Z,MATCH('psgr LDVs'!$B51,'AEO 38'!$B:$B,0))</f>
        <v>0</v>
      </c>
      <c r="W51">
        <f>INDEX('AEO 38'!AA:AA,MATCH('psgr LDVs'!$B51,'AEO 38'!$B:$B,0))</f>
        <v>0</v>
      </c>
      <c r="X51">
        <f>INDEX('AEO 38'!AB:AB,MATCH('psgr LDVs'!$B51,'AEO 38'!$B:$B,0))</f>
        <v>0</v>
      </c>
      <c r="Y51">
        <f>INDEX('AEO 38'!AC:AC,MATCH('psgr LDVs'!$B51,'AEO 38'!$B:$B,0))</f>
        <v>0</v>
      </c>
      <c r="Z51">
        <f>INDEX('AEO 38'!AD:AD,MATCH('psgr LDVs'!$B51,'AEO 38'!$B:$B,0))</f>
        <v>0</v>
      </c>
      <c r="AA51">
        <f>INDEX('AEO 38'!AE:AE,MATCH('psgr LDVs'!$B51,'AEO 38'!$B:$B,0))</f>
        <v>0</v>
      </c>
      <c r="AB51">
        <f>INDEX('AEO 38'!AF:AF,MATCH('psgr LDVs'!$B51,'AEO 38'!$B:$B,0))</f>
        <v>0</v>
      </c>
      <c r="AC51">
        <f>INDEX('AEO 38'!AG:AG,MATCH('psgr LDVs'!$B51,'AEO 38'!$B:$B,0))</f>
        <v>0</v>
      </c>
      <c r="AD51">
        <f>INDEX('AEO 38'!AH:AH,MATCH('psgr LDVs'!$B51,'AEO 38'!$B:$B,0))</f>
        <v>0</v>
      </c>
      <c r="AE51">
        <f>INDEX('AEO 38'!AI:AI,MATCH('psgr LDVs'!$B51,'AEO 38'!$B:$B,0))</f>
        <v>0</v>
      </c>
      <c r="AF51">
        <f>INDEX('AEO 38'!AJ:AJ,MATCH('psgr LDVs'!$B51,'AEO 38'!$B:$B,0))</f>
        <v>0</v>
      </c>
      <c r="AG51">
        <f>INDEX('AEO 38'!AK:AK,MATCH('psgr LDVs'!$B51,'AEO 38'!$B:$B,0))</f>
        <v>0</v>
      </c>
    </row>
    <row r="52" spans="1:33" ht="13.6">
      <c r="A52" s="114" t="s">
        <v>114</v>
      </c>
      <c r="B52" s="110" t="s">
        <v>922</v>
      </c>
      <c r="C52">
        <f>INDEX('AEO 38'!G:G,MATCH('psgr LDVs'!$B52,'AEO 38'!$B:$B,0))</f>
        <v>121.397232</v>
      </c>
      <c r="D52">
        <f>INDEX('AEO 38'!H:H,MATCH('psgr LDVs'!$B52,'AEO 38'!$B:$B,0))</f>
        <v>136.909775</v>
      </c>
      <c r="E52">
        <f>INDEX('AEO 38'!I:I,MATCH('psgr LDVs'!$B52,'AEO 38'!$B:$B,0))</f>
        <v>161.620529</v>
      </c>
      <c r="F52">
        <f>INDEX('AEO 38'!J:J,MATCH('psgr LDVs'!$B52,'AEO 38'!$B:$B,0))</f>
        <v>172.90016199999999</v>
      </c>
      <c r="G52">
        <f>INDEX('AEO 38'!K:K,MATCH('psgr LDVs'!$B52,'AEO 38'!$B:$B,0))</f>
        <v>185.48762500000001</v>
      </c>
      <c r="H52">
        <f>INDEX('AEO 38'!L:L,MATCH('psgr LDVs'!$B52,'AEO 38'!$B:$B,0))</f>
        <v>197.378525</v>
      </c>
      <c r="I52">
        <f>INDEX('AEO 38'!M:M,MATCH('psgr LDVs'!$B52,'AEO 38'!$B:$B,0))</f>
        <v>206.532532</v>
      </c>
      <c r="J52">
        <f>INDEX('AEO 38'!N:N,MATCH('psgr LDVs'!$B52,'AEO 38'!$B:$B,0))</f>
        <v>216.445618</v>
      </c>
      <c r="K52">
        <f>INDEX('AEO 38'!O:O,MATCH('psgr LDVs'!$B52,'AEO 38'!$B:$B,0))</f>
        <v>232.97335799999999</v>
      </c>
      <c r="L52">
        <f>INDEX('AEO 38'!P:P,MATCH('psgr LDVs'!$B52,'AEO 38'!$B:$B,0))</f>
        <v>246.07936100000001</v>
      </c>
      <c r="M52">
        <f>INDEX('AEO 38'!Q:Q,MATCH('psgr LDVs'!$B52,'AEO 38'!$B:$B,0))</f>
        <v>261.67312600000002</v>
      </c>
      <c r="N52">
        <f>INDEX('AEO 38'!R:R,MATCH('psgr LDVs'!$B52,'AEO 38'!$B:$B,0))</f>
        <v>274.52325400000001</v>
      </c>
      <c r="O52">
        <f>INDEX('AEO 38'!S:S,MATCH('psgr LDVs'!$B52,'AEO 38'!$B:$B,0))</f>
        <v>287.88394199999999</v>
      </c>
      <c r="P52">
        <f>INDEX('AEO 38'!T:T,MATCH('psgr LDVs'!$B52,'AEO 38'!$B:$B,0))</f>
        <v>300.89297499999998</v>
      </c>
      <c r="Q52">
        <f>INDEX('AEO 38'!U:U,MATCH('psgr LDVs'!$B52,'AEO 38'!$B:$B,0))</f>
        <v>315.429779</v>
      </c>
      <c r="R52">
        <f>INDEX('AEO 38'!V:V,MATCH('psgr LDVs'!$B52,'AEO 38'!$B:$B,0))</f>
        <v>326.46142600000002</v>
      </c>
      <c r="S52">
        <f>INDEX('AEO 38'!W:W,MATCH('psgr LDVs'!$B52,'AEO 38'!$B:$B,0))</f>
        <v>334.92172199999999</v>
      </c>
      <c r="T52">
        <f>INDEX('AEO 38'!X:X,MATCH('psgr LDVs'!$B52,'AEO 38'!$B:$B,0))</f>
        <v>344.05874599999999</v>
      </c>
      <c r="U52">
        <f>INDEX('AEO 38'!Y:Y,MATCH('psgr LDVs'!$B52,'AEO 38'!$B:$B,0))</f>
        <v>356.154785</v>
      </c>
      <c r="V52">
        <f>INDEX('AEO 38'!Z:Z,MATCH('psgr LDVs'!$B52,'AEO 38'!$B:$B,0))</f>
        <v>366.537689</v>
      </c>
      <c r="W52">
        <f>INDEX('AEO 38'!AA:AA,MATCH('psgr LDVs'!$B52,'AEO 38'!$B:$B,0))</f>
        <v>377.08914199999998</v>
      </c>
      <c r="X52">
        <f>INDEX('AEO 38'!AB:AB,MATCH('psgr LDVs'!$B52,'AEO 38'!$B:$B,0))</f>
        <v>390.3526</v>
      </c>
      <c r="Y52">
        <f>INDEX('AEO 38'!AC:AC,MATCH('psgr LDVs'!$B52,'AEO 38'!$B:$B,0))</f>
        <v>401.862122</v>
      </c>
      <c r="Z52">
        <f>INDEX('AEO 38'!AD:AD,MATCH('psgr LDVs'!$B52,'AEO 38'!$B:$B,0))</f>
        <v>413.02459700000003</v>
      </c>
      <c r="AA52">
        <f>INDEX('AEO 38'!AE:AE,MATCH('psgr LDVs'!$B52,'AEO 38'!$B:$B,0))</f>
        <v>425.68554699999999</v>
      </c>
      <c r="AB52">
        <f>INDEX('AEO 38'!AF:AF,MATCH('psgr LDVs'!$B52,'AEO 38'!$B:$B,0))</f>
        <v>443.74679600000002</v>
      </c>
      <c r="AC52">
        <f>INDEX('AEO 38'!AG:AG,MATCH('psgr LDVs'!$B52,'AEO 38'!$B:$B,0))</f>
        <v>455.27056900000002</v>
      </c>
      <c r="AD52">
        <f>INDEX('AEO 38'!AH:AH,MATCH('psgr LDVs'!$B52,'AEO 38'!$B:$B,0))</f>
        <v>466.52200299999998</v>
      </c>
      <c r="AE52">
        <f>INDEX('AEO 38'!AI:AI,MATCH('psgr LDVs'!$B52,'AEO 38'!$B:$B,0))</f>
        <v>482.34301799999997</v>
      </c>
      <c r="AF52">
        <f>INDEX('AEO 38'!AJ:AJ,MATCH('psgr LDVs'!$B52,'AEO 38'!$B:$B,0))</f>
        <v>494.321167</v>
      </c>
      <c r="AG52">
        <f>INDEX('AEO 38'!AK:AK,MATCH('psgr LDVs'!$B52,'AEO 38'!$B:$B,0))</f>
        <v>505.77969400000001</v>
      </c>
    </row>
    <row r="53" spans="1:33" ht="13.6">
      <c r="A53" s="114" t="s">
        <v>113</v>
      </c>
      <c r="B53" s="110" t="s">
        <v>923</v>
      </c>
      <c r="C53">
        <f>INDEX('AEO 38'!G:G,MATCH('psgr LDVs'!$B53,'AEO 38'!$B:$B,0))</f>
        <v>0.43629899999999999</v>
      </c>
      <c r="D53">
        <f>INDEX('AEO 38'!H:H,MATCH('psgr LDVs'!$B53,'AEO 38'!$B:$B,0))</f>
        <v>0.44688600000000001</v>
      </c>
      <c r="E53">
        <f>INDEX('AEO 38'!I:I,MATCH('psgr LDVs'!$B53,'AEO 38'!$B:$B,0))</f>
        <v>0.54858899999999999</v>
      </c>
      <c r="F53">
        <f>INDEX('AEO 38'!J:J,MATCH('psgr LDVs'!$B53,'AEO 38'!$B:$B,0))</f>
        <v>0.60780699999999999</v>
      </c>
      <c r="G53">
        <f>INDEX('AEO 38'!K:K,MATCH('psgr LDVs'!$B53,'AEO 38'!$B:$B,0))</f>
        <v>0.65428600000000003</v>
      </c>
      <c r="H53">
        <f>INDEX('AEO 38'!L:L,MATCH('psgr LDVs'!$B53,'AEO 38'!$B:$B,0))</f>
        <v>0.68139700000000003</v>
      </c>
      <c r="I53">
        <f>INDEX('AEO 38'!M:M,MATCH('psgr LDVs'!$B53,'AEO 38'!$B:$B,0))</f>
        <v>0.67553300000000005</v>
      </c>
      <c r="J53">
        <f>INDEX('AEO 38'!N:N,MATCH('psgr LDVs'!$B53,'AEO 38'!$B:$B,0))</f>
        <v>0.66068800000000005</v>
      </c>
      <c r="K53">
        <f>INDEX('AEO 38'!O:O,MATCH('psgr LDVs'!$B53,'AEO 38'!$B:$B,0))</f>
        <v>0.66388499999999995</v>
      </c>
      <c r="L53">
        <f>INDEX('AEO 38'!P:P,MATCH('psgr LDVs'!$B53,'AEO 38'!$B:$B,0))</f>
        <v>0.65932400000000002</v>
      </c>
      <c r="M53">
        <f>INDEX('AEO 38'!Q:Q,MATCH('psgr LDVs'!$B53,'AEO 38'!$B:$B,0))</f>
        <v>0.65431600000000001</v>
      </c>
      <c r="N53">
        <f>INDEX('AEO 38'!R:R,MATCH('psgr LDVs'!$B53,'AEO 38'!$B:$B,0))</f>
        <v>0.66020900000000005</v>
      </c>
      <c r="O53">
        <f>INDEX('AEO 38'!S:S,MATCH('psgr LDVs'!$B53,'AEO 38'!$B:$B,0))</f>
        <v>0.65928699999999996</v>
      </c>
      <c r="P53">
        <f>INDEX('AEO 38'!T:T,MATCH('psgr LDVs'!$B53,'AEO 38'!$B:$B,0))</f>
        <v>0.66081100000000004</v>
      </c>
      <c r="Q53">
        <f>INDEX('AEO 38'!U:U,MATCH('psgr LDVs'!$B53,'AEO 38'!$B:$B,0))</f>
        <v>0.66457699999999997</v>
      </c>
      <c r="R53">
        <f>INDEX('AEO 38'!V:V,MATCH('psgr LDVs'!$B53,'AEO 38'!$B:$B,0))</f>
        <v>0.66665700000000006</v>
      </c>
      <c r="S53">
        <f>INDEX('AEO 38'!W:W,MATCH('psgr LDVs'!$B53,'AEO 38'!$B:$B,0))</f>
        <v>0.65699399999999997</v>
      </c>
      <c r="T53">
        <f>INDEX('AEO 38'!X:X,MATCH('psgr LDVs'!$B53,'AEO 38'!$B:$B,0))</f>
        <v>0.65082700000000004</v>
      </c>
      <c r="U53">
        <f>INDEX('AEO 38'!Y:Y,MATCH('psgr LDVs'!$B53,'AEO 38'!$B:$B,0))</f>
        <v>0.65140600000000004</v>
      </c>
      <c r="V53">
        <f>INDEX('AEO 38'!Z:Z,MATCH('psgr LDVs'!$B53,'AEO 38'!$B:$B,0))</f>
        <v>0.64930500000000002</v>
      </c>
      <c r="W53">
        <f>INDEX('AEO 38'!AA:AA,MATCH('psgr LDVs'!$B53,'AEO 38'!$B:$B,0))</f>
        <v>0.64486699999999997</v>
      </c>
      <c r="X53">
        <f>INDEX('AEO 38'!AB:AB,MATCH('psgr LDVs'!$B53,'AEO 38'!$B:$B,0))</f>
        <v>0.64294700000000005</v>
      </c>
      <c r="Y53">
        <f>INDEX('AEO 38'!AC:AC,MATCH('psgr LDVs'!$B53,'AEO 38'!$B:$B,0))</f>
        <v>0.64115999999999995</v>
      </c>
      <c r="Z53">
        <f>INDEX('AEO 38'!AD:AD,MATCH('psgr LDVs'!$B53,'AEO 38'!$B:$B,0))</f>
        <v>0.63736599999999999</v>
      </c>
      <c r="AA53">
        <f>INDEX('AEO 38'!AE:AE,MATCH('psgr LDVs'!$B53,'AEO 38'!$B:$B,0))</f>
        <v>0.635911</v>
      </c>
      <c r="AB53">
        <f>INDEX('AEO 38'!AF:AF,MATCH('psgr LDVs'!$B53,'AEO 38'!$B:$B,0))</f>
        <v>0.64154299999999997</v>
      </c>
      <c r="AC53">
        <f>INDEX('AEO 38'!AG:AG,MATCH('psgr LDVs'!$B53,'AEO 38'!$B:$B,0))</f>
        <v>0.63843099999999997</v>
      </c>
      <c r="AD53">
        <f>INDEX('AEO 38'!AH:AH,MATCH('psgr LDVs'!$B53,'AEO 38'!$B:$B,0))</f>
        <v>0.63314400000000004</v>
      </c>
      <c r="AE53">
        <f>INDEX('AEO 38'!AI:AI,MATCH('psgr LDVs'!$B53,'AEO 38'!$B:$B,0))</f>
        <v>0.63452600000000003</v>
      </c>
      <c r="AF53">
        <f>INDEX('AEO 38'!AJ:AJ,MATCH('psgr LDVs'!$B53,'AEO 38'!$B:$B,0))</f>
        <v>0.62921300000000002</v>
      </c>
      <c r="AG53">
        <f>INDEX('AEO 38'!AK:AK,MATCH('psgr LDVs'!$B53,'AEO 38'!$B:$B,0))</f>
        <v>0.62481299999999995</v>
      </c>
    </row>
    <row r="54" spans="1:33" ht="13.6">
      <c r="A54" s="114" t="s">
        <v>113</v>
      </c>
      <c r="B54" s="110" t="s">
        <v>924</v>
      </c>
      <c r="C54">
        <f>INDEX('AEO 38'!G:G,MATCH('psgr LDVs'!$B54,'AEO 38'!$B:$B,0))</f>
        <v>2.233771</v>
      </c>
      <c r="D54">
        <f>INDEX('AEO 38'!H:H,MATCH('psgr LDVs'!$B54,'AEO 38'!$B:$B,0))</f>
        <v>2.3549190000000002</v>
      </c>
      <c r="E54">
        <f>INDEX('AEO 38'!I:I,MATCH('psgr LDVs'!$B54,'AEO 38'!$B:$B,0))</f>
        <v>2.6102080000000001</v>
      </c>
      <c r="F54">
        <f>INDEX('AEO 38'!J:J,MATCH('psgr LDVs'!$B54,'AEO 38'!$B:$B,0))</f>
        <v>2.6420149999999998</v>
      </c>
      <c r="G54">
        <f>INDEX('AEO 38'!K:K,MATCH('psgr LDVs'!$B54,'AEO 38'!$B:$B,0))</f>
        <v>2.6773419999999999</v>
      </c>
      <c r="H54">
        <f>INDEX('AEO 38'!L:L,MATCH('psgr LDVs'!$B54,'AEO 38'!$B:$B,0))</f>
        <v>2.7028590000000001</v>
      </c>
      <c r="I54">
        <f>INDEX('AEO 38'!M:M,MATCH('psgr LDVs'!$B54,'AEO 38'!$B:$B,0))</f>
        <v>2.6681970000000002</v>
      </c>
      <c r="J54">
        <f>INDEX('AEO 38'!N:N,MATCH('psgr LDVs'!$B54,'AEO 38'!$B:$B,0))</f>
        <v>2.6230820000000001</v>
      </c>
      <c r="K54">
        <f>INDEX('AEO 38'!O:O,MATCH('psgr LDVs'!$B54,'AEO 38'!$B:$B,0))</f>
        <v>2.6450670000000001</v>
      </c>
      <c r="L54">
        <f>INDEX('AEO 38'!P:P,MATCH('psgr LDVs'!$B54,'AEO 38'!$B:$B,0))</f>
        <v>2.6557900000000001</v>
      </c>
      <c r="M54">
        <f>INDEX('AEO 38'!Q:Q,MATCH('psgr LDVs'!$B54,'AEO 38'!$B:$B,0))</f>
        <v>2.6701060000000001</v>
      </c>
      <c r="N54">
        <f>INDEX('AEO 38'!R:R,MATCH('psgr LDVs'!$B54,'AEO 38'!$B:$B,0))</f>
        <v>2.6834129999999998</v>
      </c>
      <c r="O54">
        <f>INDEX('AEO 38'!S:S,MATCH('psgr LDVs'!$B54,'AEO 38'!$B:$B,0))</f>
        <v>2.6993930000000002</v>
      </c>
      <c r="P54">
        <f>INDEX('AEO 38'!T:T,MATCH('psgr LDVs'!$B54,'AEO 38'!$B:$B,0))</f>
        <v>2.7136650000000002</v>
      </c>
      <c r="Q54">
        <f>INDEX('AEO 38'!U:U,MATCH('psgr LDVs'!$B54,'AEO 38'!$B:$B,0))</f>
        <v>2.737803</v>
      </c>
      <c r="R54">
        <f>INDEX('AEO 38'!V:V,MATCH('psgr LDVs'!$B54,'AEO 38'!$B:$B,0))</f>
        <v>2.7418469999999999</v>
      </c>
      <c r="S54">
        <f>INDEX('AEO 38'!W:W,MATCH('psgr LDVs'!$B54,'AEO 38'!$B:$B,0))</f>
        <v>2.7204739999999998</v>
      </c>
      <c r="T54">
        <f>INDEX('AEO 38'!X:X,MATCH('psgr LDVs'!$B54,'AEO 38'!$B:$B,0))</f>
        <v>2.7040519999999999</v>
      </c>
      <c r="U54">
        <f>INDEX('AEO 38'!Y:Y,MATCH('psgr LDVs'!$B54,'AEO 38'!$B:$B,0))</f>
        <v>2.7096710000000002</v>
      </c>
      <c r="V54">
        <f>INDEX('AEO 38'!Z:Z,MATCH('psgr LDVs'!$B54,'AEO 38'!$B:$B,0))</f>
        <v>2.7040820000000001</v>
      </c>
      <c r="W54">
        <f>INDEX('AEO 38'!AA:AA,MATCH('psgr LDVs'!$B54,'AEO 38'!$B:$B,0))</f>
        <v>2.6957080000000002</v>
      </c>
      <c r="X54">
        <f>INDEX('AEO 38'!AB:AB,MATCH('psgr LDVs'!$B54,'AEO 38'!$B:$B,0))</f>
        <v>2.6903959999999998</v>
      </c>
      <c r="Y54">
        <f>INDEX('AEO 38'!AC:AC,MATCH('psgr LDVs'!$B54,'AEO 38'!$B:$B,0))</f>
        <v>2.6841889999999999</v>
      </c>
      <c r="Z54">
        <f>INDEX('AEO 38'!AD:AD,MATCH('psgr LDVs'!$B54,'AEO 38'!$B:$B,0))</f>
        <v>2.672501</v>
      </c>
      <c r="AA54">
        <f>INDEX('AEO 38'!AE:AE,MATCH('psgr LDVs'!$B54,'AEO 38'!$B:$B,0))</f>
        <v>2.6680100000000002</v>
      </c>
      <c r="AB54">
        <f>INDEX('AEO 38'!AF:AF,MATCH('psgr LDVs'!$B54,'AEO 38'!$B:$B,0))</f>
        <v>2.6929240000000001</v>
      </c>
      <c r="AC54">
        <f>INDEX('AEO 38'!AG:AG,MATCH('psgr LDVs'!$B54,'AEO 38'!$B:$B,0))</f>
        <v>2.6788340000000002</v>
      </c>
      <c r="AD54">
        <f>INDEX('AEO 38'!AH:AH,MATCH('psgr LDVs'!$B54,'AEO 38'!$B:$B,0))</f>
        <v>2.6605189999999999</v>
      </c>
      <c r="AE54">
        <f>INDEX('AEO 38'!AI:AI,MATCH('psgr LDVs'!$B54,'AEO 38'!$B:$B,0))</f>
        <v>2.6682290000000002</v>
      </c>
      <c r="AF54">
        <f>INDEX('AEO 38'!AJ:AJ,MATCH('psgr LDVs'!$B54,'AEO 38'!$B:$B,0))</f>
        <v>2.6504690000000002</v>
      </c>
      <c r="AG54">
        <f>INDEX('AEO 38'!AK:AK,MATCH('psgr LDVs'!$B54,'AEO 38'!$B:$B,0))</f>
        <v>2.630525</v>
      </c>
    </row>
    <row r="55" spans="1:33" ht="13.6">
      <c r="A55" s="114" t="s">
        <v>853</v>
      </c>
      <c r="B55" s="110" t="s">
        <v>925</v>
      </c>
      <c r="C55">
        <f>INDEX('AEO 38'!G:G,MATCH('psgr LDVs'!$B55,'AEO 38'!$B:$B,0))</f>
        <v>0.41389199999999998</v>
      </c>
      <c r="D55">
        <f>INDEX('AEO 38'!H:H,MATCH('psgr LDVs'!$B55,'AEO 38'!$B:$B,0))</f>
        <v>0.373083</v>
      </c>
      <c r="E55">
        <f>INDEX('AEO 38'!I:I,MATCH('psgr LDVs'!$B55,'AEO 38'!$B:$B,0))</f>
        <v>0.43224200000000002</v>
      </c>
      <c r="F55">
        <f>INDEX('AEO 38'!J:J,MATCH('psgr LDVs'!$B55,'AEO 38'!$B:$B,0))</f>
        <v>0.45028600000000002</v>
      </c>
      <c r="G55">
        <f>INDEX('AEO 38'!K:K,MATCH('psgr LDVs'!$B55,'AEO 38'!$B:$B,0))</f>
        <v>0.45489200000000002</v>
      </c>
      <c r="H55">
        <f>INDEX('AEO 38'!L:L,MATCH('psgr LDVs'!$B55,'AEO 38'!$B:$B,0))</f>
        <v>0.45953699999999997</v>
      </c>
      <c r="I55">
        <f>INDEX('AEO 38'!M:M,MATCH('psgr LDVs'!$B55,'AEO 38'!$B:$B,0))</f>
        <v>0.45393699999999998</v>
      </c>
      <c r="J55">
        <f>INDEX('AEO 38'!N:N,MATCH('psgr LDVs'!$B55,'AEO 38'!$B:$B,0))</f>
        <v>0.44735999999999998</v>
      </c>
      <c r="K55">
        <f>INDEX('AEO 38'!O:O,MATCH('psgr LDVs'!$B55,'AEO 38'!$B:$B,0))</f>
        <v>0.45521699999999998</v>
      </c>
      <c r="L55">
        <f>INDEX('AEO 38'!P:P,MATCH('psgr LDVs'!$B55,'AEO 38'!$B:$B,0))</f>
        <v>0.45961400000000002</v>
      </c>
      <c r="M55">
        <f>INDEX('AEO 38'!Q:Q,MATCH('psgr LDVs'!$B55,'AEO 38'!$B:$B,0))</f>
        <v>0.46068799999999999</v>
      </c>
      <c r="N55">
        <f>INDEX('AEO 38'!R:R,MATCH('psgr LDVs'!$B55,'AEO 38'!$B:$B,0))</f>
        <v>0.47550500000000001</v>
      </c>
      <c r="O55">
        <f>INDEX('AEO 38'!S:S,MATCH('psgr LDVs'!$B55,'AEO 38'!$B:$B,0))</f>
        <v>0.47844599999999998</v>
      </c>
      <c r="P55">
        <f>INDEX('AEO 38'!T:T,MATCH('psgr LDVs'!$B55,'AEO 38'!$B:$B,0))</f>
        <v>0.485149</v>
      </c>
      <c r="Q55">
        <f>INDEX('AEO 38'!U:U,MATCH('psgr LDVs'!$B55,'AEO 38'!$B:$B,0))</f>
        <v>0.49132700000000001</v>
      </c>
      <c r="R55">
        <f>INDEX('AEO 38'!V:V,MATCH('psgr LDVs'!$B55,'AEO 38'!$B:$B,0))</f>
        <v>0.499504</v>
      </c>
      <c r="S55">
        <f>INDEX('AEO 38'!W:W,MATCH('psgr LDVs'!$B55,'AEO 38'!$B:$B,0))</f>
        <v>0.49548599999999998</v>
      </c>
      <c r="T55">
        <f>INDEX('AEO 38'!X:X,MATCH('psgr LDVs'!$B55,'AEO 38'!$B:$B,0))</f>
        <v>0.49308000000000002</v>
      </c>
      <c r="U55">
        <f>INDEX('AEO 38'!Y:Y,MATCH('psgr LDVs'!$B55,'AEO 38'!$B:$B,0))</f>
        <v>0.496612</v>
      </c>
      <c r="V55">
        <f>INDEX('AEO 38'!Z:Z,MATCH('psgr LDVs'!$B55,'AEO 38'!$B:$B,0))</f>
        <v>0.499809</v>
      </c>
      <c r="W55">
        <f>INDEX('AEO 38'!AA:AA,MATCH('psgr LDVs'!$B55,'AEO 38'!$B:$B,0))</f>
        <v>0.499778</v>
      </c>
      <c r="X55">
        <f>INDEX('AEO 38'!AB:AB,MATCH('psgr LDVs'!$B55,'AEO 38'!$B:$B,0))</f>
        <v>0.50252600000000003</v>
      </c>
      <c r="Y55">
        <f>INDEX('AEO 38'!AC:AC,MATCH('psgr LDVs'!$B55,'AEO 38'!$B:$B,0))</f>
        <v>0.50540099999999999</v>
      </c>
      <c r="Z55">
        <f>INDEX('AEO 38'!AD:AD,MATCH('psgr LDVs'!$B55,'AEO 38'!$B:$B,0))</f>
        <v>0.50678500000000004</v>
      </c>
      <c r="AA55">
        <f>INDEX('AEO 38'!AE:AE,MATCH('psgr LDVs'!$B55,'AEO 38'!$B:$B,0))</f>
        <v>0.50928600000000002</v>
      </c>
      <c r="AB55">
        <f>INDEX('AEO 38'!AF:AF,MATCH('psgr LDVs'!$B55,'AEO 38'!$B:$B,0))</f>
        <v>0.517814</v>
      </c>
      <c r="AC55">
        <f>INDEX('AEO 38'!AG:AG,MATCH('psgr LDVs'!$B55,'AEO 38'!$B:$B,0))</f>
        <v>0.52007300000000001</v>
      </c>
      <c r="AD55">
        <f>INDEX('AEO 38'!AH:AH,MATCH('psgr LDVs'!$B55,'AEO 38'!$B:$B,0))</f>
        <v>0.51906799999999997</v>
      </c>
      <c r="AE55">
        <f>INDEX('AEO 38'!AI:AI,MATCH('psgr LDVs'!$B55,'AEO 38'!$B:$B,0))</f>
        <v>0.52413200000000004</v>
      </c>
      <c r="AF55">
        <f>INDEX('AEO 38'!AJ:AJ,MATCH('psgr LDVs'!$B55,'AEO 38'!$B:$B,0))</f>
        <v>0.52189600000000003</v>
      </c>
      <c r="AG55">
        <f>INDEX('AEO 38'!AK:AK,MATCH('psgr LDVs'!$B55,'AEO 38'!$B:$B,0))</f>
        <v>0.521648</v>
      </c>
    </row>
    <row r="56" spans="1:33" ht="13.6">
      <c r="A56" s="114" t="s">
        <v>853</v>
      </c>
      <c r="B56" s="110" t="s">
        <v>926</v>
      </c>
      <c r="C56">
        <f>INDEX('AEO 38'!G:G,MATCH('psgr LDVs'!$B56,'AEO 38'!$B:$B,0))</f>
        <v>0.55315300000000001</v>
      </c>
      <c r="D56">
        <f>INDEX('AEO 38'!H:H,MATCH('psgr LDVs'!$B56,'AEO 38'!$B:$B,0))</f>
        <v>0.58484800000000003</v>
      </c>
      <c r="E56">
        <f>INDEX('AEO 38'!I:I,MATCH('psgr LDVs'!$B56,'AEO 38'!$B:$B,0))</f>
        <v>0.64725900000000003</v>
      </c>
      <c r="F56">
        <f>INDEX('AEO 38'!J:J,MATCH('psgr LDVs'!$B56,'AEO 38'!$B:$B,0))</f>
        <v>0.65540200000000004</v>
      </c>
      <c r="G56">
        <f>INDEX('AEO 38'!K:K,MATCH('psgr LDVs'!$B56,'AEO 38'!$B:$B,0))</f>
        <v>0.66368400000000005</v>
      </c>
      <c r="H56">
        <f>INDEX('AEO 38'!L:L,MATCH('psgr LDVs'!$B56,'AEO 38'!$B:$B,0))</f>
        <v>0.66954100000000005</v>
      </c>
      <c r="I56">
        <f>INDEX('AEO 38'!M:M,MATCH('psgr LDVs'!$B56,'AEO 38'!$B:$B,0))</f>
        <v>0.66135900000000003</v>
      </c>
      <c r="J56">
        <f>INDEX('AEO 38'!N:N,MATCH('psgr LDVs'!$B56,'AEO 38'!$B:$B,0))</f>
        <v>0.65037699999999998</v>
      </c>
      <c r="K56">
        <f>INDEX('AEO 38'!O:O,MATCH('psgr LDVs'!$B56,'AEO 38'!$B:$B,0))</f>
        <v>0.655528</v>
      </c>
      <c r="L56">
        <f>INDEX('AEO 38'!P:P,MATCH('psgr LDVs'!$B56,'AEO 38'!$B:$B,0))</f>
        <v>0.658057</v>
      </c>
      <c r="M56">
        <f>INDEX('AEO 38'!Q:Q,MATCH('psgr LDVs'!$B56,'AEO 38'!$B:$B,0))</f>
        <v>0.66197300000000003</v>
      </c>
      <c r="N56">
        <f>INDEX('AEO 38'!R:R,MATCH('psgr LDVs'!$B56,'AEO 38'!$B:$B,0))</f>
        <v>0.66510400000000003</v>
      </c>
      <c r="O56">
        <f>INDEX('AEO 38'!S:S,MATCH('psgr LDVs'!$B56,'AEO 38'!$B:$B,0))</f>
        <v>0.66882799999999998</v>
      </c>
      <c r="P56">
        <f>INDEX('AEO 38'!T:T,MATCH('psgr LDVs'!$B56,'AEO 38'!$B:$B,0))</f>
        <v>0.67204200000000003</v>
      </c>
      <c r="Q56">
        <f>INDEX('AEO 38'!U:U,MATCH('psgr LDVs'!$B56,'AEO 38'!$B:$B,0))</f>
        <v>0.67763099999999998</v>
      </c>
      <c r="R56">
        <f>INDEX('AEO 38'!V:V,MATCH('psgr LDVs'!$B56,'AEO 38'!$B:$B,0))</f>
        <v>0.67803500000000005</v>
      </c>
      <c r="S56">
        <f>INDEX('AEO 38'!W:W,MATCH('psgr LDVs'!$B56,'AEO 38'!$B:$B,0))</f>
        <v>0.67215499999999995</v>
      </c>
      <c r="T56">
        <f>INDEX('AEO 38'!X:X,MATCH('psgr LDVs'!$B56,'AEO 38'!$B:$B,0))</f>
        <v>0.66730699999999998</v>
      </c>
      <c r="U56">
        <f>INDEX('AEO 38'!Y:Y,MATCH('psgr LDVs'!$B56,'AEO 38'!$B:$B,0))</f>
        <v>0.66812700000000003</v>
      </c>
      <c r="V56">
        <f>INDEX('AEO 38'!Z:Z,MATCH('psgr LDVs'!$B56,'AEO 38'!$B:$B,0))</f>
        <v>0.66622700000000001</v>
      </c>
      <c r="W56">
        <f>INDEX('AEO 38'!AA:AA,MATCH('psgr LDVs'!$B56,'AEO 38'!$B:$B,0))</f>
        <v>0.66366099999999995</v>
      </c>
      <c r="X56">
        <f>INDEX('AEO 38'!AB:AB,MATCH('psgr LDVs'!$B56,'AEO 38'!$B:$B,0))</f>
        <v>0.66194799999999998</v>
      </c>
      <c r="Y56">
        <f>INDEX('AEO 38'!AC:AC,MATCH('psgr LDVs'!$B56,'AEO 38'!$B:$B,0))</f>
        <v>0.66001600000000005</v>
      </c>
      <c r="Z56">
        <f>INDEX('AEO 38'!AD:AD,MATCH('psgr LDVs'!$B56,'AEO 38'!$B:$B,0))</f>
        <v>0.65696100000000002</v>
      </c>
      <c r="AA56">
        <f>INDEX('AEO 38'!AE:AE,MATCH('psgr LDVs'!$B56,'AEO 38'!$B:$B,0))</f>
        <v>0.65544199999999997</v>
      </c>
      <c r="AB56">
        <f>INDEX('AEO 38'!AF:AF,MATCH('psgr LDVs'!$B56,'AEO 38'!$B:$B,0))</f>
        <v>0.66126600000000002</v>
      </c>
      <c r="AC56">
        <f>INDEX('AEO 38'!AG:AG,MATCH('psgr LDVs'!$B56,'AEO 38'!$B:$B,0))</f>
        <v>0.65729000000000004</v>
      </c>
      <c r="AD56">
        <f>INDEX('AEO 38'!AH:AH,MATCH('psgr LDVs'!$B56,'AEO 38'!$B:$B,0))</f>
        <v>0.65231099999999997</v>
      </c>
      <c r="AE56">
        <f>INDEX('AEO 38'!AI:AI,MATCH('psgr LDVs'!$B56,'AEO 38'!$B:$B,0))</f>
        <v>0.65364599999999995</v>
      </c>
      <c r="AF56">
        <f>INDEX('AEO 38'!AJ:AJ,MATCH('psgr LDVs'!$B56,'AEO 38'!$B:$B,0))</f>
        <v>0.64876599999999995</v>
      </c>
      <c r="AG56">
        <f>INDEX('AEO 38'!AK:AK,MATCH('psgr LDVs'!$B56,'AEO 38'!$B:$B,0))</f>
        <v>0.64339400000000002</v>
      </c>
    </row>
    <row r="57" spans="1:33" ht="13.6">
      <c r="A57" s="114" t="s">
        <v>854</v>
      </c>
      <c r="B57" s="110" t="s">
        <v>927</v>
      </c>
      <c r="C57">
        <f>INDEX('AEO 38'!G:G,MATCH('psgr LDVs'!$B57,'AEO 38'!$B:$B,0))</f>
        <v>0</v>
      </c>
      <c r="D57">
        <f>INDEX('AEO 38'!H:H,MATCH('psgr LDVs'!$B57,'AEO 38'!$B:$B,0))</f>
        <v>0</v>
      </c>
      <c r="E57">
        <f>INDEX('AEO 38'!I:I,MATCH('psgr LDVs'!$B57,'AEO 38'!$B:$B,0))</f>
        <v>0</v>
      </c>
      <c r="F57">
        <f>INDEX('AEO 38'!J:J,MATCH('psgr LDVs'!$B57,'AEO 38'!$B:$B,0))</f>
        <v>0</v>
      </c>
      <c r="G57">
        <f>INDEX('AEO 38'!K:K,MATCH('psgr LDVs'!$B57,'AEO 38'!$B:$B,0))</f>
        <v>0</v>
      </c>
      <c r="H57">
        <f>INDEX('AEO 38'!L:L,MATCH('psgr LDVs'!$B57,'AEO 38'!$B:$B,0))</f>
        <v>0</v>
      </c>
      <c r="I57">
        <f>INDEX('AEO 38'!M:M,MATCH('psgr LDVs'!$B57,'AEO 38'!$B:$B,0))</f>
        <v>0</v>
      </c>
      <c r="J57">
        <f>INDEX('AEO 38'!N:N,MATCH('psgr LDVs'!$B57,'AEO 38'!$B:$B,0))</f>
        <v>0</v>
      </c>
      <c r="K57">
        <f>INDEX('AEO 38'!O:O,MATCH('psgr LDVs'!$B57,'AEO 38'!$B:$B,0))</f>
        <v>0</v>
      </c>
      <c r="L57">
        <f>INDEX('AEO 38'!P:P,MATCH('psgr LDVs'!$B57,'AEO 38'!$B:$B,0))</f>
        <v>0</v>
      </c>
      <c r="M57">
        <f>INDEX('AEO 38'!Q:Q,MATCH('psgr LDVs'!$B57,'AEO 38'!$B:$B,0))</f>
        <v>0</v>
      </c>
      <c r="N57">
        <f>INDEX('AEO 38'!R:R,MATCH('psgr LDVs'!$B57,'AEO 38'!$B:$B,0))</f>
        <v>0</v>
      </c>
      <c r="O57">
        <f>INDEX('AEO 38'!S:S,MATCH('psgr LDVs'!$B57,'AEO 38'!$B:$B,0))</f>
        <v>0</v>
      </c>
      <c r="P57">
        <f>INDEX('AEO 38'!T:T,MATCH('psgr LDVs'!$B57,'AEO 38'!$B:$B,0))</f>
        <v>0</v>
      </c>
      <c r="Q57">
        <f>INDEX('AEO 38'!U:U,MATCH('psgr LDVs'!$B57,'AEO 38'!$B:$B,0))</f>
        <v>0</v>
      </c>
      <c r="R57">
        <f>INDEX('AEO 38'!V:V,MATCH('psgr LDVs'!$B57,'AEO 38'!$B:$B,0))</f>
        <v>0</v>
      </c>
      <c r="S57">
        <f>INDEX('AEO 38'!W:W,MATCH('psgr LDVs'!$B57,'AEO 38'!$B:$B,0))</f>
        <v>0</v>
      </c>
      <c r="T57">
        <f>INDEX('AEO 38'!X:X,MATCH('psgr LDVs'!$B57,'AEO 38'!$B:$B,0))</f>
        <v>0</v>
      </c>
      <c r="U57">
        <f>INDEX('AEO 38'!Y:Y,MATCH('psgr LDVs'!$B57,'AEO 38'!$B:$B,0))</f>
        <v>0</v>
      </c>
      <c r="V57">
        <f>INDEX('AEO 38'!Z:Z,MATCH('psgr LDVs'!$B57,'AEO 38'!$B:$B,0))</f>
        <v>0</v>
      </c>
      <c r="W57">
        <f>INDEX('AEO 38'!AA:AA,MATCH('psgr LDVs'!$B57,'AEO 38'!$B:$B,0))</f>
        <v>0</v>
      </c>
      <c r="X57">
        <f>INDEX('AEO 38'!AB:AB,MATCH('psgr LDVs'!$B57,'AEO 38'!$B:$B,0))</f>
        <v>0</v>
      </c>
      <c r="Y57">
        <f>INDEX('AEO 38'!AC:AC,MATCH('psgr LDVs'!$B57,'AEO 38'!$B:$B,0))</f>
        <v>0</v>
      </c>
      <c r="Z57">
        <f>INDEX('AEO 38'!AD:AD,MATCH('psgr LDVs'!$B57,'AEO 38'!$B:$B,0))</f>
        <v>0</v>
      </c>
      <c r="AA57">
        <f>INDEX('AEO 38'!AE:AE,MATCH('psgr LDVs'!$B57,'AEO 38'!$B:$B,0))</f>
        <v>0</v>
      </c>
      <c r="AB57">
        <f>INDEX('AEO 38'!AF:AF,MATCH('psgr LDVs'!$B57,'AEO 38'!$B:$B,0))</f>
        <v>0</v>
      </c>
      <c r="AC57">
        <f>INDEX('AEO 38'!AG:AG,MATCH('psgr LDVs'!$B57,'AEO 38'!$B:$B,0))</f>
        <v>0</v>
      </c>
      <c r="AD57">
        <f>INDEX('AEO 38'!AH:AH,MATCH('psgr LDVs'!$B57,'AEO 38'!$B:$B,0))</f>
        <v>0</v>
      </c>
      <c r="AE57">
        <f>INDEX('AEO 38'!AI:AI,MATCH('psgr LDVs'!$B57,'AEO 38'!$B:$B,0))</f>
        <v>0</v>
      </c>
      <c r="AF57">
        <f>INDEX('AEO 38'!AJ:AJ,MATCH('psgr LDVs'!$B57,'AEO 38'!$B:$B,0))</f>
        <v>0</v>
      </c>
      <c r="AG57">
        <f>INDEX('AEO 38'!AK:AK,MATCH('psgr LDVs'!$B57,'AEO 38'!$B:$B,0))</f>
        <v>0</v>
      </c>
    </row>
    <row r="58" spans="1:33" ht="13.6">
      <c r="A58" s="114" t="s">
        <v>854</v>
      </c>
      <c r="B58" s="110" t="s">
        <v>928</v>
      </c>
      <c r="C58">
        <f>INDEX('AEO 38'!G:G,MATCH('psgr LDVs'!$B58,'AEO 38'!$B:$B,0))</f>
        <v>0.17832799999999999</v>
      </c>
      <c r="D58">
        <f>INDEX('AEO 38'!H:H,MATCH('psgr LDVs'!$B58,'AEO 38'!$B:$B,0))</f>
        <v>0.18437400000000001</v>
      </c>
      <c r="E58">
        <f>INDEX('AEO 38'!I:I,MATCH('psgr LDVs'!$B58,'AEO 38'!$B:$B,0))</f>
        <v>0.21912999999999999</v>
      </c>
      <c r="F58">
        <f>INDEX('AEO 38'!J:J,MATCH('psgr LDVs'!$B58,'AEO 38'!$B:$B,0))</f>
        <v>0.24729699999999999</v>
      </c>
      <c r="G58">
        <f>INDEX('AEO 38'!K:K,MATCH('psgr LDVs'!$B58,'AEO 38'!$B:$B,0))</f>
        <v>0.283277</v>
      </c>
      <c r="H58">
        <f>INDEX('AEO 38'!L:L,MATCH('psgr LDVs'!$B58,'AEO 38'!$B:$B,0))</f>
        <v>0.33186599999999999</v>
      </c>
      <c r="I58">
        <f>INDEX('AEO 38'!M:M,MATCH('psgr LDVs'!$B58,'AEO 38'!$B:$B,0))</f>
        <v>0.37571900000000003</v>
      </c>
      <c r="J58">
        <f>INDEX('AEO 38'!N:N,MATCH('psgr LDVs'!$B58,'AEO 38'!$B:$B,0))</f>
        <v>0.42196699999999998</v>
      </c>
      <c r="K58">
        <f>INDEX('AEO 38'!O:O,MATCH('psgr LDVs'!$B58,'AEO 38'!$B:$B,0))</f>
        <v>0.48280099999999998</v>
      </c>
      <c r="L58">
        <f>INDEX('AEO 38'!P:P,MATCH('psgr LDVs'!$B58,'AEO 38'!$B:$B,0))</f>
        <v>0.54520800000000003</v>
      </c>
      <c r="M58">
        <f>INDEX('AEO 38'!Q:Q,MATCH('psgr LDVs'!$B58,'AEO 38'!$B:$B,0))</f>
        <v>0.61085900000000004</v>
      </c>
      <c r="N58">
        <f>INDEX('AEO 38'!R:R,MATCH('psgr LDVs'!$B58,'AEO 38'!$B:$B,0))</f>
        <v>0.67425599999999997</v>
      </c>
      <c r="O58">
        <f>INDEX('AEO 38'!S:S,MATCH('psgr LDVs'!$B58,'AEO 38'!$B:$B,0))</f>
        <v>0.73638300000000001</v>
      </c>
      <c r="P58">
        <f>INDEX('AEO 38'!T:T,MATCH('psgr LDVs'!$B58,'AEO 38'!$B:$B,0))</f>
        <v>0.79417099999999996</v>
      </c>
      <c r="Q58">
        <f>INDEX('AEO 38'!U:U,MATCH('psgr LDVs'!$B58,'AEO 38'!$B:$B,0))</f>
        <v>0.85042899999999999</v>
      </c>
      <c r="R58">
        <f>INDEX('AEO 38'!V:V,MATCH('psgr LDVs'!$B58,'AEO 38'!$B:$B,0))</f>
        <v>0.89630500000000002</v>
      </c>
      <c r="S58">
        <f>INDEX('AEO 38'!W:W,MATCH('psgr LDVs'!$B58,'AEO 38'!$B:$B,0))</f>
        <v>0.92880200000000002</v>
      </c>
      <c r="T58">
        <f>INDEX('AEO 38'!X:X,MATCH('psgr LDVs'!$B58,'AEO 38'!$B:$B,0))</f>
        <v>0.95828199999999997</v>
      </c>
      <c r="U58">
        <f>INDEX('AEO 38'!Y:Y,MATCH('psgr LDVs'!$B58,'AEO 38'!$B:$B,0))</f>
        <v>0.99207900000000004</v>
      </c>
      <c r="V58">
        <f>INDEX('AEO 38'!Z:Z,MATCH('psgr LDVs'!$B58,'AEO 38'!$B:$B,0))</f>
        <v>1.0194589999999999</v>
      </c>
      <c r="W58">
        <f>INDEX('AEO 38'!AA:AA,MATCH('psgr LDVs'!$B58,'AEO 38'!$B:$B,0))</f>
        <v>1.0433060000000001</v>
      </c>
      <c r="X58">
        <f>INDEX('AEO 38'!AB:AB,MATCH('psgr LDVs'!$B58,'AEO 38'!$B:$B,0))</f>
        <v>1.0675779999999999</v>
      </c>
      <c r="Y58">
        <f>INDEX('AEO 38'!AC:AC,MATCH('psgr LDVs'!$B58,'AEO 38'!$B:$B,0))</f>
        <v>1.0908180000000001</v>
      </c>
      <c r="Z58">
        <f>INDEX('AEO 38'!AD:AD,MATCH('psgr LDVs'!$B58,'AEO 38'!$B:$B,0))</f>
        <v>1.110843</v>
      </c>
      <c r="AA58">
        <f>INDEX('AEO 38'!AE:AE,MATCH('psgr LDVs'!$B58,'AEO 38'!$B:$B,0))</f>
        <v>1.133713</v>
      </c>
      <c r="AB58">
        <f>INDEX('AEO 38'!AF:AF,MATCH('psgr LDVs'!$B58,'AEO 38'!$B:$B,0))</f>
        <v>1.169284</v>
      </c>
      <c r="AC58">
        <f>INDEX('AEO 38'!AG:AG,MATCH('psgr LDVs'!$B58,'AEO 38'!$B:$B,0))</f>
        <v>1.1889510000000001</v>
      </c>
      <c r="AD58">
        <f>INDEX('AEO 38'!AH:AH,MATCH('psgr LDVs'!$B58,'AEO 38'!$B:$B,0))</f>
        <v>1.2056260000000001</v>
      </c>
      <c r="AE58">
        <f>INDEX('AEO 38'!AI:AI,MATCH('psgr LDVs'!$B58,'AEO 38'!$B:$B,0))</f>
        <v>1.2346550000000001</v>
      </c>
      <c r="AF58">
        <f>INDEX('AEO 38'!AJ:AJ,MATCH('psgr LDVs'!$B58,'AEO 38'!$B:$B,0))</f>
        <v>1.250848</v>
      </c>
      <c r="AG58">
        <f>INDEX('AEO 38'!AK:AK,MATCH('psgr LDVs'!$B58,'AEO 38'!$B:$B,0))</f>
        <v>1.266985</v>
      </c>
    </row>
    <row r="59" spans="1:33" ht="13.6">
      <c r="A59" s="114"/>
      <c r="B59" s="110" t="s">
        <v>929</v>
      </c>
      <c r="C59">
        <f>INDEX('AEO 38'!G:G,MATCH('psgr LDVs'!$B59,'AEO 38'!$B:$B,0))</f>
        <v>346.935272</v>
      </c>
      <c r="D59">
        <f>INDEX('AEO 38'!H:H,MATCH('psgr LDVs'!$B59,'AEO 38'!$B:$B,0))</f>
        <v>366.23074300000002</v>
      </c>
      <c r="E59">
        <f>INDEX('AEO 38'!I:I,MATCH('psgr LDVs'!$B59,'AEO 38'!$B:$B,0))</f>
        <v>417.21722399999999</v>
      </c>
      <c r="F59">
        <f>INDEX('AEO 38'!J:J,MATCH('psgr LDVs'!$B59,'AEO 38'!$B:$B,0))</f>
        <v>436.024811</v>
      </c>
      <c r="G59">
        <f>INDEX('AEO 38'!K:K,MATCH('psgr LDVs'!$B59,'AEO 38'!$B:$B,0))</f>
        <v>459.848816</v>
      </c>
      <c r="H59">
        <f>INDEX('AEO 38'!L:L,MATCH('psgr LDVs'!$B59,'AEO 38'!$B:$B,0))</f>
        <v>483.04775999999998</v>
      </c>
      <c r="I59">
        <f>INDEX('AEO 38'!M:M,MATCH('psgr LDVs'!$B59,'AEO 38'!$B:$B,0))</f>
        <v>502.50482199999999</v>
      </c>
      <c r="J59">
        <f>INDEX('AEO 38'!N:N,MATCH('psgr LDVs'!$B59,'AEO 38'!$B:$B,0))</f>
        <v>525.64086899999995</v>
      </c>
      <c r="K59">
        <f>INDEX('AEO 38'!O:O,MATCH('psgr LDVs'!$B59,'AEO 38'!$B:$B,0))</f>
        <v>568.70343000000003</v>
      </c>
      <c r="L59">
        <f>INDEX('AEO 38'!P:P,MATCH('psgr LDVs'!$B59,'AEO 38'!$B:$B,0))</f>
        <v>602.35955799999999</v>
      </c>
      <c r="M59">
        <f>INDEX('AEO 38'!Q:Q,MATCH('psgr LDVs'!$B59,'AEO 38'!$B:$B,0))</f>
        <v>644.92663600000003</v>
      </c>
      <c r="N59">
        <f>INDEX('AEO 38'!R:R,MATCH('psgr LDVs'!$B59,'AEO 38'!$B:$B,0))</f>
        <v>686.01440400000001</v>
      </c>
      <c r="O59">
        <f>INDEX('AEO 38'!S:S,MATCH('psgr LDVs'!$B59,'AEO 38'!$B:$B,0))</f>
        <v>730.05273399999999</v>
      </c>
      <c r="P59">
        <f>INDEX('AEO 38'!T:T,MATCH('psgr LDVs'!$B59,'AEO 38'!$B:$B,0))</f>
        <v>776.91992200000004</v>
      </c>
      <c r="Q59">
        <f>INDEX('AEO 38'!U:U,MATCH('psgr LDVs'!$B59,'AEO 38'!$B:$B,0))</f>
        <v>829.09399399999995</v>
      </c>
      <c r="R59">
        <f>INDEX('AEO 38'!V:V,MATCH('psgr LDVs'!$B59,'AEO 38'!$B:$B,0))</f>
        <v>875.03411900000003</v>
      </c>
      <c r="S59">
        <f>INDEX('AEO 38'!W:W,MATCH('psgr LDVs'!$B59,'AEO 38'!$B:$B,0))</f>
        <v>911.12616000000003</v>
      </c>
      <c r="T59">
        <f>INDEX('AEO 38'!X:X,MATCH('psgr LDVs'!$B59,'AEO 38'!$B:$B,0))</f>
        <v>950.02514599999995</v>
      </c>
      <c r="U59">
        <f>INDEX('AEO 38'!Y:Y,MATCH('psgr LDVs'!$B59,'AEO 38'!$B:$B,0))</f>
        <v>997.61016800000004</v>
      </c>
      <c r="V59">
        <f>INDEX('AEO 38'!Z:Z,MATCH('psgr LDVs'!$B59,'AEO 38'!$B:$B,0))</f>
        <v>1040.204346</v>
      </c>
      <c r="W59">
        <f>INDEX('AEO 38'!AA:AA,MATCH('psgr LDVs'!$B59,'AEO 38'!$B:$B,0))</f>
        <v>1081.1759030000001</v>
      </c>
      <c r="X59">
        <f>INDEX('AEO 38'!AB:AB,MATCH('psgr LDVs'!$B59,'AEO 38'!$B:$B,0))</f>
        <v>1117.3350829999999</v>
      </c>
      <c r="Y59">
        <f>INDEX('AEO 38'!AC:AC,MATCH('psgr LDVs'!$B59,'AEO 38'!$B:$B,0))</f>
        <v>1150.3082280000001</v>
      </c>
      <c r="Z59">
        <f>INDEX('AEO 38'!AD:AD,MATCH('psgr LDVs'!$B59,'AEO 38'!$B:$B,0))</f>
        <v>1181.4125979999999</v>
      </c>
      <c r="AA59">
        <f>INDEX('AEO 38'!AE:AE,MATCH('psgr LDVs'!$B59,'AEO 38'!$B:$B,0))</f>
        <v>1217.249634</v>
      </c>
      <c r="AB59">
        <f>INDEX('AEO 38'!AF:AF,MATCH('psgr LDVs'!$B59,'AEO 38'!$B:$B,0))</f>
        <v>1268.7094729999999</v>
      </c>
      <c r="AC59">
        <f>INDEX('AEO 38'!AG:AG,MATCH('psgr LDVs'!$B59,'AEO 38'!$B:$B,0))</f>
        <v>1302.913452</v>
      </c>
      <c r="AD59">
        <f>INDEX('AEO 38'!AH:AH,MATCH('psgr LDVs'!$B59,'AEO 38'!$B:$B,0))</f>
        <v>1334.0649410000001</v>
      </c>
      <c r="AE59">
        <f>INDEX('AEO 38'!AI:AI,MATCH('psgr LDVs'!$B59,'AEO 38'!$B:$B,0))</f>
        <v>1379.4960940000001</v>
      </c>
      <c r="AF59">
        <f>INDEX('AEO 38'!AJ:AJ,MATCH('psgr LDVs'!$B59,'AEO 38'!$B:$B,0))</f>
        <v>1413.8126219999999</v>
      </c>
      <c r="AG59">
        <f>INDEX('AEO 38'!AK:AK,MATCH('psgr LDVs'!$B59,'AEO 38'!$B:$B,0))</f>
        <v>1448.9676509999999</v>
      </c>
    </row>
    <row r="60" spans="1:33" ht="13.6">
      <c r="A60" s="114"/>
      <c r="B60" s="110" t="s">
        <v>930</v>
      </c>
      <c r="C60">
        <f>INDEX('AEO 38'!G:G,MATCH('psgr LDVs'!$B60,'AEO 38'!$B:$B,0))</f>
        <v>7.2617570000000002</v>
      </c>
      <c r="D60">
        <f>INDEX('AEO 38'!H:H,MATCH('psgr LDVs'!$B60,'AEO 38'!$B:$B,0))</f>
        <v>7.1317060000000003</v>
      </c>
      <c r="E60">
        <f>INDEX('AEO 38'!I:I,MATCH('psgr LDVs'!$B60,'AEO 38'!$B:$B,0))</f>
        <v>7.3713329999999999</v>
      </c>
      <c r="F60">
        <f>INDEX('AEO 38'!J:J,MATCH('psgr LDVs'!$B60,'AEO 38'!$B:$B,0))</f>
        <v>7.6314289999999998</v>
      </c>
      <c r="G60">
        <f>INDEX('AEO 38'!K:K,MATCH('psgr LDVs'!$B60,'AEO 38'!$B:$B,0))</f>
        <v>7.9388050000000003</v>
      </c>
      <c r="H60">
        <f>INDEX('AEO 38'!L:L,MATCH('psgr LDVs'!$B60,'AEO 38'!$B:$B,0))</f>
        <v>8.25793</v>
      </c>
      <c r="I60">
        <f>INDEX('AEO 38'!M:M,MATCH('psgr LDVs'!$B60,'AEO 38'!$B:$B,0))</f>
        <v>8.6959309999999999</v>
      </c>
      <c r="J60">
        <f>INDEX('AEO 38'!N:N,MATCH('psgr LDVs'!$B60,'AEO 38'!$B:$B,0))</f>
        <v>9.2486280000000001</v>
      </c>
      <c r="K60">
        <f>INDEX('AEO 38'!O:O,MATCH('psgr LDVs'!$B60,'AEO 38'!$B:$B,0))</f>
        <v>9.9263720000000006</v>
      </c>
      <c r="L60">
        <f>INDEX('AEO 38'!P:P,MATCH('psgr LDVs'!$B60,'AEO 38'!$B:$B,0))</f>
        <v>10.470497</v>
      </c>
      <c r="M60">
        <f>INDEX('AEO 38'!Q:Q,MATCH('psgr LDVs'!$B60,'AEO 38'!$B:$B,0))</f>
        <v>11.130689</v>
      </c>
      <c r="N60">
        <f>INDEX('AEO 38'!R:R,MATCH('psgr LDVs'!$B60,'AEO 38'!$B:$B,0))</f>
        <v>11.797069</v>
      </c>
      <c r="O60">
        <f>INDEX('AEO 38'!S:S,MATCH('psgr LDVs'!$B60,'AEO 38'!$B:$B,0))</f>
        <v>12.471461</v>
      </c>
      <c r="P60">
        <f>INDEX('AEO 38'!T:T,MATCH('psgr LDVs'!$B60,'AEO 38'!$B:$B,0))</f>
        <v>13.203564999999999</v>
      </c>
      <c r="Q60">
        <f>INDEX('AEO 38'!U:U,MATCH('psgr LDVs'!$B60,'AEO 38'!$B:$B,0))</f>
        <v>13.967699</v>
      </c>
      <c r="R60">
        <f>INDEX('AEO 38'!V:V,MATCH('psgr LDVs'!$B60,'AEO 38'!$B:$B,0))</f>
        <v>14.725889</v>
      </c>
      <c r="S60">
        <f>INDEX('AEO 38'!W:W,MATCH('psgr LDVs'!$B60,'AEO 38'!$B:$B,0))</f>
        <v>15.443156</v>
      </c>
      <c r="T60">
        <f>INDEX('AEO 38'!X:X,MATCH('psgr LDVs'!$B60,'AEO 38'!$B:$B,0))</f>
        <v>16.196693</v>
      </c>
      <c r="U60">
        <f>INDEX('AEO 38'!Y:Y,MATCH('psgr LDVs'!$B60,'AEO 38'!$B:$B,0))</f>
        <v>16.973568</v>
      </c>
      <c r="V60">
        <f>INDEX('AEO 38'!Z:Z,MATCH('psgr LDVs'!$B60,'AEO 38'!$B:$B,0))</f>
        <v>17.735476999999999</v>
      </c>
      <c r="W60">
        <f>INDEX('AEO 38'!AA:AA,MATCH('psgr LDVs'!$B60,'AEO 38'!$B:$B,0))</f>
        <v>18.487103999999999</v>
      </c>
      <c r="X60">
        <f>INDEX('AEO 38'!AB:AB,MATCH('psgr LDVs'!$B60,'AEO 38'!$B:$B,0))</f>
        <v>19.144907</v>
      </c>
      <c r="Y60">
        <f>INDEX('AEO 38'!AC:AC,MATCH('psgr LDVs'!$B60,'AEO 38'!$B:$B,0))</f>
        <v>19.756143999999999</v>
      </c>
      <c r="Z60">
        <f>INDEX('AEO 38'!AD:AD,MATCH('psgr LDVs'!$B60,'AEO 38'!$B:$B,0))</f>
        <v>20.37764</v>
      </c>
      <c r="AA60">
        <f>INDEX('AEO 38'!AE:AE,MATCH('psgr LDVs'!$B60,'AEO 38'!$B:$B,0))</f>
        <v>21.032349</v>
      </c>
      <c r="AB60">
        <f>INDEX('AEO 38'!AF:AF,MATCH('psgr LDVs'!$B60,'AEO 38'!$B:$B,0))</f>
        <v>21.722670000000001</v>
      </c>
      <c r="AC60">
        <f>INDEX('AEO 38'!AG:AG,MATCH('psgr LDVs'!$B60,'AEO 38'!$B:$B,0))</f>
        <v>22.431474999999999</v>
      </c>
      <c r="AD60">
        <f>INDEX('AEO 38'!AH:AH,MATCH('psgr LDVs'!$B60,'AEO 38'!$B:$B,0))</f>
        <v>23.125471000000001</v>
      </c>
      <c r="AE60">
        <f>INDEX('AEO 38'!AI:AI,MATCH('psgr LDVs'!$B60,'AEO 38'!$B:$B,0))</f>
        <v>23.84638</v>
      </c>
      <c r="AF60">
        <f>INDEX('AEO 38'!AJ:AJ,MATCH('psgr LDVs'!$B60,'AEO 38'!$B:$B,0))</f>
        <v>24.602717999999999</v>
      </c>
      <c r="AG60">
        <f>INDEX('AEO 38'!AK:AK,MATCH('psgr LDVs'!$B60,'AEO 38'!$B:$B,0))</f>
        <v>25.411739000000001</v>
      </c>
    </row>
    <row r="61" spans="1:33" ht="13.6">
      <c r="A61" s="114"/>
      <c r="B61" s="110" t="s">
        <v>932</v>
      </c>
      <c r="C61">
        <f>INDEX('AEO 38'!G:G,MATCH('psgr LDVs'!$B61,'AEO 38'!$B:$B,0))</f>
        <v>4777.5668949999999</v>
      </c>
      <c r="D61">
        <f>INDEX('AEO 38'!H:H,MATCH('psgr LDVs'!$B61,'AEO 38'!$B:$B,0))</f>
        <v>5135.2470700000003</v>
      </c>
      <c r="E61">
        <f>INDEX('AEO 38'!I:I,MATCH('psgr LDVs'!$B61,'AEO 38'!$B:$B,0))</f>
        <v>5659.9975590000004</v>
      </c>
      <c r="F61">
        <f>INDEX('AEO 38'!J:J,MATCH('psgr LDVs'!$B61,'AEO 38'!$B:$B,0))</f>
        <v>5713.5405270000001</v>
      </c>
      <c r="G61">
        <f>INDEX('AEO 38'!K:K,MATCH('psgr LDVs'!$B61,'AEO 38'!$B:$B,0))</f>
        <v>5792.4189450000003</v>
      </c>
      <c r="H61">
        <f>INDEX('AEO 38'!L:L,MATCH('psgr LDVs'!$B61,'AEO 38'!$B:$B,0))</f>
        <v>5849.501953</v>
      </c>
      <c r="I61">
        <f>INDEX('AEO 38'!M:M,MATCH('psgr LDVs'!$B61,'AEO 38'!$B:$B,0))</f>
        <v>5778.6196289999998</v>
      </c>
      <c r="J61">
        <f>INDEX('AEO 38'!N:N,MATCH('psgr LDVs'!$B61,'AEO 38'!$B:$B,0))</f>
        <v>5683.4472660000001</v>
      </c>
      <c r="K61">
        <f>INDEX('AEO 38'!O:O,MATCH('psgr LDVs'!$B61,'AEO 38'!$B:$B,0))</f>
        <v>5729.2172849999997</v>
      </c>
      <c r="L61">
        <f>INDEX('AEO 38'!P:P,MATCH('psgr LDVs'!$B61,'AEO 38'!$B:$B,0))</f>
        <v>5752.921875</v>
      </c>
      <c r="M61">
        <f>INDEX('AEO 38'!Q:Q,MATCH('psgr LDVs'!$B61,'AEO 38'!$B:$B,0))</f>
        <v>5794.1308589999999</v>
      </c>
      <c r="N61">
        <f>INDEX('AEO 38'!R:R,MATCH('psgr LDVs'!$B61,'AEO 38'!$B:$B,0))</f>
        <v>5815.1259769999997</v>
      </c>
      <c r="O61">
        <f>INDEX('AEO 38'!S:S,MATCH('psgr LDVs'!$B61,'AEO 38'!$B:$B,0))</f>
        <v>5853.7866210000002</v>
      </c>
      <c r="P61">
        <f>INDEX('AEO 38'!T:T,MATCH('psgr LDVs'!$B61,'AEO 38'!$B:$B,0))</f>
        <v>5884.1684569999998</v>
      </c>
      <c r="Q61">
        <f>INDEX('AEO 38'!U:U,MATCH('psgr LDVs'!$B61,'AEO 38'!$B:$B,0))</f>
        <v>5935.794922</v>
      </c>
      <c r="R61">
        <f>INDEX('AEO 38'!V:V,MATCH('psgr LDVs'!$B61,'AEO 38'!$B:$B,0))</f>
        <v>5942.1479490000002</v>
      </c>
      <c r="S61">
        <f>INDEX('AEO 38'!W:W,MATCH('psgr LDVs'!$B61,'AEO 38'!$B:$B,0))</f>
        <v>5899.8701170000004</v>
      </c>
      <c r="T61">
        <f>INDEX('AEO 38'!X:X,MATCH('psgr LDVs'!$B61,'AEO 38'!$B:$B,0))</f>
        <v>5865.5498049999997</v>
      </c>
      <c r="U61">
        <f>INDEX('AEO 38'!Y:Y,MATCH('psgr LDVs'!$B61,'AEO 38'!$B:$B,0))</f>
        <v>5877.4335940000001</v>
      </c>
      <c r="V61">
        <f>INDEX('AEO 38'!Z:Z,MATCH('psgr LDVs'!$B61,'AEO 38'!$B:$B,0))</f>
        <v>5865.1044920000004</v>
      </c>
      <c r="W61">
        <f>INDEX('AEO 38'!AA:AA,MATCH('psgr LDVs'!$B61,'AEO 38'!$B:$B,0))</f>
        <v>5848.2705079999996</v>
      </c>
      <c r="X61">
        <f>INDEX('AEO 38'!AB:AB,MATCH('psgr LDVs'!$B61,'AEO 38'!$B:$B,0))</f>
        <v>5836.1997069999998</v>
      </c>
      <c r="Y61">
        <f>INDEX('AEO 38'!AC:AC,MATCH('psgr LDVs'!$B61,'AEO 38'!$B:$B,0))</f>
        <v>5822.5346680000002</v>
      </c>
      <c r="Z61">
        <f>INDEX('AEO 38'!AD:AD,MATCH('psgr LDVs'!$B61,'AEO 38'!$B:$B,0))</f>
        <v>5797.5927730000003</v>
      </c>
      <c r="AA61">
        <f>INDEX('AEO 38'!AE:AE,MATCH('psgr LDVs'!$B61,'AEO 38'!$B:$B,0))</f>
        <v>5787.5117190000001</v>
      </c>
      <c r="AB61">
        <f>INDEX('AEO 38'!AF:AF,MATCH('psgr LDVs'!$B61,'AEO 38'!$B:$B,0))</f>
        <v>5840.4858400000003</v>
      </c>
      <c r="AC61">
        <f>INDEX('AEO 38'!AG:AG,MATCH('psgr LDVs'!$B61,'AEO 38'!$B:$B,0))</f>
        <v>5808.4165039999998</v>
      </c>
      <c r="AD61">
        <f>INDEX('AEO 38'!AH:AH,MATCH('psgr LDVs'!$B61,'AEO 38'!$B:$B,0))</f>
        <v>5768.8120120000003</v>
      </c>
      <c r="AE61">
        <f>INDEX('AEO 38'!AI:AI,MATCH('psgr LDVs'!$B61,'AEO 38'!$B:$B,0))</f>
        <v>5784.9287109999996</v>
      </c>
      <c r="AF61">
        <f>INDEX('AEO 38'!AJ:AJ,MATCH('psgr LDVs'!$B61,'AEO 38'!$B:$B,0))</f>
        <v>5746.5708009999998</v>
      </c>
      <c r="AG61">
        <f>INDEX('AEO 38'!AK:AK,MATCH('psgr LDVs'!$B61,'AEO 38'!$B:$B,0))</f>
        <v>5701.9614259999998</v>
      </c>
    </row>
    <row r="62" spans="1:33" ht="13.6">
      <c r="A62" s="114" t="s">
        <v>114</v>
      </c>
      <c r="B62" s="110" t="s">
        <v>934</v>
      </c>
      <c r="C62">
        <f>INDEX('AEO 38'!G:G,MATCH('psgr LDVs'!$B62,'AEO 38'!$B:$B,0))</f>
        <v>6511.5112300000001</v>
      </c>
      <c r="D62">
        <f>INDEX('AEO 38'!H:H,MATCH('psgr LDVs'!$B62,'AEO 38'!$B:$B,0))</f>
        <v>7292.9345700000003</v>
      </c>
      <c r="E62">
        <f>INDEX('AEO 38'!I:I,MATCH('psgr LDVs'!$B62,'AEO 38'!$B:$B,0))</f>
        <v>7525.9262699999999</v>
      </c>
      <c r="F62">
        <f>INDEX('AEO 38'!J:J,MATCH('psgr LDVs'!$B62,'AEO 38'!$B:$B,0))</f>
        <v>7716.5991210000002</v>
      </c>
      <c r="G62">
        <f>INDEX('AEO 38'!K:K,MATCH('psgr LDVs'!$B62,'AEO 38'!$B:$B,0))</f>
        <v>8010.6342770000001</v>
      </c>
      <c r="H62">
        <f>INDEX('AEO 38'!L:L,MATCH('psgr LDVs'!$B62,'AEO 38'!$B:$B,0))</f>
        <v>8217.6806639999995</v>
      </c>
      <c r="I62">
        <f>INDEX('AEO 38'!M:M,MATCH('psgr LDVs'!$B62,'AEO 38'!$B:$B,0))</f>
        <v>8112.4086909999996</v>
      </c>
      <c r="J62">
        <f>INDEX('AEO 38'!N:N,MATCH('psgr LDVs'!$B62,'AEO 38'!$B:$B,0))</f>
        <v>7927.6225590000004</v>
      </c>
      <c r="K62">
        <f>INDEX('AEO 38'!O:O,MATCH('psgr LDVs'!$B62,'AEO 38'!$B:$B,0))</f>
        <v>7939.861328</v>
      </c>
      <c r="L62">
        <f>INDEX('AEO 38'!P:P,MATCH('psgr LDVs'!$B62,'AEO 38'!$B:$B,0))</f>
        <v>7908.939453</v>
      </c>
      <c r="M62">
        <f>INDEX('AEO 38'!Q:Q,MATCH('psgr LDVs'!$B62,'AEO 38'!$B:$B,0))</f>
        <v>7718.6572269999997</v>
      </c>
      <c r="N62">
        <f>INDEX('AEO 38'!R:R,MATCH('psgr LDVs'!$B62,'AEO 38'!$B:$B,0))</f>
        <v>7683.6752930000002</v>
      </c>
      <c r="O62">
        <f>INDEX('AEO 38'!S:S,MATCH('psgr LDVs'!$B62,'AEO 38'!$B:$B,0))</f>
        <v>7655.0903319999998</v>
      </c>
      <c r="P62">
        <f>INDEX('AEO 38'!T:T,MATCH('psgr LDVs'!$B62,'AEO 38'!$B:$B,0))</f>
        <v>7618.3012699999999</v>
      </c>
      <c r="Q62">
        <f>INDEX('AEO 38'!U:U,MATCH('psgr LDVs'!$B62,'AEO 38'!$B:$B,0))</f>
        <v>7564.6049800000001</v>
      </c>
      <c r="R62">
        <f>INDEX('AEO 38'!V:V,MATCH('psgr LDVs'!$B62,'AEO 38'!$B:$B,0))</f>
        <v>7588.0214839999999</v>
      </c>
      <c r="S62">
        <f>INDEX('AEO 38'!W:W,MATCH('psgr LDVs'!$B62,'AEO 38'!$B:$B,0))</f>
        <v>7548.6801759999998</v>
      </c>
      <c r="T62">
        <f>INDEX('AEO 38'!X:X,MATCH('psgr LDVs'!$B62,'AEO 38'!$B:$B,0))</f>
        <v>7479.4257809999999</v>
      </c>
      <c r="U62">
        <f>INDEX('AEO 38'!Y:Y,MATCH('psgr LDVs'!$B62,'AEO 38'!$B:$B,0))</f>
        <v>7456.2070309999999</v>
      </c>
      <c r="V62">
        <f>INDEX('AEO 38'!Z:Z,MATCH('psgr LDVs'!$B62,'AEO 38'!$B:$B,0))</f>
        <v>7444.9130859999996</v>
      </c>
      <c r="W62">
        <f>INDEX('AEO 38'!AA:AA,MATCH('psgr LDVs'!$B62,'AEO 38'!$B:$B,0))</f>
        <v>7408.1596680000002</v>
      </c>
      <c r="X62">
        <f>INDEX('AEO 38'!AB:AB,MATCH('psgr LDVs'!$B62,'AEO 38'!$B:$B,0))</f>
        <v>7379.0336909999996</v>
      </c>
      <c r="Y62">
        <f>INDEX('AEO 38'!AC:AC,MATCH('psgr LDVs'!$B62,'AEO 38'!$B:$B,0))</f>
        <v>7367.5815430000002</v>
      </c>
      <c r="Z62">
        <f>INDEX('AEO 38'!AD:AD,MATCH('psgr LDVs'!$B62,'AEO 38'!$B:$B,0))</f>
        <v>7330.8530270000001</v>
      </c>
      <c r="AA62">
        <f>INDEX('AEO 38'!AE:AE,MATCH('psgr LDVs'!$B62,'AEO 38'!$B:$B,0))</f>
        <v>7297.3505859999996</v>
      </c>
      <c r="AB62">
        <f>INDEX('AEO 38'!AF:AF,MATCH('psgr LDVs'!$B62,'AEO 38'!$B:$B,0))</f>
        <v>7318.8364259999998</v>
      </c>
      <c r="AC62">
        <f>INDEX('AEO 38'!AG:AG,MATCH('psgr LDVs'!$B62,'AEO 38'!$B:$B,0))</f>
        <v>7272.265625</v>
      </c>
      <c r="AD62">
        <f>INDEX('AEO 38'!AH:AH,MATCH('psgr LDVs'!$B62,'AEO 38'!$B:$B,0))</f>
        <v>7213.9648440000001</v>
      </c>
      <c r="AE62">
        <f>INDEX('AEO 38'!AI:AI,MATCH('psgr LDVs'!$B62,'AEO 38'!$B:$B,0))</f>
        <v>7236.2163090000004</v>
      </c>
      <c r="AF62">
        <f>INDEX('AEO 38'!AJ:AJ,MATCH('psgr LDVs'!$B62,'AEO 38'!$B:$B,0))</f>
        <v>7160.7158200000003</v>
      </c>
      <c r="AG62">
        <f>INDEX('AEO 38'!AK:AK,MATCH('psgr LDVs'!$B62,'AEO 38'!$B:$B,0))</f>
        <v>7073.6337890000004</v>
      </c>
    </row>
    <row r="63" spans="1:33" ht="13.6">
      <c r="A63" s="114" t="s">
        <v>115</v>
      </c>
      <c r="B63" s="110" t="s">
        <v>935</v>
      </c>
      <c r="C63">
        <f>INDEX('AEO 38'!G:G,MATCH('psgr LDVs'!$B63,'AEO 38'!$B:$B,0))</f>
        <v>46.653286000000001</v>
      </c>
      <c r="D63">
        <f>INDEX('AEO 38'!H:H,MATCH('psgr LDVs'!$B63,'AEO 38'!$B:$B,0))</f>
        <v>86.627808000000002</v>
      </c>
      <c r="E63">
        <f>INDEX('AEO 38'!I:I,MATCH('psgr LDVs'!$B63,'AEO 38'!$B:$B,0))</f>
        <v>118.902939</v>
      </c>
      <c r="F63">
        <f>INDEX('AEO 38'!J:J,MATCH('psgr LDVs'!$B63,'AEO 38'!$B:$B,0))</f>
        <v>111.870407</v>
      </c>
      <c r="G63">
        <f>INDEX('AEO 38'!K:K,MATCH('psgr LDVs'!$B63,'AEO 38'!$B:$B,0))</f>
        <v>112.74366000000001</v>
      </c>
      <c r="H63">
        <f>INDEX('AEO 38'!L:L,MATCH('psgr LDVs'!$B63,'AEO 38'!$B:$B,0))</f>
        <v>118.86602000000001</v>
      </c>
      <c r="I63">
        <f>INDEX('AEO 38'!M:M,MATCH('psgr LDVs'!$B63,'AEO 38'!$B:$B,0))</f>
        <v>113.95781700000001</v>
      </c>
      <c r="J63">
        <f>INDEX('AEO 38'!N:N,MATCH('psgr LDVs'!$B63,'AEO 38'!$B:$B,0))</f>
        <v>110.3395</v>
      </c>
      <c r="K63">
        <f>INDEX('AEO 38'!O:O,MATCH('psgr LDVs'!$B63,'AEO 38'!$B:$B,0))</f>
        <v>114.477501</v>
      </c>
      <c r="L63">
        <f>INDEX('AEO 38'!P:P,MATCH('psgr LDVs'!$B63,'AEO 38'!$B:$B,0))</f>
        <v>115.45842</v>
      </c>
      <c r="M63">
        <f>INDEX('AEO 38'!Q:Q,MATCH('psgr LDVs'!$B63,'AEO 38'!$B:$B,0))</f>
        <v>113.54399100000001</v>
      </c>
      <c r="N63">
        <f>INDEX('AEO 38'!R:R,MATCH('psgr LDVs'!$B63,'AEO 38'!$B:$B,0))</f>
        <v>113.89194500000001</v>
      </c>
      <c r="O63">
        <f>INDEX('AEO 38'!S:S,MATCH('psgr LDVs'!$B63,'AEO 38'!$B:$B,0))</f>
        <v>115.929947</v>
      </c>
      <c r="P63">
        <f>INDEX('AEO 38'!T:T,MATCH('psgr LDVs'!$B63,'AEO 38'!$B:$B,0))</f>
        <v>115.80641199999999</v>
      </c>
      <c r="Q63">
        <f>INDEX('AEO 38'!U:U,MATCH('psgr LDVs'!$B63,'AEO 38'!$B:$B,0))</f>
        <v>118.985512</v>
      </c>
      <c r="R63">
        <f>INDEX('AEO 38'!V:V,MATCH('psgr LDVs'!$B63,'AEO 38'!$B:$B,0))</f>
        <v>119.196495</v>
      </c>
      <c r="S63">
        <f>INDEX('AEO 38'!W:W,MATCH('psgr LDVs'!$B63,'AEO 38'!$B:$B,0))</f>
        <v>121.283905</v>
      </c>
      <c r="T63">
        <f>INDEX('AEO 38'!X:X,MATCH('psgr LDVs'!$B63,'AEO 38'!$B:$B,0))</f>
        <v>120.205467</v>
      </c>
      <c r="U63">
        <f>INDEX('AEO 38'!Y:Y,MATCH('psgr LDVs'!$B63,'AEO 38'!$B:$B,0))</f>
        <v>120.307976</v>
      </c>
      <c r="V63">
        <f>INDEX('AEO 38'!Z:Z,MATCH('psgr LDVs'!$B63,'AEO 38'!$B:$B,0))</f>
        <v>122.686348</v>
      </c>
      <c r="W63">
        <f>INDEX('AEO 38'!AA:AA,MATCH('psgr LDVs'!$B63,'AEO 38'!$B:$B,0))</f>
        <v>120.37797500000001</v>
      </c>
      <c r="X63">
        <f>INDEX('AEO 38'!AB:AB,MATCH('psgr LDVs'!$B63,'AEO 38'!$B:$B,0))</f>
        <v>120.40473900000001</v>
      </c>
      <c r="Y63">
        <f>INDEX('AEO 38'!AC:AC,MATCH('psgr LDVs'!$B63,'AEO 38'!$B:$B,0))</f>
        <v>120.17377500000001</v>
      </c>
      <c r="Z63">
        <f>INDEX('AEO 38'!AD:AD,MATCH('psgr LDVs'!$B63,'AEO 38'!$B:$B,0))</f>
        <v>119.908913</v>
      </c>
      <c r="AA63">
        <f>INDEX('AEO 38'!AE:AE,MATCH('psgr LDVs'!$B63,'AEO 38'!$B:$B,0))</f>
        <v>119.431061</v>
      </c>
      <c r="AB63">
        <f>INDEX('AEO 38'!AF:AF,MATCH('psgr LDVs'!$B63,'AEO 38'!$B:$B,0))</f>
        <v>120.896111</v>
      </c>
      <c r="AC63">
        <f>INDEX('AEO 38'!AG:AG,MATCH('psgr LDVs'!$B63,'AEO 38'!$B:$B,0))</f>
        <v>119.21642300000001</v>
      </c>
      <c r="AD63">
        <f>INDEX('AEO 38'!AH:AH,MATCH('psgr LDVs'!$B63,'AEO 38'!$B:$B,0))</f>
        <v>118.31201900000001</v>
      </c>
      <c r="AE63">
        <f>INDEX('AEO 38'!AI:AI,MATCH('psgr LDVs'!$B63,'AEO 38'!$B:$B,0))</f>
        <v>118.43898</v>
      </c>
      <c r="AF63">
        <f>INDEX('AEO 38'!AJ:AJ,MATCH('psgr LDVs'!$B63,'AEO 38'!$B:$B,0))</f>
        <v>117.401825</v>
      </c>
      <c r="AG63">
        <f>INDEX('AEO 38'!AK:AK,MATCH('psgr LDVs'!$B63,'AEO 38'!$B:$B,0))</f>
        <v>115.73097199999999</v>
      </c>
    </row>
    <row r="64" spans="1:33" ht="13.6">
      <c r="A64" s="114"/>
      <c r="B64" s="110" t="s">
        <v>936</v>
      </c>
      <c r="C64">
        <f>INDEX('AEO 38'!G:G,MATCH('psgr LDVs'!$B64,'AEO 38'!$B:$B,0))</f>
        <v>6558.1645509999998</v>
      </c>
      <c r="D64">
        <f>INDEX('AEO 38'!H:H,MATCH('psgr LDVs'!$B64,'AEO 38'!$B:$B,0))</f>
        <v>7379.5625</v>
      </c>
      <c r="E64">
        <f>INDEX('AEO 38'!I:I,MATCH('psgr LDVs'!$B64,'AEO 38'!$B:$B,0))</f>
        <v>7644.8291019999997</v>
      </c>
      <c r="F64">
        <f>INDEX('AEO 38'!J:J,MATCH('psgr LDVs'!$B64,'AEO 38'!$B:$B,0))</f>
        <v>7828.4697269999997</v>
      </c>
      <c r="G64">
        <f>INDEX('AEO 38'!K:K,MATCH('psgr LDVs'!$B64,'AEO 38'!$B:$B,0))</f>
        <v>8123.3779299999997</v>
      </c>
      <c r="H64">
        <f>INDEX('AEO 38'!L:L,MATCH('psgr LDVs'!$B64,'AEO 38'!$B:$B,0))</f>
        <v>8336.546875</v>
      </c>
      <c r="I64">
        <f>INDEX('AEO 38'!M:M,MATCH('psgr LDVs'!$B64,'AEO 38'!$B:$B,0))</f>
        <v>8226.3662110000005</v>
      </c>
      <c r="J64">
        <f>INDEX('AEO 38'!N:N,MATCH('psgr LDVs'!$B64,'AEO 38'!$B:$B,0))</f>
        <v>8037.9619140000004</v>
      </c>
      <c r="K64">
        <f>INDEX('AEO 38'!O:O,MATCH('psgr LDVs'!$B64,'AEO 38'!$B:$B,0))</f>
        <v>8054.3388670000004</v>
      </c>
      <c r="L64">
        <f>INDEX('AEO 38'!P:P,MATCH('psgr LDVs'!$B64,'AEO 38'!$B:$B,0))</f>
        <v>8024.3979490000002</v>
      </c>
      <c r="M64">
        <f>INDEX('AEO 38'!Q:Q,MATCH('psgr LDVs'!$B64,'AEO 38'!$B:$B,0))</f>
        <v>7832.201172</v>
      </c>
      <c r="N64">
        <f>INDEX('AEO 38'!R:R,MATCH('psgr LDVs'!$B64,'AEO 38'!$B:$B,0))</f>
        <v>7797.5673829999996</v>
      </c>
      <c r="O64">
        <f>INDEX('AEO 38'!S:S,MATCH('psgr LDVs'!$B64,'AEO 38'!$B:$B,0))</f>
        <v>7771.0205079999996</v>
      </c>
      <c r="P64">
        <f>INDEX('AEO 38'!T:T,MATCH('psgr LDVs'!$B64,'AEO 38'!$B:$B,0))</f>
        <v>7734.1079099999997</v>
      </c>
      <c r="Q64">
        <f>INDEX('AEO 38'!U:U,MATCH('psgr LDVs'!$B64,'AEO 38'!$B:$B,0))</f>
        <v>7683.5903319999998</v>
      </c>
      <c r="R64">
        <f>INDEX('AEO 38'!V:V,MATCH('psgr LDVs'!$B64,'AEO 38'!$B:$B,0))</f>
        <v>7707.2177730000003</v>
      </c>
      <c r="S64">
        <f>INDEX('AEO 38'!W:W,MATCH('psgr LDVs'!$B64,'AEO 38'!$B:$B,0))</f>
        <v>7669.9638670000004</v>
      </c>
      <c r="T64">
        <f>INDEX('AEO 38'!X:X,MATCH('psgr LDVs'!$B64,'AEO 38'!$B:$B,0))</f>
        <v>7599.6313479999999</v>
      </c>
      <c r="U64">
        <f>INDEX('AEO 38'!Y:Y,MATCH('psgr LDVs'!$B64,'AEO 38'!$B:$B,0))</f>
        <v>7576.5151370000003</v>
      </c>
      <c r="V64">
        <f>INDEX('AEO 38'!Z:Z,MATCH('psgr LDVs'!$B64,'AEO 38'!$B:$B,0))</f>
        <v>7567.5996089999999</v>
      </c>
      <c r="W64">
        <f>INDEX('AEO 38'!AA:AA,MATCH('psgr LDVs'!$B64,'AEO 38'!$B:$B,0))</f>
        <v>7528.5375979999999</v>
      </c>
      <c r="X64">
        <f>INDEX('AEO 38'!AB:AB,MATCH('psgr LDVs'!$B64,'AEO 38'!$B:$B,0))</f>
        <v>7499.4384769999997</v>
      </c>
      <c r="Y64">
        <f>INDEX('AEO 38'!AC:AC,MATCH('psgr LDVs'!$B64,'AEO 38'!$B:$B,0))</f>
        <v>7487.7553710000002</v>
      </c>
      <c r="Z64">
        <f>INDEX('AEO 38'!AD:AD,MATCH('psgr LDVs'!$B64,'AEO 38'!$B:$B,0))</f>
        <v>7450.7617190000001</v>
      </c>
      <c r="AA64">
        <f>INDEX('AEO 38'!AE:AE,MATCH('psgr LDVs'!$B64,'AEO 38'!$B:$B,0))</f>
        <v>7416.7817379999997</v>
      </c>
      <c r="AB64">
        <f>INDEX('AEO 38'!AF:AF,MATCH('psgr LDVs'!$B64,'AEO 38'!$B:$B,0))</f>
        <v>7439.732422</v>
      </c>
      <c r="AC64">
        <f>INDEX('AEO 38'!AG:AG,MATCH('psgr LDVs'!$B64,'AEO 38'!$B:$B,0))</f>
        <v>7391.4819340000004</v>
      </c>
      <c r="AD64">
        <f>INDEX('AEO 38'!AH:AH,MATCH('psgr LDVs'!$B64,'AEO 38'!$B:$B,0))</f>
        <v>7332.2768550000001</v>
      </c>
      <c r="AE64">
        <f>INDEX('AEO 38'!AI:AI,MATCH('psgr LDVs'!$B64,'AEO 38'!$B:$B,0))</f>
        <v>7354.6552730000003</v>
      </c>
      <c r="AF64">
        <f>INDEX('AEO 38'!AJ:AJ,MATCH('psgr LDVs'!$B64,'AEO 38'!$B:$B,0))</f>
        <v>7278.1176759999998</v>
      </c>
      <c r="AG64">
        <f>INDEX('AEO 38'!AK:AK,MATCH('psgr LDVs'!$B64,'AEO 38'!$B:$B,0))</f>
        <v>7189.3647460000002</v>
      </c>
    </row>
    <row r="65" spans="1:33" ht="13.6">
      <c r="A65" s="114" t="s">
        <v>114</v>
      </c>
      <c r="B65" s="110" t="s">
        <v>937</v>
      </c>
      <c r="C65">
        <f>INDEX('AEO 38'!G:G,MATCH('psgr LDVs'!$B65,'AEO 38'!$B:$B,0))</f>
        <v>658.66039999999998</v>
      </c>
      <c r="D65">
        <f>INDEX('AEO 38'!H:H,MATCH('psgr LDVs'!$B65,'AEO 38'!$B:$B,0))</f>
        <v>672.66931199999999</v>
      </c>
      <c r="E65">
        <f>INDEX('AEO 38'!I:I,MATCH('psgr LDVs'!$B65,'AEO 38'!$B:$B,0))</f>
        <v>696.22937000000002</v>
      </c>
      <c r="F65">
        <f>INDEX('AEO 38'!J:J,MATCH('psgr LDVs'!$B65,'AEO 38'!$B:$B,0))</f>
        <v>714.13098100000002</v>
      </c>
      <c r="G65">
        <f>INDEX('AEO 38'!K:K,MATCH('psgr LDVs'!$B65,'AEO 38'!$B:$B,0))</f>
        <v>741.75299099999995</v>
      </c>
      <c r="H65">
        <f>INDEX('AEO 38'!L:L,MATCH('psgr LDVs'!$B65,'AEO 38'!$B:$B,0))</f>
        <v>761.37091099999998</v>
      </c>
      <c r="I65">
        <f>INDEX('AEO 38'!M:M,MATCH('psgr LDVs'!$B65,'AEO 38'!$B:$B,0))</f>
        <v>754.853027</v>
      </c>
      <c r="J65">
        <f>INDEX('AEO 38'!N:N,MATCH('psgr LDVs'!$B65,'AEO 38'!$B:$B,0))</f>
        <v>739.60461399999997</v>
      </c>
      <c r="K65">
        <f>INDEX('AEO 38'!O:O,MATCH('psgr LDVs'!$B65,'AEO 38'!$B:$B,0))</f>
        <v>742.00176999999996</v>
      </c>
      <c r="L65">
        <f>INDEX('AEO 38'!P:P,MATCH('psgr LDVs'!$B65,'AEO 38'!$B:$B,0))</f>
        <v>740.44988999999998</v>
      </c>
      <c r="M65">
        <f>INDEX('AEO 38'!Q:Q,MATCH('psgr LDVs'!$B65,'AEO 38'!$B:$B,0))</f>
        <v>724.608521</v>
      </c>
      <c r="N65">
        <f>INDEX('AEO 38'!R:R,MATCH('psgr LDVs'!$B65,'AEO 38'!$B:$B,0))</f>
        <v>722.612122</v>
      </c>
      <c r="O65">
        <f>INDEX('AEO 38'!S:S,MATCH('psgr LDVs'!$B65,'AEO 38'!$B:$B,0))</f>
        <v>721.50848399999995</v>
      </c>
      <c r="P65">
        <f>INDEX('AEO 38'!T:T,MATCH('psgr LDVs'!$B65,'AEO 38'!$B:$B,0))</f>
        <v>719.58471699999996</v>
      </c>
      <c r="Q65">
        <f>INDEX('AEO 38'!U:U,MATCH('psgr LDVs'!$B65,'AEO 38'!$B:$B,0))</f>
        <v>716.46832300000005</v>
      </c>
      <c r="R65">
        <f>INDEX('AEO 38'!V:V,MATCH('psgr LDVs'!$B65,'AEO 38'!$B:$B,0))</f>
        <v>719.96905500000003</v>
      </c>
      <c r="S65">
        <f>INDEX('AEO 38'!W:W,MATCH('psgr LDVs'!$B65,'AEO 38'!$B:$B,0))</f>
        <v>717.42846699999996</v>
      </c>
      <c r="T65">
        <f>INDEX('AEO 38'!X:X,MATCH('psgr LDVs'!$B65,'AEO 38'!$B:$B,0))</f>
        <v>712.79492200000004</v>
      </c>
      <c r="U65">
        <f>INDEX('AEO 38'!Y:Y,MATCH('psgr LDVs'!$B65,'AEO 38'!$B:$B,0))</f>
        <v>712.05938700000002</v>
      </c>
      <c r="V65">
        <f>INDEX('AEO 38'!Z:Z,MATCH('psgr LDVs'!$B65,'AEO 38'!$B:$B,0))</f>
        <v>712.29937700000005</v>
      </c>
      <c r="W65">
        <f>INDEX('AEO 38'!AA:AA,MATCH('psgr LDVs'!$B65,'AEO 38'!$B:$B,0))</f>
        <v>710.03509499999996</v>
      </c>
      <c r="X65">
        <f>INDEX('AEO 38'!AB:AB,MATCH('psgr LDVs'!$B65,'AEO 38'!$B:$B,0))</f>
        <v>708.38903800000003</v>
      </c>
      <c r="Y65">
        <f>INDEX('AEO 38'!AC:AC,MATCH('psgr LDVs'!$B65,'AEO 38'!$B:$B,0))</f>
        <v>708.26019299999996</v>
      </c>
      <c r="Z65">
        <f>INDEX('AEO 38'!AD:AD,MATCH('psgr LDVs'!$B65,'AEO 38'!$B:$B,0))</f>
        <v>705.70605499999999</v>
      </c>
      <c r="AA65">
        <f>INDEX('AEO 38'!AE:AE,MATCH('psgr LDVs'!$B65,'AEO 38'!$B:$B,0))</f>
        <v>703.53607199999999</v>
      </c>
      <c r="AB65">
        <f>INDEX('AEO 38'!AF:AF,MATCH('psgr LDVs'!$B65,'AEO 38'!$B:$B,0))</f>
        <v>706.82189900000003</v>
      </c>
      <c r="AC65">
        <f>INDEX('AEO 38'!AG:AG,MATCH('psgr LDVs'!$B65,'AEO 38'!$B:$B,0))</f>
        <v>703.31671100000005</v>
      </c>
      <c r="AD65">
        <f>INDEX('AEO 38'!AH:AH,MATCH('psgr LDVs'!$B65,'AEO 38'!$B:$B,0))</f>
        <v>698.72473100000002</v>
      </c>
      <c r="AE65">
        <f>INDEX('AEO 38'!AI:AI,MATCH('psgr LDVs'!$B65,'AEO 38'!$B:$B,0))</f>
        <v>701.90130599999998</v>
      </c>
      <c r="AF65">
        <f>INDEX('AEO 38'!AJ:AJ,MATCH('psgr LDVs'!$B65,'AEO 38'!$B:$B,0))</f>
        <v>695.80841099999998</v>
      </c>
      <c r="AG65">
        <f>INDEX('AEO 38'!AK:AK,MATCH('psgr LDVs'!$B65,'AEO 38'!$B:$B,0))</f>
        <v>688.55413799999997</v>
      </c>
    </row>
    <row r="66" spans="1:33" ht="13.6">
      <c r="A66" s="114" t="s">
        <v>112</v>
      </c>
      <c r="B66" s="110" t="s">
        <v>938</v>
      </c>
      <c r="C66">
        <f>INDEX('AEO 38'!G:G,MATCH('psgr LDVs'!$B66,'AEO 38'!$B:$B,0))</f>
        <v>0</v>
      </c>
      <c r="D66">
        <f>INDEX('AEO 38'!H:H,MATCH('psgr LDVs'!$B66,'AEO 38'!$B:$B,0))</f>
        <v>0</v>
      </c>
      <c r="E66">
        <f>INDEX('AEO 38'!I:I,MATCH('psgr LDVs'!$B66,'AEO 38'!$B:$B,0))</f>
        <v>0</v>
      </c>
      <c r="F66">
        <f>INDEX('AEO 38'!J:J,MATCH('psgr LDVs'!$B66,'AEO 38'!$B:$B,0))</f>
        <v>0</v>
      </c>
      <c r="G66">
        <f>INDEX('AEO 38'!K:K,MATCH('psgr LDVs'!$B66,'AEO 38'!$B:$B,0))</f>
        <v>0</v>
      </c>
      <c r="H66">
        <f>INDEX('AEO 38'!L:L,MATCH('psgr LDVs'!$B66,'AEO 38'!$B:$B,0))</f>
        <v>0</v>
      </c>
      <c r="I66">
        <f>INDEX('AEO 38'!M:M,MATCH('psgr LDVs'!$B66,'AEO 38'!$B:$B,0))</f>
        <v>0</v>
      </c>
      <c r="J66">
        <f>INDEX('AEO 38'!N:N,MATCH('psgr LDVs'!$B66,'AEO 38'!$B:$B,0))</f>
        <v>0</v>
      </c>
      <c r="K66">
        <f>INDEX('AEO 38'!O:O,MATCH('psgr LDVs'!$B66,'AEO 38'!$B:$B,0))</f>
        <v>0</v>
      </c>
      <c r="L66">
        <f>INDEX('AEO 38'!P:P,MATCH('psgr LDVs'!$B66,'AEO 38'!$B:$B,0))</f>
        <v>0</v>
      </c>
      <c r="M66">
        <f>INDEX('AEO 38'!Q:Q,MATCH('psgr LDVs'!$B66,'AEO 38'!$B:$B,0))</f>
        <v>0</v>
      </c>
      <c r="N66">
        <f>INDEX('AEO 38'!R:R,MATCH('psgr LDVs'!$B66,'AEO 38'!$B:$B,0))</f>
        <v>0</v>
      </c>
      <c r="O66">
        <f>INDEX('AEO 38'!S:S,MATCH('psgr LDVs'!$B66,'AEO 38'!$B:$B,0))</f>
        <v>0</v>
      </c>
      <c r="P66">
        <f>INDEX('AEO 38'!T:T,MATCH('psgr LDVs'!$B66,'AEO 38'!$B:$B,0))</f>
        <v>0</v>
      </c>
      <c r="Q66">
        <f>INDEX('AEO 38'!U:U,MATCH('psgr LDVs'!$B66,'AEO 38'!$B:$B,0))</f>
        <v>0</v>
      </c>
      <c r="R66">
        <f>INDEX('AEO 38'!V:V,MATCH('psgr LDVs'!$B66,'AEO 38'!$B:$B,0))</f>
        <v>0</v>
      </c>
      <c r="S66">
        <f>INDEX('AEO 38'!W:W,MATCH('psgr LDVs'!$B66,'AEO 38'!$B:$B,0))</f>
        <v>0</v>
      </c>
      <c r="T66">
        <f>INDEX('AEO 38'!X:X,MATCH('psgr LDVs'!$B66,'AEO 38'!$B:$B,0))</f>
        <v>0</v>
      </c>
      <c r="U66">
        <f>INDEX('AEO 38'!Y:Y,MATCH('psgr LDVs'!$B66,'AEO 38'!$B:$B,0))</f>
        <v>0</v>
      </c>
      <c r="V66">
        <f>INDEX('AEO 38'!Z:Z,MATCH('psgr LDVs'!$B66,'AEO 38'!$B:$B,0))</f>
        <v>0</v>
      </c>
      <c r="W66">
        <f>INDEX('AEO 38'!AA:AA,MATCH('psgr LDVs'!$B66,'AEO 38'!$B:$B,0))</f>
        <v>0</v>
      </c>
      <c r="X66">
        <f>INDEX('AEO 38'!AB:AB,MATCH('psgr LDVs'!$B66,'AEO 38'!$B:$B,0))</f>
        <v>0</v>
      </c>
      <c r="Y66">
        <f>INDEX('AEO 38'!AC:AC,MATCH('psgr LDVs'!$B66,'AEO 38'!$B:$B,0))</f>
        <v>0</v>
      </c>
      <c r="Z66">
        <f>INDEX('AEO 38'!AD:AD,MATCH('psgr LDVs'!$B66,'AEO 38'!$B:$B,0))</f>
        <v>0</v>
      </c>
      <c r="AA66">
        <f>INDEX('AEO 38'!AE:AE,MATCH('psgr LDVs'!$B66,'AEO 38'!$B:$B,0))</f>
        <v>0</v>
      </c>
      <c r="AB66">
        <f>INDEX('AEO 38'!AF:AF,MATCH('psgr LDVs'!$B66,'AEO 38'!$B:$B,0))</f>
        <v>0</v>
      </c>
      <c r="AC66">
        <f>INDEX('AEO 38'!AG:AG,MATCH('psgr LDVs'!$B66,'AEO 38'!$B:$B,0))</f>
        <v>0</v>
      </c>
      <c r="AD66">
        <f>INDEX('AEO 38'!AH:AH,MATCH('psgr LDVs'!$B66,'AEO 38'!$B:$B,0))</f>
        <v>0</v>
      </c>
      <c r="AE66">
        <f>INDEX('AEO 38'!AI:AI,MATCH('psgr LDVs'!$B66,'AEO 38'!$B:$B,0))</f>
        <v>0</v>
      </c>
      <c r="AF66">
        <f>INDEX('AEO 38'!AJ:AJ,MATCH('psgr LDVs'!$B66,'AEO 38'!$B:$B,0))</f>
        <v>0</v>
      </c>
      <c r="AG66">
        <f>INDEX('AEO 38'!AK:AK,MATCH('psgr LDVs'!$B66,'AEO 38'!$B:$B,0))</f>
        <v>0</v>
      </c>
    </row>
    <row r="67" spans="1:33" ht="13.6">
      <c r="A67" s="114" t="s">
        <v>112</v>
      </c>
      <c r="B67" s="110" t="s">
        <v>939</v>
      </c>
      <c r="C67">
        <f>INDEX('AEO 38'!G:G,MATCH('psgr LDVs'!$B67,'AEO 38'!$B:$B,0))</f>
        <v>11.011377</v>
      </c>
      <c r="D67">
        <f>INDEX('AEO 38'!H:H,MATCH('psgr LDVs'!$B67,'AEO 38'!$B:$B,0))</f>
        <v>12.580558</v>
      </c>
      <c r="E67">
        <f>INDEX('AEO 38'!I:I,MATCH('psgr LDVs'!$B67,'AEO 38'!$B:$B,0))</f>
        <v>13.856382</v>
      </c>
      <c r="F67">
        <f>INDEX('AEO 38'!J:J,MATCH('psgr LDVs'!$B67,'AEO 38'!$B:$B,0))</f>
        <v>14.729568</v>
      </c>
      <c r="G67">
        <f>INDEX('AEO 38'!K:K,MATCH('psgr LDVs'!$B67,'AEO 38'!$B:$B,0))</f>
        <v>17.766370999999999</v>
      </c>
      <c r="H67">
        <f>INDEX('AEO 38'!L:L,MATCH('psgr LDVs'!$B67,'AEO 38'!$B:$B,0))</f>
        <v>20.602139999999999</v>
      </c>
      <c r="I67">
        <f>INDEX('AEO 38'!M:M,MATCH('psgr LDVs'!$B67,'AEO 38'!$B:$B,0))</f>
        <v>23.901951</v>
      </c>
      <c r="J67">
        <f>INDEX('AEO 38'!N:N,MATCH('psgr LDVs'!$B67,'AEO 38'!$B:$B,0))</f>
        <v>26.800146000000002</v>
      </c>
      <c r="K67">
        <f>INDEX('AEO 38'!O:O,MATCH('psgr LDVs'!$B67,'AEO 38'!$B:$B,0))</f>
        <v>30.963303</v>
      </c>
      <c r="L67">
        <f>INDEX('AEO 38'!P:P,MATCH('psgr LDVs'!$B67,'AEO 38'!$B:$B,0))</f>
        <v>35.670749999999998</v>
      </c>
      <c r="M67">
        <f>INDEX('AEO 38'!Q:Q,MATCH('psgr LDVs'!$B67,'AEO 38'!$B:$B,0))</f>
        <v>39.973483999999999</v>
      </c>
      <c r="N67">
        <f>INDEX('AEO 38'!R:R,MATCH('psgr LDVs'!$B67,'AEO 38'!$B:$B,0))</f>
        <v>45.244709</v>
      </c>
      <c r="O67">
        <f>INDEX('AEO 38'!S:S,MATCH('psgr LDVs'!$B67,'AEO 38'!$B:$B,0))</f>
        <v>51.161358</v>
      </c>
      <c r="P67">
        <f>INDEX('AEO 38'!T:T,MATCH('psgr LDVs'!$B67,'AEO 38'!$B:$B,0))</f>
        <v>57.174720999999998</v>
      </c>
      <c r="Q67">
        <f>INDEX('AEO 38'!U:U,MATCH('psgr LDVs'!$B67,'AEO 38'!$B:$B,0))</f>
        <v>63.200184</v>
      </c>
      <c r="R67">
        <f>INDEX('AEO 38'!V:V,MATCH('psgr LDVs'!$B67,'AEO 38'!$B:$B,0))</f>
        <v>69.404929999999993</v>
      </c>
      <c r="S67">
        <f>INDEX('AEO 38'!W:W,MATCH('psgr LDVs'!$B67,'AEO 38'!$B:$B,0))</f>
        <v>75.094666000000004</v>
      </c>
      <c r="T67">
        <f>INDEX('AEO 38'!X:X,MATCH('psgr LDVs'!$B67,'AEO 38'!$B:$B,0))</f>
        <v>80.330344999999994</v>
      </c>
      <c r="U67">
        <f>INDEX('AEO 38'!Y:Y,MATCH('psgr LDVs'!$B67,'AEO 38'!$B:$B,0))</f>
        <v>85.896759000000003</v>
      </c>
      <c r="V67">
        <f>INDEX('AEO 38'!Z:Z,MATCH('psgr LDVs'!$B67,'AEO 38'!$B:$B,0))</f>
        <v>91.319007999999997</v>
      </c>
      <c r="W67">
        <f>INDEX('AEO 38'!AA:AA,MATCH('psgr LDVs'!$B67,'AEO 38'!$B:$B,0))</f>
        <v>96.360229000000004</v>
      </c>
      <c r="X67">
        <f>INDEX('AEO 38'!AB:AB,MATCH('psgr LDVs'!$B67,'AEO 38'!$B:$B,0))</f>
        <v>101.13458300000001</v>
      </c>
      <c r="Y67">
        <f>INDEX('AEO 38'!AC:AC,MATCH('psgr LDVs'!$B67,'AEO 38'!$B:$B,0))</f>
        <v>106.007904</v>
      </c>
      <c r="Z67">
        <f>INDEX('AEO 38'!AD:AD,MATCH('psgr LDVs'!$B67,'AEO 38'!$B:$B,0))</f>
        <v>110.533821</v>
      </c>
      <c r="AA67">
        <f>INDEX('AEO 38'!AE:AE,MATCH('psgr LDVs'!$B67,'AEO 38'!$B:$B,0))</f>
        <v>115.07858299999999</v>
      </c>
      <c r="AB67">
        <f>INDEX('AEO 38'!AF:AF,MATCH('psgr LDVs'!$B67,'AEO 38'!$B:$B,0))</f>
        <v>120.596695</v>
      </c>
      <c r="AC67">
        <f>INDEX('AEO 38'!AG:AG,MATCH('psgr LDVs'!$B67,'AEO 38'!$B:$B,0))</f>
        <v>124.79433400000001</v>
      </c>
      <c r="AD67">
        <f>INDEX('AEO 38'!AH:AH,MATCH('psgr LDVs'!$B67,'AEO 38'!$B:$B,0))</f>
        <v>128.80905200000001</v>
      </c>
      <c r="AE67">
        <f>INDEX('AEO 38'!AI:AI,MATCH('psgr LDVs'!$B67,'AEO 38'!$B:$B,0))</f>
        <v>134.22468599999999</v>
      </c>
      <c r="AF67">
        <f>INDEX('AEO 38'!AJ:AJ,MATCH('psgr LDVs'!$B67,'AEO 38'!$B:$B,0))</f>
        <v>138.10290499999999</v>
      </c>
      <c r="AG67">
        <f>INDEX('AEO 38'!AK:AK,MATCH('psgr LDVs'!$B67,'AEO 38'!$B:$B,0))</f>
        <v>141.68150299999999</v>
      </c>
    </row>
    <row r="68" spans="1:33" ht="13.6">
      <c r="A68" s="114" t="s">
        <v>112</v>
      </c>
      <c r="B68" s="110" t="s">
        <v>940</v>
      </c>
      <c r="C68">
        <f>INDEX('AEO 38'!G:G,MATCH('psgr LDVs'!$B68,'AEO 38'!$B:$B,0))</f>
        <v>25.837799</v>
      </c>
      <c r="D68">
        <f>INDEX('AEO 38'!H:H,MATCH('psgr LDVs'!$B68,'AEO 38'!$B:$B,0))</f>
        <v>31.257812000000001</v>
      </c>
      <c r="E68">
        <f>INDEX('AEO 38'!I:I,MATCH('psgr LDVs'!$B68,'AEO 38'!$B:$B,0))</f>
        <v>36.313628999999999</v>
      </c>
      <c r="F68">
        <f>INDEX('AEO 38'!J:J,MATCH('psgr LDVs'!$B68,'AEO 38'!$B:$B,0))</f>
        <v>41.621760999999999</v>
      </c>
      <c r="G68">
        <f>INDEX('AEO 38'!K:K,MATCH('psgr LDVs'!$B68,'AEO 38'!$B:$B,0))</f>
        <v>48.076756000000003</v>
      </c>
      <c r="H68">
        <f>INDEX('AEO 38'!L:L,MATCH('psgr LDVs'!$B68,'AEO 38'!$B:$B,0))</f>
        <v>52.635860000000001</v>
      </c>
      <c r="I68">
        <f>INDEX('AEO 38'!M:M,MATCH('psgr LDVs'!$B68,'AEO 38'!$B:$B,0))</f>
        <v>55.501873000000003</v>
      </c>
      <c r="J68">
        <f>INDEX('AEO 38'!N:N,MATCH('psgr LDVs'!$B68,'AEO 38'!$B:$B,0))</f>
        <v>60.360518999999996</v>
      </c>
      <c r="K68">
        <f>INDEX('AEO 38'!O:O,MATCH('psgr LDVs'!$B68,'AEO 38'!$B:$B,0))</f>
        <v>68.817986000000005</v>
      </c>
      <c r="L68">
        <f>INDEX('AEO 38'!P:P,MATCH('psgr LDVs'!$B68,'AEO 38'!$B:$B,0))</f>
        <v>78.638526999999996</v>
      </c>
      <c r="M68">
        <f>INDEX('AEO 38'!Q:Q,MATCH('psgr LDVs'!$B68,'AEO 38'!$B:$B,0))</f>
        <v>91.469397999999998</v>
      </c>
      <c r="N68">
        <f>INDEX('AEO 38'!R:R,MATCH('psgr LDVs'!$B68,'AEO 38'!$B:$B,0))</f>
        <v>104.873695</v>
      </c>
      <c r="O68">
        <f>INDEX('AEO 38'!S:S,MATCH('psgr LDVs'!$B68,'AEO 38'!$B:$B,0))</f>
        <v>121.007698</v>
      </c>
      <c r="P68">
        <f>INDEX('AEO 38'!T:T,MATCH('psgr LDVs'!$B68,'AEO 38'!$B:$B,0))</f>
        <v>137.83313000000001</v>
      </c>
      <c r="Q68">
        <f>INDEX('AEO 38'!U:U,MATCH('psgr LDVs'!$B68,'AEO 38'!$B:$B,0))</f>
        <v>156.39167800000001</v>
      </c>
      <c r="R68">
        <f>INDEX('AEO 38'!V:V,MATCH('psgr LDVs'!$B68,'AEO 38'!$B:$B,0))</f>
        <v>175.18623400000001</v>
      </c>
      <c r="S68">
        <f>INDEX('AEO 38'!W:W,MATCH('psgr LDVs'!$B68,'AEO 38'!$B:$B,0))</f>
        <v>193.61909499999999</v>
      </c>
      <c r="T68">
        <f>INDEX('AEO 38'!X:X,MATCH('psgr LDVs'!$B68,'AEO 38'!$B:$B,0))</f>
        <v>212.34343000000001</v>
      </c>
      <c r="U68">
        <f>INDEX('AEO 38'!Y:Y,MATCH('psgr LDVs'!$B68,'AEO 38'!$B:$B,0))</f>
        <v>232.899643</v>
      </c>
      <c r="V68">
        <f>INDEX('AEO 38'!Z:Z,MATCH('psgr LDVs'!$B68,'AEO 38'!$B:$B,0))</f>
        <v>252.66897599999999</v>
      </c>
      <c r="W68">
        <f>INDEX('AEO 38'!AA:AA,MATCH('psgr LDVs'!$B68,'AEO 38'!$B:$B,0))</f>
        <v>272.35217299999999</v>
      </c>
      <c r="X68">
        <f>INDEX('AEO 38'!AB:AB,MATCH('psgr LDVs'!$B68,'AEO 38'!$B:$B,0))</f>
        <v>286.00414999999998</v>
      </c>
      <c r="Y68">
        <f>INDEX('AEO 38'!AC:AC,MATCH('psgr LDVs'!$B68,'AEO 38'!$B:$B,0))</f>
        <v>298.94357300000001</v>
      </c>
      <c r="Z68">
        <f>INDEX('AEO 38'!AD:AD,MATCH('psgr LDVs'!$B68,'AEO 38'!$B:$B,0))</f>
        <v>311.789062</v>
      </c>
      <c r="AA68">
        <f>INDEX('AEO 38'!AE:AE,MATCH('psgr LDVs'!$B68,'AEO 38'!$B:$B,0))</f>
        <v>325.64083900000003</v>
      </c>
      <c r="AB68">
        <f>INDEX('AEO 38'!AF:AF,MATCH('psgr LDVs'!$B68,'AEO 38'!$B:$B,0))</f>
        <v>343.58065800000003</v>
      </c>
      <c r="AC68">
        <f>INDEX('AEO 38'!AG:AG,MATCH('psgr LDVs'!$B68,'AEO 38'!$B:$B,0))</f>
        <v>357.28460699999999</v>
      </c>
      <c r="AD68">
        <f>INDEX('AEO 38'!AH:AH,MATCH('psgr LDVs'!$B68,'AEO 38'!$B:$B,0))</f>
        <v>370.97598299999999</v>
      </c>
      <c r="AE68">
        <f>INDEX('AEO 38'!AI:AI,MATCH('psgr LDVs'!$B68,'AEO 38'!$B:$B,0))</f>
        <v>388.95461999999998</v>
      </c>
      <c r="AF68">
        <f>INDEX('AEO 38'!AJ:AJ,MATCH('psgr LDVs'!$B68,'AEO 38'!$B:$B,0))</f>
        <v>404.656677</v>
      </c>
      <c r="AG68">
        <f>INDEX('AEO 38'!AK:AK,MATCH('psgr LDVs'!$B68,'AEO 38'!$B:$B,0))</f>
        <v>419.97311400000001</v>
      </c>
    </row>
    <row r="69" spans="1:33" ht="13.6">
      <c r="A69" s="114" t="s">
        <v>116</v>
      </c>
      <c r="B69" s="110" t="s">
        <v>941</v>
      </c>
      <c r="C69">
        <f>INDEX('AEO 38'!G:G,MATCH('psgr LDVs'!$B69,'AEO 38'!$B:$B,0))</f>
        <v>3.735878</v>
      </c>
      <c r="D69">
        <f>INDEX('AEO 38'!H:H,MATCH('psgr LDVs'!$B69,'AEO 38'!$B:$B,0))</f>
        <v>4.1541399999999999</v>
      </c>
      <c r="E69">
        <f>INDEX('AEO 38'!I:I,MATCH('psgr LDVs'!$B69,'AEO 38'!$B:$B,0))</f>
        <v>4.3199930000000002</v>
      </c>
      <c r="F69">
        <f>INDEX('AEO 38'!J:J,MATCH('psgr LDVs'!$B69,'AEO 38'!$B:$B,0))</f>
        <v>4.4896120000000002</v>
      </c>
      <c r="G69">
        <f>INDEX('AEO 38'!K:K,MATCH('psgr LDVs'!$B69,'AEO 38'!$B:$B,0))</f>
        <v>4.8460700000000001</v>
      </c>
      <c r="H69">
        <f>INDEX('AEO 38'!L:L,MATCH('psgr LDVs'!$B69,'AEO 38'!$B:$B,0))</f>
        <v>5.0184350000000002</v>
      </c>
      <c r="I69">
        <f>INDEX('AEO 38'!M:M,MATCH('psgr LDVs'!$B69,'AEO 38'!$B:$B,0))</f>
        <v>5.0880770000000002</v>
      </c>
      <c r="J69">
        <f>INDEX('AEO 38'!N:N,MATCH('psgr LDVs'!$B69,'AEO 38'!$B:$B,0))</f>
        <v>5.6110899999999999</v>
      </c>
      <c r="K69">
        <f>INDEX('AEO 38'!O:O,MATCH('psgr LDVs'!$B69,'AEO 38'!$B:$B,0))</f>
        <v>6.3576269999999999</v>
      </c>
      <c r="L69">
        <f>INDEX('AEO 38'!P:P,MATCH('psgr LDVs'!$B69,'AEO 38'!$B:$B,0))</f>
        <v>7.1380610000000004</v>
      </c>
      <c r="M69">
        <f>INDEX('AEO 38'!Q:Q,MATCH('psgr LDVs'!$B69,'AEO 38'!$B:$B,0))</f>
        <v>7.8375640000000004</v>
      </c>
      <c r="N69">
        <f>INDEX('AEO 38'!R:R,MATCH('psgr LDVs'!$B69,'AEO 38'!$B:$B,0))</f>
        <v>8.6499839999999999</v>
      </c>
      <c r="O69">
        <f>INDEX('AEO 38'!S:S,MATCH('psgr LDVs'!$B69,'AEO 38'!$B:$B,0))</f>
        <v>9.5275210000000001</v>
      </c>
      <c r="P69">
        <f>INDEX('AEO 38'!T:T,MATCH('psgr LDVs'!$B69,'AEO 38'!$B:$B,0))</f>
        <v>10.36993</v>
      </c>
      <c r="Q69">
        <f>INDEX('AEO 38'!U:U,MATCH('psgr LDVs'!$B69,'AEO 38'!$B:$B,0))</f>
        <v>11.207824</v>
      </c>
      <c r="R69">
        <f>INDEX('AEO 38'!V:V,MATCH('psgr LDVs'!$B69,'AEO 38'!$B:$B,0))</f>
        <v>12.104683</v>
      </c>
      <c r="S69">
        <f>INDEX('AEO 38'!W:W,MATCH('psgr LDVs'!$B69,'AEO 38'!$B:$B,0))</f>
        <v>12.992331</v>
      </c>
      <c r="T69">
        <f>INDEX('AEO 38'!X:X,MATCH('psgr LDVs'!$B69,'AEO 38'!$B:$B,0))</f>
        <v>13.974368999999999</v>
      </c>
      <c r="U69">
        <f>INDEX('AEO 38'!Y:Y,MATCH('psgr LDVs'!$B69,'AEO 38'!$B:$B,0))</f>
        <v>15.18399</v>
      </c>
      <c r="V69">
        <f>INDEX('AEO 38'!Z:Z,MATCH('psgr LDVs'!$B69,'AEO 38'!$B:$B,0))</f>
        <v>16.544401000000001</v>
      </c>
      <c r="W69">
        <f>INDEX('AEO 38'!AA:AA,MATCH('psgr LDVs'!$B69,'AEO 38'!$B:$B,0))</f>
        <v>18.060143</v>
      </c>
      <c r="X69">
        <f>INDEX('AEO 38'!AB:AB,MATCH('psgr LDVs'!$B69,'AEO 38'!$B:$B,0))</f>
        <v>19.723482000000001</v>
      </c>
      <c r="Y69">
        <f>INDEX('AEO 38'!AC:AC,MATCH('psgr LDVs'!$B69,'AEO 38'!$B:$B,0))</f>
        <v>21.642765000000001</v>
      </c>
      <c r="Z69">
        <f>INDEX('AEO 38'!AD:AD,MATCH('psgr LDVs'!$B69,'AEO 38'!$B:$B,0))</f>
        <v>23.778744</v>
      </c>
      <c r="AA69">
        <f>INDEX('AEO 38'!AE:AE,MATCH('psgr LDVs'!$B69,'AEO 38'!$B:$B,0))</f>
        <v>26.269089000000001</v>
      </c>
      <c r="AB69">
        <f>INDEX('AEO 38'!AF:AF,MATCH('psgr LDVs'!$B69,'AEO 38'!$B:$B,0))</f>
        <v>29.479752999999999</v>
      </c>
      <c r="AC69">
        <f>INDEX('AEO 38'!AG:AG,MATCH('psgr LDVs'!$B69,'AEO 38'!$B:$B,0))</f>
        <v>32.905864999999999</v>
      </c>
      <c r="AD69">
        <f>INDEX('AEO 38'!AH:AH,MATCH('psgr LDVs'!$B69,'AEO 38'!$B:$B,0))</f>
        <v>36.874755999999998</v>
      </c>
      <c r="AE69">
        <f>INDEX('AEO 38'!AI:AI,MATCH('psgr LDVs'!$B69,'AEO 38'!$B:$B,0))</f>
        <v>41.898772999999998</v>
      </c>
      <c r="AF69">
        <f>INDEX('AEO 38'!AJ:AJ,MATCH('psgr LDVs'!$B69,'AEO 38'!$B:$B,0))</f>
        <v>47.256931000000002</v>
      </c>
      <c r="AG69">
        <f>INDEX('AEO 38'!AK:AK,MATCH('psgr LDVs'!$B69,'AEO 38'!$B:$B,0))</f>
        <v>53.308647000000001</v>
      </c>
    </row>
    <row r="70" spans="1:33" ht="13.6">
      <c r="A70" s="114" t="s">
        <v>116</v>
      </c>
      <c r="B70" s="110" t="s">
        <v>942</v>
      </c>
      <c r="C70">
        <f>INDEX('AEO 38'!G:G,MATCH('psgr LDVs'!$B70,'AEO 38'!$B:$B,0))</f>
        <v>20.528244000000001</v>
      </c>
      <c r="D70">
        <f>INDEX('AEO 38'!H:H,MATCH('psgr LDVs'!$B70,'AEO 38'!$B:$B,0))</f>
        <v>24.639990000000001</v>
      </c>
      <c r="E70">
        <f>INDEX('AEO 38'!I:I,MATCH('psgr LDVs'!$B70,'AEO 38'!$B:$B,0))</f>
        <v>24.848987999999999</v>
      </c>
      <c r="F70">
        <f>INDEX('AEO 38'!J:J,MATCH('psgr LDVs'!$B70,'AEO 38'!$B:$B,0))</f>
        <v>23.036037</v>
      </c>
      <c r="G70">
        <f>INDEX('AEO 38'!K:K,MATCH('psgr LDVs'!$B70,'AEO 38'!$B:$B,0))</f>
        <v>21.596160999999999</v>
      </c>
      <c r="H70">
        <f>INDEX('AEO 38'!L:L,MATCH('psgr LDVs'!$B70,'AEO 38'!$B:$B,0))</f>
        <v>39.537579000000001</v>
      </c>
      <c r="I70">
        <f>INDEX('AEO 38'!M:M,MATCH('psgr LDVs'!$B70,'AEO 38'!$B:$B,0))</f>
        <v>117.66728999999999</v>
      </c>
      <c r="J70">
        <f>INDEX('AEO 38'!N:N,MATCH('psgr LDVs'!$B70,'AEO 38'!$B:$B,0))</f>
        <v>136.57620199999999</v>
      </c>
      <c r="K70">
        <f>INDEX('AEO 38'!O:O,MATCH('psgr LDVs'!$B70,'AEO 38'!$B:$B,0))</f>
        <v>138.54098500000001</v>
      </c>
      <c r="L70">
        <f>INDEX('AEO 38'!P:P,MATCH('psgr LDVs'!$B70,'AEO 38'!$B:$B,0))</f>
        <v>138.300262</v>
      </c>
      <c r="M70">
        <f>INDEX('AEO 38'!Q:Q,MATCH('psgr LDVs'!$B70,'AEO 38'!$B:$B,0))</f>
        <v>138.926895</v>
      </c>
      <c r="N70">
        <f>INDEX('AEO 38'!R:R,MATCH('psgr LDVs'!$B70,'AEO 38'!$B:$B,0))</f>
        <v>141.40266399999999</v>
      </c>
      <c r="O70">
        <f>INDEX('AEO 38'!S:S,MATCH('psgr LDVs'!$B70,'AEO 38'!$B:$B,0))</f>
        <v>145.65278599999999</v>
      </c>
      <c r="P70">
        <f>INDEX('AEO 38'!T:T,MATCH('psgr LDVs'!$B70,'AEO 38'!$B:$B,0))</f>
        <v>149.34205600000001</v>
      </c>
      <c r="Q70">
        <f>INDEX('AEO 38'!U:U,MATCH('psgr LDVs'!$B70,'AEO 38'!$B:$B,0))</f>
        <v>152.88682600000001</v>
      </c>
      <c r="R70">
        <f>INDEX('AEO 38'!V:V,MATCH('psgr LDVs'!$B70,'AEO 38'!$B:$B,0))</f>
        <v>156.194107</v>
      </c>
      <c r="S70">
        <f>INDEX('AEO 38'!W:W,MATCH('psgr LDVs'!$B70,'AEO 38'!$B:$B,0))</f>
        <v>157.88142400000001</v>
      </c>
      <c r="T70">
        <f>INDEX('AEO 38'!X:X,MATCH('psgr LDVs'!$B70,'AEO 38'!$B:$B,0))</f>
        <v>159.08706699999999</v>
      </c>
      <c r="U70">
        <f>INDEX('AEO 38'!Y:Y,MATCH('psgr LDVs'!$B70,'AEO 38'!$B:$B,0))</f>
        <v>161.10990899999999</v>
      </c>
      <c r="V70">
        <f>INDEX('AEO 38'!Z:Z,MATCH('psgr LDVs'!$B70,'AEO 38'!$B:$B,0))</f>
        <v>162.462738</v>
      </c>
      <c r="W70">
        <f>INDEX('AEO 38'!AA:AA,MATCH('psgr LDVs'!$B70,'AEO 38'!$B:$B,0))</f>
        <v>163.21618699999999</v>
      </c>
      <c r="X70">
        <f>INDEX('AEO 38'!AB:AB,MATCH('psgr LDVs'!$B70,'AEO 38'!$B:$B,0))</f>
        <v>162.86558500000001</v>
      </c>
      <c r="Y70">
        <f>INDEX('AEO 38'!AC:AC,MATCH('psgr LDVs'!$B70,'AEO 38'!$B:$B,0))</f>
        <v>162.495621</v>
      </c>
      <c r="Z70">
        <f>INDEX('AEO 38'!AD:AD,MATCH('psgr LDVs'!$B70,'AEO 38'!$B:$B,0))</f>
        <v>161.73109400000001</v>
      </c>
      <c r="AA70">
        <f>INDEX('AEO 38'!AE:AE,MATCH('psgr LDVs'!$B70,'AEO 38'!$B:$B,0))</f>
        <v>161.126251</v>
      </c>
      <c r="AB70">
        <f>INDEX('AEO 38'!AF:AF,MATCH('psgr LDVs'!$B70,'AEO 38'!$B:$B,0))</f>
        <v>161.926086</v>
      </c>
      <c r="AC70">
        <f>INDEX('AEO 38'!AG:AG,MATCH('psgr LDVs'!$B70,'AEO 38'!$B:$B,0))</f>
        <v>160.603455</v>
      </c>
      <c r="AD70">
        <f>INDEX('AEO 38'!AH:AH,MATCH('psgr LDVs'!$B70,'AEO 38'!$B:$B,0))</f>
        <v>158.96165500000001</v>
      </c>
      <c r="AE70">
        <f>INDEX('AEO 38'!AI:AI,MATCH('psgr LDVs'!$B70,'AEO 38'!$B:$B,0))</f>
        <v>158.86811800000001</v>
      </c>
      <c r="AF70">
        <f>INDEX('AEO 38'!AJ:AJ,MATCH('psgr LDVs'!$B70,'AEO 38'!$B:$B,0))</f>
        <v>157.11866800000001</v>
      </c>
      <c r="AG70">
        <f>INDEX('AEO 38'!AK:AK,MATCH('psgr LDVs'!$B70,'AEO 38'!$B:$B,0))</f>
        <v>154.92442299999999</v>
      </c>
    </row>
    <row r="71" spans="1:33" ht="13.6">
      <c r="A71" s="114" t="s">
        <v>115</v>
      </c>
      <c r="B71" s="110" t="s">
        <v>943</v>
      </c>
      <c r="C71">
        <f>INDEX('AEO 38'!G:G,MATCH('psgr LDVs'!$B71,'AEO 38'!$B:$B,0))</f>
        <v>0</v>
      </c>
      <c r="D71">
        <f>INDEX('AEO 38'!H:H,MATCH('psgr LDVs'!$B71,'AEO 38'!$B:$B,0))</f>
        <v>0</v>
      </c>
      <c r="E71">
        <f>INDEX('AEO 38'!I:I,MATCH('psgr LDVs'!$B71,'AEO 38'!$B:$B,0))</f>
        <v>0</v>
      </c>
      <c r="F71">
        <f>INDEX('AEO 38'!J:J,MATCH('psgr LDVs'!$B71,'AEO 38'!$B:$B,0))</f>
        <v>0</v>
      </c>
      <c r="G71">
        <f>INDEX('AEO 38'!K:K,MATCH('psgr LDVs'!$B71,'AEO 38'!$B:$B,0))</f>
        <v>0</v>
      </c>
      <c r="H71">
        <f>INDEX('AEO 38'!L:L,MATCH('psgr LDVs'!$B71,'AEO 38'!$B:$B,0))</f>
        <v>0</v>
      </c>
      <c r="I71">
        <f>INDEX('AEO 38'!M:M,MATCH('psgr LDVs'!$B71,'AEO 38'!$B:$B,0))</f>
        <v>0</v>
      </c>
      <c r="J71">
        <f>INDEX('AEO 38'!N:N,MATCH('psgr LDVs'!$B71,'AEO 38'!$B:$B,0))</f>
        <v>0</v>
      </c>
      <c r="K71">
        <f>INDEX('AEO 38'!O:O,MATCH('psgr LDVs'!$B71,'AEO 38'!$B:$B,0))</f>
        <v>0</v>
      </c>
      <c r="L71">
        <f>INDEX('AEO 38'!P:P,MATCH('psgr LDVs'!$B71,'AEO 38'!$B:$B,0))</f>
        <v>0</v>
      </c>
      <c r="M71">
        <f>INDEX('AEO 38'!Q:Q,MATCH('psgr LDVs'!$B71,'AEO 38'!$B:$B,0))</f>
        <v>0</v>
      </c>
      <c r="N71">
        <f>INDEX('AEO 38'!R:R,MATCH('psgr LDVs'!$B71,'AEO 38'!$B:$B,0))</f>
        <v>0</v>
      </c>
      <c r="O71">
        <f>INDEX('AEO 38'!S:S,MATCH('psgr LDVs'!$B71,'AEO 38'!$B:$B,0))</f>
        <v>0</v>
      </c>
      <c r="P71">
        <f>INDEX('AEO 38'!T:T,MATCH('psgr LDVs'!$B71,'AEO 38'!$B:$B,0))</f>
        <v>0</v>
      </c>
      <c r="Q71">
        <f>INDEX('AEO 38'!U:U,MATCH('psgr LDVs'!$B71,'AEO 38'!$B:$B,0))</f>
        <v>0</v>
      </c>
      <c r="R71">
        <f>INDEX('AEO 38'!V:V,MATCH('psgr LDVs'!$B71,'AEO 38'!$B:$B,0))</f>
        <v>0</v>
      </c>
      <c r="S71">
        <f>INDEX('AEO 38'!W:W,MATCH('psgr LDVs'!$B71,'AEO 38'!$B:$B,0))</f>
        <v>0</v>
      </c>
      <c r="T71">
        <f>INDEX('AEO 38'!X:X,MATCH('psgr LDVs'!$B71,'AEO 38'!$B:$B,0))</f>
        <v>0</v>
      </c>
      <c r="U71">
        <f>INDEX('AEO 38'!Y:Y,MATCH('psgr LDVs'!$B71,'AEO 38'!$B:$B,0))</f>
        <v>0</v>
      </c>
      <c r="V71">
        <f>INDEX('AEO 38'!Z:Z,MATCH('psgr LDVs'!$B71,'AEO 38'!$B:$B,0))</f>
        <v>0</v>
      </c>
      <c r="W71">
        <f>INDEX('AEO 38'!AA:AA,MATCH('psgr LDVs'!$B71,'AEO 38'!$B:$B,0))</f>
        <v>0</v>
      </c>
      <c r="X71">
        <f>INDEX('AEO 38'!AB:AB,MATCH('psgr LDVs'!$B71,'AEO 38'!$B:$B,0))</f>
        <v>0</v>
      </c>
      <c r="Y71">
        <f>INDEX('AEO 38'!AC:AC,MATCH('psgr LDVs'!$B71,'AEO 38'!$B:$B,0))</f>
        <v>0</v>
      </c>
      <c r="Z71">
        <f>INDEX('AEO 38'!AD:AD,MATCH('psgr LDVs'!$B71,'AEO 38'!$B:$B,0))</f>
        <v>0</v>
      </c>
      <c r="AA71">
        <f>INDEX('AEO 38'!AE:AE,MATCH('psgr LDVs'!$B71,'AEO 38'!$B:$B,0))</f>
        <v>0</v>
      </c>
      <c r="AB71">
        <f>INDEX('AEO 38'!AF:AF,MATCH('psgr LDVs'!$B71,'AEO 38'!$B:$B,0))</f>
        <v>0</v>
      </c>
      <c r="AC71">
        <f>INDEX('AEO 38'!AG:AG,MATCH('psgr LDVs'!$B71,'AEO 38'!$B:$B,0))</f>
        <v>0</v>
      </c>
      <c r="AD71">
        <f>INDEX('AEO 38'!AH:AH,MATCH('psgr LDVs'!$B71,'AEO 38'!$B:$B,0))</f>
        <v>0</v>
      </c>
      <c r="AE71">
        <f>INDEX('AEO 38'!AI:AI,MATCH('psgr LDVs'!$B71,'AEO 38'!$B:$B,0))</f>
        <v>0</v>
      </c>
      <c r="AF71">
        <f>INDEX('AEO 38'!AJ:AJ,MATCH('psgr LDVs'!$B71,'AEO 38'!$B:$B,0))</f>
        <v>0</v>
      </c>
      <c r="AG71">
        <f>INDEX('AEO 38'!AK:AK,MATCH('psgr LDVs'!$B71,'AEO 38'!$B:$B,0))</f>
        <v>0</v>
      </c>
    </row>
    <row r="72" spans="1:33" ht="13.6">
      <c r="A72" s="114" t="s">
        <v>114</v>
      </c>
      <c r="B72" s="110" t="s">
        <v>944</v>
      </c>
      <c r="C72">
        <f>INDEX('AEO 38'!G:G,MATCH('psgr LDVs'!$B72,'AEO 38'!$B:$B,0))</f>
        <v>216.35252399999999</v>
      </c>
      <c r="D72">
        <f>INDEX('AEO 38'!H:H,MATCH('psgr LDVs'!$B72,'AEO 38'!$B:$B,0))</f>
        <v>258.38601699999998</v>
      </c>
      <c r="E72">
        <f>INDEX('AEO 38'!I:I,MATCH('psgr LDVs'!$B72,'AEO 38'!$B:$B,0))</f>
        <v>276.328217</v>
      </c>
      <c r="F72">
        <f>INDEX('AEO 38'!J:J,MATCH('psgr LDVs'!$B72,'AEO 38'!$B:$B,0))</f>
        <v>286.79894999999999</v>
      </c>
      <c r="G72">
        <f>INDEX('AEO 38'!K:K,MATCH('psgr LDVs'!$B72,'AEO 38'!$B:$B,0))</f>
        <v>303.40158100000002</v>
      </c>
      <c r="H72">
        <f>INDEX('AEO 38'!L:L,MATCH('psgr LDVs'!$B72,'AEO 38'!$B:$B,0))</f>
        <v>318.14312699999999</v>
      </c>
      <c r="I72">
        <f>INDEX('AEO 38'!M:M,MATCH('psgr LDVs'!$B72,'AEO 38'!$B:$B,0))</f>
        <v>371.40853900000002</v>
      </c>
      <c r="J72">
        <f>INDEX('AEO 38'!N:N,MATCH('psgr LDVs'!$B72,'AEO 38'!$B:$B,0))</f>
        <v>393.50906400000002</v>
      </c>
      <c r="K72">
        <f>INDEX('AEO 38'!O:O,MATCH('psgr LDVs'!$B72,'AEO 38'!$B:$B,0))</f>
        <v>407.98376500000001</v>
      </c>
      <c r="L72">
        <f>INDEX('AEO 38'!P:P,MATCH('psgr LDVs'!$B72,'AEO 38'!$B:$B,0))</f>
        <v>419.665527</v>
      </c>
      <c r="M72">
        <f>INDEX('AEO 38'!Q:Q,MATCH('psgr LDVs'!$B72,'AEO 38'!$B:$B,0))</f>
        <v>430.00949100000003</v>
      </c>
      <c r="N72">
        <f>INDEX('AEO 38'!R:R,MATCH('psgr LDVs'!$B72,'AEO 38'!$B:$B,0))</f>
        <v>443.32437099999999</v>
      </c>
      <c r="O72">
        <f>INDEX('AEO 38'!S:S,MATCH('psgr LDVs'!$B72,'AEO 38'!$B:$B,0))</f>
        <v>459.16482500000001</v>
      </c>
      <c r="P72">
        <f>INDEX('AEO 38'!T:T,MATCH('psgr LDVs'!$B72,'AEO 38'!$B:$B,0))</f>
        <v>473.461975</v>
      </c>
      <c r="Q72">
        <f>INDEX('AEO 38'!U:U,MATCH('psgr LDVs'!$B72,'AEO 38'!$B:$B,0))</f>
        <v>488.19302399999998</v>
      </c>
      <c r="R72">
        <f>INDEX('AEO 38'!V:V,MATCH('psgr LDVs'!$B72,'AEO 38'!$B:$B,0))</f>
        <v>503.16168199999998</v>
      </c>
      <c r="S72">
        <f>INDEX('AEO 38'!W:W,MATCH('psgr LDVs'!$B72,'AEO 38'!$B:$B,0))</f>
        <v>514.92602499999998</v>
      </c>
      <c r="T72">
        <f>INDEX('AEO 38'!X:X,MATCH('psgr LDVs'!$B72,'AEO 38'!$B:$B,0))</f>
        <v>525.28985599999999</v>
      </c>
      <c r="U72">
        <f>INDEX('AEO 38'!Y:Y,MATCH('psgr LDVs'!$B72,'AEO 38'!$B:$B,0))</f>
        <v>539.41119400000002</v>
      </c>
      <c r="V72">
        <f>INDEX('AEO 38'!Z:Z,MATCH('psgr LDVs'!$B72,'AEO 38'!$B:$B,0))</f>
        <v>552.56994599999996</v>
      </c>
      <c r="W72">
        <f>INDEX('AEO 38'!AA:AA,MATCH('psgr LDVs'!$B72,'AEO 38'!$B:$B,0))</f>
        <v>564.76415999999995</v>
      </c>
      <c r="X72">
        <f>INDEX('AEO 38'!AB:AB,MATCH('psgr LDVs'!$B72,'AEO 38'!$B:$B,0))</f>
        <v>576.14086899999995</v>
      </c>
      <c r="Y72">
        <f>INDEX('AEO 38'!AC:AC,MATCH('psgr LDVs'!$B72,'AEO 38'!$B:$B,0))</f>
        <v>588.35790999999995</v>
      </c>
      <c r="Z72">
        <f>INDEX('AEO 38'!AD:AD,MATCH('psgr LDVs'!$B72,'AEO 38'!$B:$B,0))</f>
        <v>599.37817399999994</v>
      </c>
      <c r="AA72">
        <f>INDEX('AEO 38'!AE:AE,MATCH('psgr LDVs'!$B72,'AEO 38'!$B:$B,0))</f>
        <v>611.18029799999999</v>
      </c>
      <c r="AB72">
        <f>INDEX('AEO 38'!AF:AF,MATCH('psgr LDVs'!$B72,'AEO 38'!$B:$B,0))</f>
        <v>628.86724900000002</v>
      </c>
      <c r="AC72">
        <f>INDEX('AEO 38'!AG:AG,MATCH('psgr LDVs'!$B72,'AEO 38'!$B:$B,0))</f>
        <v>639.23828100000003</v>
      </c>
      <c r="AD72">
        <f>INDEX('AEO 38'!AH:AH,MATCH('psgr LDVs'!$B72,'AEO 38'!$B:$B,0))</f>
        <v>649.35613999999998</v>
      </c>
      <c r="AE72">
        <f>INDEX('AEO 38'!AI:AI,MATCH('psgr LDVs'!$B72,'AEO 38'!$B:$B,0))</f>
        <v>666.44372599999997</v>
      </c>
      <c r="AF72">
        <f>INDEX('AEO 38'!AJ:AJ,MATCH('psgr LDVs'!$B72,'AEO 38'!$B:$B,0))</f>
        <v>676.73120100000006</v>
      </c>
      <c r="AG72">
        <f>INDEX('AEO 38'!AK:AK,MATCH('psgr LDVs'!$B72,'AEO 38'!$B:$B,0))</f>
        <v>685.68151899999998</v>
      </c>
    </row>
    <row r="73" spans="1:33" ht="13.6">
      <c r="A73" s="114" t="s">
        <v>113</v>
      </c>
      <c r="B73" s="110" t="s">
        <v>945</v>
      </c>
      <c r="C73">
        <f>INDEX('AEO 38'!G:G,MATCH('psgr LDVs'!$B73,'AEO 38'!$B:$B,0))</f>
        <v>0.87621000000000004</v>
      </c>
      <c r="D73">
        <f>INDEX('AEO 38'!H:H,MATCH('psgr LDVs'!$B73,'AEO 38'!$B:$B,0))</f>
        <v>0.99395999999999995</v>
      </c>
      <c r="E73">
        <f>INDEX('AEO 38'!I:I,MATCH('psgr LDVs'!$B73,'AEO 38'!$B:$B,0))</f>
        <v>1.051358</v>
      </c>
      <c r="F73">
        <f>INDEX('AEO 38'!J:J,MATCH('psgr LDVs'!$B73,'AEO 38'!$B:$B,0))</f>
        <v>1.1040430000000001</v>
      </c>
      <c r="G73">
        <f>INDEX('AEO 38'!K:K,MATCH('psgr LDVs'!$B73,'AEO 38'!$B:$B,0))</f>
        <v>1.17157</v>
      </c>
      <c r="H73">
        <f>INDEX('AEO 38'!L:L,MATCH('psgr LDVs'!$B73,'AEO 38'!$B:$B,0))</f>
        <v>1.2196130000000001</v>
      </c>
      <c r="I73">
        <f>INDEX('AEO 38'!M:M,MATCH('psgr LDVs'!$B73,'AEO 38'!$B:$B,0))</f>
        <v>1.2294160000000001</v>
      </c>
      <c r="J73">
        <f>INDEX('AEO 38'!N:N,MATCH('psgr LDVs'!$B73,'AEO 38'!$B:$B,0))</f>
        <v>1.212275</v>
      </c>
      <c r="K73">
        <f>INDEX('AEO 38'!O:O,MATCH('psgr LDVs'!$B73,'AEO 38'!$B:$B,0))</f>
        <v>1.219368</v>
      </c>
      <c r="L73">
        <f>INDEX('AEO 38'!P:P,MATCH('psgr LDVs'!$B73,'AEO 38'!$B:$B,0))</f>
        <v>1.2173890000000001</v>
      </c>
      <c r="M73">
        <f>INDEX('AEO 38'!Q:Q,MATCH('psgr LDVs'!$B73,'AEO 38'!$B:$B,0))</f>
        <v>1.1982729999999999</v>
      </c>
      <c r="N73">
        <f>INDEX('AEO 38'!R:R,MATCH('psgr LDVs'!$B73,'AEO 38'!$B:$B,0))</f>
        <v>1.1974880000000001</v>
      </c>
      <c r="O73">
        <f>INDEX('AEO 38'!S:S,MATCH('psgr LDVs'!$B73,'AEO 38'!$B:$B,0))</f>
        <v>1.201549</v>
      </c>
      <c r="P73">
        <f>INDEX('AEO 38'!T:T,MATCH('psgr LDVs'!$B73,'AEO 38'!$B:$B,0))</f>
        <v>1.2030479999999999</v>
      </c>
      <c r="Q73">
        <f>INDEX('AEO 38'!U:U,MATCH('psgr LDVs'!$B73,'AEO 38'!$B:$B,0))</f>
        <v>1.2060599999999999</v>
      </c>
      <c r="R73">
        <f>INDEX('AEO 38'!V:V,MATCH('psgr LDVs'!$B73,'AEO 38'!$B:$B,0))</f>
        <v>1.2143790000000001</v>
      </c>
      <c r="S73">
        <f>INDEX('AEO 38'!W:W,MATCH('psgr LDVs'!$B73,'AEO 38'!$B:$B,0))</f>
        <v>1.2150339999999999</v>
      </c>
      <c r="T73">
        <f>INDEX('AEO 38'!X:X,MATCH('psgr LDVs'!$B73,'AEO 38'!$B:$B,0))</f>
        <v>1.2121649999999999</v>
      </c>
      <c r="U73">
        <f>INDEX('AEO 38'!Y:Y,MATCH('psgr LDVs'!$B73,'AEO 38'!$B:$B,0))</f>
        <v>1.217994</v>
      </c>
      <c r="V73">
        <f>INDEX('AEO 38'!Z:Z,MATCH('psgr LDVs'!$B73,'AEO 38'!$B:$B,0))</f>
        <v>1.2236469999999999</v>
      </c>
      <c r="W73">
        <f>INDEX('AEO 38'!AA:AA,MATCH('psgr LDVs'!$B73,'AEO 38'!$B:$B,0))</f>
        <v>1.226083</v>
      </c>
      <c r="X73">
        <f>INDEX('AEO 38'!AB:AB,MATCH('psgr LDVs'!$B73,'AEO 38'!$B:$B,0))</f>
        <v>1.2284310000000001</v>
      </c>
      <c r="Y73">
        <f>INDEX('AEO 38'!AC:AC,MATCH('psgr LDVs'!$B73,'AEO 38'!$B:$B,0))</f>
        <v>1.2325710000000001</v>
      </c>
      <c r="Z73">
        <f>INDEX('AEO 38'!AD:AD,MATCH('psgr LDVs'!$B73,'AEO 38'!$B:$B,0))</f>
        <v>1.233757</v>
      </c>
      <c r="AA73">
        <f>INDEX('AEO 38'!AE:AE,MATCH('psgr LDVs'!$B73,'AEO 38'!$B:$B,0))</f>
        <v>1.236186</v>
      </c>
      <c r="AB73">
        <f>INDEX('AEO 38'!AF:AF,MATCH('psgr LDVs'!$B73,'AEO 38'!$B:$B,0))</f>
        <v>1.249331</v>
      </c>
      <c r="AC73">
        <f>INDEX('AEO 38'!AG:AG,MATCH('psgr LDVs'!$B73,'AEO 38'!$B:$B,0))</f>
        <v>1.248434</v>
      </c>
      <c r="AD73">
        <f>INDEX('AEO 38'!AH:AH,MATCH('psgr LDVs'!$B73,'AEO 38'!$B:$B,0))</f>
        <v>1.2473430000000001</v>
      </c>
      <c r="AE73">
        <f>INDEX('AEO 38'!AI:AI,MATCH('psgr LDVs'!$B73,'AEO 38'!$B:$B,0))</f>
        <v>1.25969</v>
      </c>
      <c r="AF73">
        <f>INDEX('AEO 38'!AJ:AJ,MATCH('psgr LDVs'!$B73,'AEO 38'!$B:$B,0))</f>
        <v>1.2579670000000001</v>
      </c>
      <c r="AG73">
        <f>INDEX('AEO 38'!AK:AK,MATCH('psgr LDVs'!$B73,'AEO 38'!$B:$B,0))</f>
        <v>1.2542310000000001</v>
      </c>
    </row>
    <row r="74" spans="1:33" ht="13.6">
      <c r="A74" s="114" t="s">
        <v>113</v>
      </c>
      <c r="B74" s="110" t="s">
        <v>946</v>
      </c>
      <c r="C74">
        <f>INDEX('AEO 38'!G:G,MATCH('psgr LDVs'!$B74,'AEO 38'!$B:$B,0))</f>
        <v>4.7817299999999996</v>
      </c>
      <c r="D74">
        <f>INDEX('AEO 38'!H:H,MATCH('psgr LDVs'!$B74,'AEO 38'!$B:$B,0))</f>
        <v>5.3511170000000003</v>
      </c>
      <c r="E74">
        <f>INDEX('AEO 38'!I:I,MATCH('psgr LDVs'!$B74,'AEO 38'!$B:$B,0))</f>
        <v>5.5524279999999999</v>
      </c>
      <c r="F74">
        <f>INDEX('AEO 38'!J:J,MATCH('psgr LDVs'!$B74,'AEO 38'!$B:$B,0))</f>
        <v>5.6912250000000002</v>
      </c>
      <c r="G74">
        <f>INDEX('AEO 38'!K:K,MATCH('psgr LDVs'!$B74,'AEO 38'!$B:$B,0))</f>
        <v>5.9136699999999998</v>
      </c>
      <c r="H74">
        <f>INDEX('AEO 38'!L:L,MATCH('psgr LDVs'!$B74,'AEO 38'!$B:$B,0))</f>
        <v>6.088209</v>
      </c>
      <c r="I74">
        <f>INDEX('AEO 38'!M:M,MATCH('psgr LDVs'!$B74,'AEO 38'!$B:$B,0))</f>
        <v>6.1020089999999998</v>
      </c>
      <c r="J74">
        <f>INDEX('AEO 38'!N:N,MATCH('psgr LDVs'!$B74,'AEO 38'!$B:$B,0))</f>
        <v>6.0040950000000004</v>
      </c>
      <c r="K74">
        <f>INDEX('AEO 38'!O:O,MATCH('psgr LDVs'!$B74,'AEO 38'!$B:$B,0))</f>
        <v>6.0356569999999996</v>
      </c>
      <c r="L74">
        <f>INDEX('AEO 38'!P:P,MATCH('psgr LDVs'!$B74,'AEO 38'!$B:$B,0))</f>
        <v>6.0331970000000004</v>
      </c>
      <c r="M74">
        <f>INDEX('AEO 38'!Q:Q,MATCH('psgr LDVs'!$B74,'AEO 38'!$B:$B,0))</f>
        <v>5.9192840000000002</v>
      </c>
      <c r="N74">
        <f>INDEX('AEO 38'!R:R,MATCH('psgr LDVs'!$B74,'AEO 38'!$B:$B,0))</f>
        <v>5.9185179999999997</v>
      </c>
      <c r="O74">
        <f>INDEX('AEO 38'!S:S,MATCH('psgr LDVs'!$B74,'AEO 38'!$B:$B,0))</f>
        <v>5.9289249999999996</v>
      </c>
      <c r="P74">
        <f>INDEX('AEO 38'!T:T,MATCH('psgr LDVs'!$B74,'AEO 38'!$B:$B,0))</f>
        <v>5.9312319999999996</v>
      </c>
      <c r="Q74">
        <f>INDEX('AEO 38'!U:U,MATCH('psgr LDVs'!$B74,'AEO 38'!$B:$B,0))</f>
        <v>5.9259380000000004</v>
      </c>
      <c r="R74">
        <f>INDEX('AEO 38'!V:V,MATCH('psgr LDVs'!$B74,'AEO 38'!$B:$B,0))</f>
        <v>5.9714159999999996</v>
      </c>
      <c r="S74">
        <f>INDEX('AEO 38'!W:W,MATCH('psgr LDVs'!$B74,'AEO 38'!$B:$B,0))</f>
        <v>5.9710169999999998</v>
      </c>
      <c r="T74">
        <f>INDEX('AEO 38'!X:X,MATCH('psgr LDVs'!$B74,'AEO 38'!$B:$B,0))</f>
        <v>5.9470619999999998</v>
      </c>
      <c r="U74">
        <f>INDEX('AEO 38'!Y:Y,MATCH('psgr LDVs'!$B74,'AEO 38'!$B:$B,0))</f>
        <v>5.960375</v>
      </c>
      <c r="V74">
        <f>INDEX('AEO 38'!Z:Z,MATCH('psgr LDVs'!$B74,'AEO 38'!$B:$B,0))</f>
        <v>5.9814780000000001</v>
      </c>
      <c r="W74">
        <f>INDEX('AEO 38'!AA:AA,MATCH('psgr LDVs'!$B74,'AEO 38'!$B:$B,0))</f>
        <v>5.9808849999999998</v>
      </c>
      <c r="X74">
        <f>INDEX('AEO 38'!AB:AB,MATCH('psgr LDVs'!$B74,'AEO 38'!$B:$B,0))</f>
        <v>5.9818049999999996</v>
      </c>
      <c r="Y74">
        <f>INDEX('AEO 38'!AC:AC,MATCH('psgr LDVs'!$B74,'AEO 38'!$B:$B,0))</f>
        <v>5.9949300000000001</v>
      </c>
      <c r="Z74">
        <f>INDEX('AEO 38'!AD:AD,MATCH('psgr LDVs'!$B74,'AEO 38'!$B:$B,0))</f>
        <v>5.989414</v>
      </c>
      <c r="AA74">
        <f>INDEX('AEO 38'!AE:AE,MATCH('psgr LDVs'!$B74,'AEO 38'!$B:$B,0))</f>
        <v>5.98766</v>
      </c>
      <c r="AB74">
        <f>INDEX('AEO 38'!AF:AF,MATCH('psgr LDVs'!$B74,'AEO 38'!$B:$B,0))</f>
        <v>6.0344800000000003</v>
      </c>
      <c r="AC74">
        <f>INDEX('AEO 38'!AG:AG,MATCH('psgr LDVs'!$B74,'AEO 38'!$B:$B,0))</f>
        <v>6.021496</v>
      </c>
      <c r="AD74">
        <f>INDEX('AEO 38'!AH:AH,MATCH('psgr LDVs'!$B74,'AEO 38'!$B:$B,0))</f>
        <v>6.0008499999999998</v>
      </c>
      <c r="AE74">
        <f>INDEX('AEO 38'!AI:AI,MATCH('psgr LDVs'!$B74,'AEO 38'!$B:$B,0))</f>
        <v>6.0470119999999996</v>
      </c>
      <c r="AF74">
        <f>INDEX('AEO 38'!AJ:AJ,MATCH('psgr LDVs'!$B74,'AEO 38'!$B:$B,0))</f>
        <v>6.0168489999999997</v>
      </c>
      <c r="AG74">
        <f>INDEX('AEO 38'!AK:AK,MATCH('psgr LDVs'!$B74,'AEO 38'!$B:$B,0))</f>
        <v>5.9768429999999997</v>
      </c>
    </row>
    <row r="75" spans="1:33" ht="13.6">
      <c r="A75" s="114" t="s">
        <v>853</v>
      </c>
      <c r="B75" s="110" t="s">
        <v>947</v>
      </c>
      <c r="C75">
        <f>INDEX('AEO 38'!G:G,MATCH('psgr LDVs'!$B75,'AEO 38'!$B:$B,0))</f>
        <v>0.89677600000000002</v>
      </c>
      <c r="D75">
        <f>INDEX('AEO 38'!H:H,MATCH('psgr LDVs'!$B75,'AEO 38'!$B:$B,0))</f>
        <v>1.05261</v>
      </c>
      <c r="E75">
        <f>INDEX('AEO 38'!I:I,MATCH('psgr LDVs'!$B75,'AEO 38'!$B:$B,0))</f>
        <v>1.111326</v>
      </c>
      <c r="F75">
        <f>INDEX('AEO 38'!J:J,MATCH('psgr LDVs'!$B75,'AEO 38'!$B:$B,0))</f>
        <v>1.1517440000000001</v>
      </c>
      <c r="G75">
        <f>INDEX('AEO 38'!K:K,MATCH('psgr LDVs'!$B75,'AEO 38'!$B:$B,0))</f>
        <v>1.2034370000000001</v>
      </c>
      <c r="H75">
        <f>INDEX('AEO 38'!L:L,MATCH('psgr LDVs'!$B75,'AEO 38'!$B:$B,0))</f>
        <v>1.2427410000000001</v>
      </c>
      <c r="I75">
        <f>INDEX('AEO 38'!M:M,MATCH('psgr LDVs'!$B75,'AEO 38'!$B:$B,0))</f>
        <v>1.266402</v>
      </c>
      <c r="J75">
        <f>INDEX('AEO 38'!N:N,MATCH('psgr LDVs'!$B75,'AEO 38'!$B:$B,0))</f>
        <v>1.268268</v>
      </c>
      <c r="K75">
        <f>INDEX('AEO 38'!O:O,MATCH('psgr LDVs'!$B75,'AEO 38'!$B:$B,0))</f>
        <v>1.2902039999999999</v>
      </c>
      <c r="L75">
        <f>INDEX('AEO 38'!P:P,MATCH('psgr LDVs'!$B75,'AEO 38'!$B:$B,0))</f>
        <v>1.3070280000000001</v>
      </c>
      <c r="M75">
        <f>INDEX('AEO 38'!Q:Q,MATCH('psgr LDVs'!$B75,'AEO 38'!$B:$B,0))</f>
        <v>1.3013950000000001</v>
      </c>
      <c r="N75">
        <f>INDEX('AEO 38'!R:R,MATCH('psgr LDVs'!$B75,'AEO 38'!$B:$B,0))</f>
        <v>1.309787</v>
      </c>
      <c r="O75">
        <f>INDEX('AEO 38'!S:S,MATCH('psgr LDVs'!$B75,'AEO 38'!$B:$B,0))</f>
        <v>1.32857</v>
      </c>
      <c r="P75">
        <f>INDEX('AEO 38'!T:T,MATCH('psgr LDVs'!$B75,'AEO 38'!$B:$B,0))</f>
        <v>1.3452820000000001</v>
      </c>
      <c r="Q75">
        <f>INDEX('AEO 38'!U:U,MATCH('psgr LDVs'!$B75,'AEO 38'!$B:$B,0))</f>
        <v>1.3697189999999999</v>
      </c>
      <c r="R75">
        <f>INDEX('AEO 38'!V:V,MATCH('psgr LDVs'!$B75,'AEO 38'!$B:$B,0))</f>
        <v>1.390582</v>
      </c>
      <c r="S75">
        <f>INDEX('AEO 38'!W:W,MATCH('psgr LDVs'!$B75,'AEO 38'!$B:$B,0))</f>
        <v>1.4033450000000001</v>
      </c>
      <c r="T75">
        <f>INDEX('AEO 38'!X:X,MATCH('psgr LDVs'!$B75,'AEO 38'!$B:$B,0))</f>
        <v>1.4135169999999999</v>
      </c>
      <c r="U75">
        <f>INDEX('AEO 38'!Y:Y,MATCH('psgr LDVs'!$B75,'AEO 38'!$B:$B,0))</f>
        <v>1.4373009999999999</v>
      </c>
      <c r="V75">
        <f>INDEX('AEO 38'!Z:Z,MATCH('psgr LDVs'!$B75,'AEO 38'!$B:$B,0))</f>
        <v>1.4608140000000001</v>
      </c>
      <c r="W75">
        <f>INDEX('AEO 38'!AA:AA,MATCH('psgr LDVs'!$B75,'AEO 38'!$B:$B,0))</f>
        <v>1.48447</v>
      </c>
      <c r="X75">
        <f>INDEX('AEO 38'!AB:AB,MATCH('psgr LDVs'!$B75,'AEO 38'!$B:$B,0))</f>
        <v>1.5096099999999999</v>
      </c>
      <c r="Y75">
        <f>INDEX('AEO 38'!AC:AC,MATCH('psgr LDVs'!$B75,'AEO 38'!$B:$B,0))</f>
        <v>1.535431</v>
      </c>
      <c r="Z75">
        <f>INDEX('AEO 38'!AD:AD,MATCH('psgr LDVs'!$B75,'AEO 38'!$B:$B,0))</f>
        <v>1.5651459999999999</v>
      </c>
      <c r="AA75">
        <f>INDEX('AEO 38'!AE:AE,MATCH('psgr LDVs'!$B75,'AEO 38'!$B:$B,0))</f>
        <v>1.59473</v>
      </c>
      <c r="AB75">
        <f>INDEX('AEO 38'!AF:AF,MATCH('psgr LDVs'!$B75,'AEO 38'!$B:$B,0))</f>
        <v>1.645246</v>
      </c>
      <c r="AC75">
        <f>INDEX('AEO 38'!AG:AG,MATCH('psgr LDVs'!$B75,'AEO 38'!$B:$B,0))</f>
        <v>1.670202</v>
      </c>
      <c r="AD75">
        <f>INDEX('AEO 38'!AH:AH,MATCH('psgr LDVs'!$B75,'AEO 38'!$B:$B,0))</f>
        <v>1.6961090000000001</v>
      </c>
      <c r="AE75">
        <f>INDEX('AEO 38'!AI:AI,MATCH('psgr LDVs'!$B75,'AEO 38'!$B:$B,0))</f>
        <v>1.738963</v>
      </c>
      <c r="AF75">
        <f>INDEX('AEO 38'!AJ:AJ,MATCH('psgr LDVs'!$B75,'AEO 38'!$B:$B,0))</f>
        <v>1.7687390000000001</v>
      </c>
      <c r="AG75">
        <f>INDEX('AEO 38'!AK:AK,MATCH('psgr LDVs'!$B75,'AEO 38'!$B:$B,0))</f>
        <v>1.797183</v>
      </c>
    </row>
    <row r="76" spans="1:33" ht="13.6">
      <c r="A76" s="114" t="s">
        <v>853</v>
      </c>
      <c r="B76" s="110" t="s">
        <v>948</v>
      </c>
      <c r="C76">
        <f>INDEX('AEO 38'!G:G,MATCH('psgr LDVs'!$B76,'AEO 38'!$B:$B,0))</f>
        <v>3.090303</v>
      </c>
      <c r="D76">
        <f>INDEX('AEO 38'!H:H,MATCH('psgr LDVs'!$B76,'AEO 38'!$B:$B,0))</f>
        <v>3.458326</v>
      </c>
      <c r="E76">
        <f>INDEX('AEO 38'!I:I,MATCH('psgr LDVs'!$B76,'AEO 38'!$B:$B,0))</f>
        <v>3.588009</v>
      </c>
      <c r="F76">
        <f>INDEX('AEO 38'!J:J,MATCH('psgr LDVs'!$B76,'AEO 38'!$B:$B,0))</f>
        <v>3.677521</v>
      </c>
      <c r="G76">
        <f>INDEX('AEO 38'!K:K,MATCH('psgr LDVs'!$B76,'AEO 38'!$B:$B,0))</f>
        <v>3.8209369999999998</v>
      </c>
      <c r="H76">
        <f>INDEX('AEO 38'!L:L,MATCH('psgr LDVs'!$B76,'AEO 38'!$B:$B,0))</f>
        <v>3.9335550000000001</v>
      </c>
      <c r="I76">
        <f>INDEX('AEO 38'!M:M,MATCH('psgr LDVs'!$B76,'AEO 38'!$B:$B,0))</f>
        <v>3.942421</v>
      </c>
      <c r="J76">
        <f>INDEX('AEO 38'!N:N,MATCH('psgr LDVs'!$B76,'AEO 38'!$B:$B,0))</f>
        <v>3.8790100000000001</v>
      </c>
      <c r="K76">
        <f>INDEX('AEO 38'!O:O,MATCH('psgr LDVs'!$B76,'AEO 38'!$B:$B,0))</f>
        <v>3.8991449999999999</v>
      </c>
      <c r="L76">
        <f>INDEX('AEO 38'!P:P,MATCH('psgr LDVs'!$B76,'AEO 38'!$B:$B,0))</f>
        <v>3.8973360000000001</v>
      </c>
      <c r="M76">
        <f>INDEX('AEO 38'!Q:Q,MATCH('psgr LDVs'!$B76,'AEO 38'!$B:$B,0))</f>
        <v>3.82362</v>
      </c>
      <c r="N76">
        <f>INDEX('AEO 38'!R:R,MATCH('psgr LDVs'!$B76,'AEO 38'!$B:$B,0))</f>
        <v>3.8229820000000001</v>
      </c>
      <c r="O76">
        <f>INDEX('AEO 38'!S:S,MATCH('psgr LDVs'!$B76,'AEO 38'!$B:$B,0))</f>
        <v>3.8294739999999998</v>
      </c>
      <c r="P76">
        <f>INDEX('AEO 38'!T:T,MATCH('psgr LDVs'!$B76,'AEO 38'!$B:$B,0))</f>
        <v>3.8307389999999999</v>
      </c>
      <c r="Q76">
        <f>INDEX('AEO 38'!U:U,MATCH('psgr LDVs'!$B76,'AEO 38'!$B:$B,0))</f>
        <v>3.8269099999999998</v>
      </c>
      <c r="R76">
        <f>INDEX('AEO 38'!V:V,MATCH('psgr LDVs'!$B76,'AEO 38'!$B:$B,0))</f>
        <v>3.85623</v>
      </c>
      <c r="S76">
        <f>INDEX('AEO 38'!W:W,MATCH('psgr LDVs'!$B76,'AEO 38'!$B:$B,0))</f>
        <v>3.855715</v>
      </c>
      <c r="T76">
        <f>INDEX('AEO 38'!X:X,MATCH('psgr LDVs'!$B76,'AEO 38'!$B:$B,0))</f>
        <v>3.8398620000000001</v>
      </c>
      <c r="U76">
        <f>INDEX('AEO 38'!Y:Y,MATCH('psgr LDVs'!$B76,'AEO 38'!$B:$B,0))</f>
        <v>3.8480690000000002</v>
      </c>
      <c r="V76">
        <f>INDEX('AEO 38'!Z:Z,MATCH('psgr LDVs'!$B76,'AEO 38'!$B:$B,0))</f>
        <v>3.8614670000000002</v>
      </c>
      <c r="W76">
        <f>INDEX('AEO 38'!AA:AA,MATCH('psgr LDVs'!$B76,'AEO 38'!$B:$B,0))</f>
        <v>3.8607119999999999</v>
      </c>
      <c r="X76">
        <f>INDEX('AEO 38'!AB:AB,MATCH('psgr LDVs'!$B76,'AEO 38'!$B:$B,0))</f>
        <v>3.860967</v>
      </c>
      <c r="Y76">
        <f>INDEX('AEO 38'!AC:AC,MATCH('psgr LDVs'!$B76,'AEO 38'!$B:$B,0))</f>
        <v>3.8691749999999998</v>
      </c>
      <c r="Z76">
        <f>INDEX('AEO 38'!AD:AD,MATCH('psgr LDVs'!$B76,'AEO 38'!$B:$B,0))</f>
        <v>3.865335</v>
      </c>
      <c r="AA76">
        <f>INDEX('AEO 38'!AE:AE,MATCH('psgr LDVs'!$B76,'AEO 38'!$B:$B,0))</f>
        <v>3.8637869999999999</v>
      </c>
      <c r="AB76">
        <f>INDEX('AEO 38'!AF:AF,MATCH('psgr LDVs'!$B76,'AEO 38'!$B:$B,0))</f>
        <v>3.8935170000000001</v>
      </c>
      <c r="AC76">
        <f>INDEX('AEO 38'!AG:AG,MATCH('psgr LDVs'!$B76,'AEO 38'!$B:$B,0))</f>
        <v>3.884741</v>
      </c>
      <c r="AD76">
        <f>INDEX('AEO 38'!AH:AH,MATCH('psgr LDVs'!$B76,'AEO 38'!$B:$B,0))</f>
        <v>3.8709609999999999</v>
      </c>
      <c r="AE76">
        <f>INDEX('AEO 38'!AI:AI,MATCH('psgr LDVs'!$B76,'AEO 38'!$B:$B,0))</f>
        <v>3.900309</v>
      </c>
      <c r="AF76">
        <f>INDEX('AEO 38'!AJ:AJ,MATCH('psgr LDVs'!$B76,'AEO 38'!$B:$B,0))</f>
        <v>3.8801960000000002</v>
      </c>
      <c r="AG76">
        <f>INDEX('AEO 38'!AK:AK,MATCH('psgr LDVs'!$B76,'AEO 38'!$B:$B,0))</f>
        <v>3.8538230000000002</v>
      </c>
    </row>
    <row r="77" spans="1:33" ht="13.6">
      <c r="A77" s="114" t="s">
        <v>854</v>
      </c>
      <c r="B77" s="110" t="s">
        <v>949</v>
      </c>
      <c r="C77">
        <f>INDEX('AEO 38'!G:G,MATCH('psgr LDVs'!$B77,'AEO 38'!$B:$B,0))</f>
        <v>0</v>
      </c>
      <c r="D77">
        <f>INDEX('AEO 38'!H:H,MATCH('psgr LDVs'!$B77,'AEO 38'!$B:$B,0))</f>
        <v>0</v>
      </c>
      <c r="E77">
        <f>INDEX('AEO 38'!I:I,MATCH('psgr LDVs'!$B77,'AEO 38'!$B:$B,0))</f>
        <v>0</v>
      </c>
      <c r="F77">
        <f>INDEX('AEO 38'!J:J,MATCH('psgr LDVs'!$B77,'AEO 38'!$B:$B,0))</f>
        <v>0</v>
      </c>
      <c r="G77">
        <f>INDEX('AEO 38'!K:K,MATCH('psgr LDVs'!$B77,'AEO 38'!$B:$B,0))</f>
        <v>0</v>
      </c>
      <c r="H77">
        <f>INDEX('AEO 38'!L:L,MATCH('psgr LDVs'!$B77,'AEO 38'!$B:$B,0))</f>
        <v>0</v>
      </c>
      <c r="I77">
        <f>INDEX('AEO 38'!M:M,MATCH('psgr LDVs'!$B77,'AEO 38'!$B:$B,0))</f>
        <v>0</v>
      </c>
      <c r="J77">
        <f>INDEX('AEO 38'!N:N,MATCH('psgr LDVs'!$B77,'AEO 38'!$B:$B,0))</f>
        <v>0</v>
      </c>
      <c r="K77">
        <f>INDEX('AEO 38'!O:O,MATCH('psgr LDVs'!$B77,'AEO 38'!$B:$B,0))</f>
        <v>0</v>
      </c>
      <c r="L77">
        <f>INDEX('AEO 38'!P:P,MATCH('psgr LDVs'!$B77,'AEO 38'!$B:$B,0))</f>
        <v>0</v>
      </c>
      <c r="M77">
        <f>INDEX('AEO 38'!Q:Q,MATCH('psgr LDVs'!$B77,'AEO 38'!$B:$B,0))</f>
        <v>0</v>
      </c>
      <c r="N77">
        <f>INDEX('AEO 38'!R:R,MATCH('psgr LDVs'!$B77,'AEO 38'!$B:$B,0))</f>
        <v>0</v>
      </c>
      <c r="O77">
        <f>INDEX('AEO 38'!S:S,MATCH('psgr LDVs'!$B77,'AEO 38'!$B:$B,0))</f>
        <v>0</v>
      </c>
      <c r="P77">
        <f>INDEX('AEO 38'!T:T,MATCH('psgr LDVs'!$B77,'AEO 38'!$B:$B,0))</f>
        <v>0</v>
      </c>
      <c r="Q77">
        <f>INDEX('AEO 38'!U:U,MATCH('psgr LDVs'!$B77,'AEO 38'!$B:$B,0))</f>
        <v>0</v>
      </c>
      <c r="R77">
        <f>INDEX('AEO 38'!V:V,MATCH('psgr LDVs'!$B77,'AEO 38'!$B:$B,0))</f>
        <v>0</v>
      </c>
      <c r="S77">
        <f>INDEX('AEO 38'!W:W,MATCH('psgr LDVs'!$B77,'AEO 38'!$B:$B,0))</f>
        <v>0</v>
      </c>
      <c r="T77">
        <f>INDEX('AEO 38'!X:X,MATCH('psgr LDVs'!$B77,'AEO 38'!$B:$B,0))</f>
        <v>0</v>
      </c>
      <c r="U77">
        <f>INDEX('AEO 38'!Y:Y,MATCH('psgr LDVs'!$B77,'AEO 38'!$B:$B,0))</f>
        <v>0</v>
      </c>
      <c r="V77">
        <f>INDEX('AEO 38'!Z:Z,MATCH('psgr LDVs'!$B77,'AEO 38'!$B:$B,0))</f>
        <v>0</v>
      </c>
      <c r="W77">
        <f>INDEX('AEO 38'!AA:AA,MATCH('psgr LDVs'!$B77,'AEO 38'!$B:$B,0))</f>
        <v>0</v>
      </c>
      <c r="X77">
        <f>INDEX('AEO 38'!AB:AB,MATCH('psgr LDVs'!$B77,'AEO 38'!$B:$B,0))</f>
        <v>0</v>
      </c>
      <c r="Y77">
        <f>INDEX('AEO 38'!AC:AC,MATCH('psgr LDVs'!$B77,'AEO 38'!$B:$B,0))</f>
        <v>0</v>
      </c>
      <c r="Z77">
        <f>INDEX('AEO 38'!AD:AD,MATCH('psgr LDVs'!$B77,'AEO 38'!$B:$B,0))</f>
        <v>0</v>
      </c>
      <c r="AA77">
        <f>INDEX('AEO 38'!AE:AE,MATCH('psgr LDVs'!$B77,'AEO 38'!$B:$B,0))</f>
        <v>0</v>
      </c>
      <c r="AB77">
        <f>INDEX('AEO 38'!AF:AF,MATCH('psgr LDVs'!$B77,'AEO 38'!$B:$B,0))</f>
        <v>0</v>
      </c>
      <c r="AC77">
        <f>INDEX('AEO 38'!AG:AG,MATCH('psgr LDVs'!$B77,'AEO 38'!$B:$B,0))</f>
        <v>0</v>
      </c>
      <c r="AD77">
        <f>INDEX('AEO 38'!AH:AH,MATCH('psgr LDVs'!$B77,'AEO 38'!$B:$B,0))</f>
        <v>0</v>
      </c>
      <c r="AE77">
        <f>INDEX('AEO 38'!AI:AI,MATCH('psgr LDVs'!$B77,'AEO 38'!$B:$B,0))</f>
        <v>0</v>
      </c>
      <c r="AF77">
        <f>INDEX('AEO 38'!AJ:AJ,MATCH('psgr LDVs'!$B77,'AEO 38'!$B:$B,0))</f>
        <v>0</v>
      </c>
      <c r="AG77">
        <f>INDEX('AEO 38'!AK:AK,MATCH('psgr LDVs'!$B77,'AEO 38'!$B:$B,0))</f>
        <v>0</v>
      </c>
    </row>
    <row r="78" spans="1:33" ht="13.6">
      <c r="A78" s="114" t="s">
        <v>854</v>
      </c>
      <c r="B78" s="110" t="s">
        <v>950</v>
      </c>
      <c r="C78">
        <f>INDEX('AEO 38'!G:G,MATCH('psgr LDVs'!$B78,'AEO 38'!$B:$B,0))</f>
        <v>5.2639999999999996E-3</v>
      </c>
      <c r="D78">
        <f>INDEX('AEO 38'!H:H,MATCH('psgr LDVs'!$B78,'AEO 38'!$B:$B,0))</f>
        <v>7.7629999999999999E-3</v>
      </c>
      <c r="E78">
        <f>INDEX('AEO 38'!I:I,MATCH('psgr LDVs'!$B78,'AEO 38'!$B:$B,0))</f>
        <v>1.0618000000000001E-2</v>
      </c>
      <c r="F78">
        <f>INDEX('AEO 38'!J:J,MATCH('psgr LDVs'!$B78,'AEO 38'!$B:$B,0))</f>
        <v>1.4217E-2</v>
      </c>
      <c r="G78">
        <f>INDEX('AEO 38'!K:K,MATCH('psgr LDVs'!$B78,'AEO 38'!$B:$B,0))</f>
        <v>1.9189999999999999E-2</v>
      </c>
      <c r="H78">
        <f>INDEX('AEO 38'!L:L,MATCH('psgr LDVs'!$B78,'AEO 38'!$B:$B,0))</f>
        <v>2.647E-2</v>
      </c>
      <c r="I78">
        <f>INDEX('AEO 38'!M:M,MATCH('psgr LDVs'!$B78,'AEO 38'!$B:$B,0))</f>
        <v>3.3589000000000001E-2</v>
      </c>
      <c r="J78">
        <f>INDEX('AEO 38'!N:N,MATCH('psgr LDVs'!$B78,'AEO 38'!$B:$B,0))</f>
        <v>4.1590000000000002E-2</v>
      </c>
      <c r="K78">
        <f>INDEX('AEO 38'!O:O,MATCH('psgr LDVs'!$B78,'AEO 38'!$B:$B,0))</f>
        <v>5.2060000000000002E-2</v>
      </c>
      <c r="L78">
        <f>INDEX('AEO 38'!P:P,MATCH('psgr LDVs'!$B78,'AEO 38'!$B:$B,0))</f>
        <v>6.3929E-2</v>
      </c>
      <c r="M78">
        <f>INDEX('AEO 38'!Q:Q,MATCH('psgr LDVs'!$B78,'AEO 38'!$B:$B,0))</f>
        <v>7.6158000000000003E-2</v>
      </c>
      <c r="N78">
        <f>INDEX('AEO 38'!R:R,MATCH('psgr LDVs'!$B78,'AEO 38'!$B:$B,0))</f>
        <v>9.0309E-2</v>
      </c>
      <c r="O78">
        <f>INDEX('AEO 38'!S:S,MATCH('psgr LDVs'!$B78,'AEO 38'!$B:$B,0))</f>
        <v>0.105613</v>
      </c>
      <c r="P78">
        <f>INDEX('AEO 38'!T:T,MATCH('psgr LDVs'!$B78,'AEO 38'!$B:$B,0))</f>
        <v>0.121169</v>
      </c>
      <c r="Q78">
        <f>INDEX('AEO 38'!U:U,MATCH('psgr LDVs'!$B78,'AEO 38'!$B:$B,0))</f>
        <v>0.13674</v>
      </c>
      <c r="R78">
        <f>INDEX('AEO 38'!V:V,MATCH('psgr LDVs'!$B78,'AEO 38'!$B:$B,0))</f>
        <v>0.15282100000000001</v>
      </c>
      <c r="S78">
        <f>INDEX('AEO 38'!W:W,MATCH('psgr LDVs'!$B78,'AEO 38'!$B:$B,0))</f>
        <v>0.16733899999999999</v>
      </c>
      <c r="T78">
        <f>INDEX('AEO 38'!X:X,MATCH('psgr LDVs'!$B78,'AEO 38'!$B:$B,0))</f>
        <v>0.18047299999999999</v>
      </c>
      <c r="U78">
        <f>INDEX('AEO 38'!Y:Y,MATCH('psgr LDVs'!$B78,'AEO 38'!$B:$B,0))</f>
        <v>0.19391900000000001</v>
      </c>
      <c r="V78">
        <f>INDEX('AEO 38'!Z:Z,MATCH('psgr LDVs'!$B78,'AEO 38'!$B:$B,0))</f>
        <v>0.20663999999999999</v>
      </c>
      <c r="W78">
        <f>INDEX('AEO 38'!AA:AA,MATCH('psgr LDVs'!$B78,'AEO 38'!$B:$B,0))</f>
        <v>0.218224</v>
      </c>
      <c r="X78">
        <f>INDEX('AEO 38'!AB:AB,MATCH('psgr LDVs'!$B78,'AEO 38'!$B:$B,0))</f>
        <v>0.229347</v>
      </c>
      <c r="Y78">
        <f>INDEX('AEO 38'!AC:AC,MATCH('psgr LDVs'!$B78,'AEO 38'!$B:$B,0))</f>
        <v>0.24035000000000001</v>
      </c>
      <c r="Z78">
        <f>INDEX('AEO 38'!AD:AD,MATCH('psgr LDVs'!$B78,'AEO 38'!$B:$B,0))</f>
        <v>0.25042500000000001</v>
      </c>
      <c r="AA78">
        <f>INDEX('AEO 38'!AE:AE,MATCH('psgr LDVs'!$B78,'AEO 38'!$B:$B,0))</f>
        <v>0.26060299999999997</v>
      </c>
      <c r="AB78">
        <f>INDEX('AEO 38'!AF:AF,MATCH('psgr LDVs'!$B78,'AEO 38'!$B:$B,0))</f>
        <v>0.27308700000000002</v>
      </c>
      <c r="AC78">
        <f>INDEX('AEO 38'!AG:AG,MATCH('psgr LDVs'!$B78,'AEO 38'!$B:$B,0))</f>
        <v>0.28232000000000002</v>
      </c>
      <c r="AD78">
        <f>INDEX('AEO 38'!AH:AH,MATCH('psgr LDVs'!$B78,'AEO 38'!$B:$B,0))</f>
        <v>0.29107899999999998</v>
      </c>
      <c r="AE78">
        <f>INDEX('AEO 38'!AI:AI,MATCH('psgr LDVs'!$B78,'AEO 38'!$B:$B,0))</f>
        <v>0.302643</v>
      </c>
      <c r="AF78">
        <f>INDEX('AEO 38'!AJ:AJ,MATCH('psgr LDVs'!$B78,'AEO 38'!$B:$B,0))</f>
        <v>0.310832</v>
      </c>
      <c r="AG78">
        <f>INDEX('AEO 38'!AK:AK,MATCH('psgr LDVs'!$B78,'AEO 38'!$B:$B,0))</f>
        <v>0.31805</v>
      </c>
    </row>
    <row r="79" spans="1:33" ht="13.6">
      <c r="A79" s="114"/>
      <c r="B79" s="110" t="s">
        <v>951</v>
      </c>
      <c r="C79">
        <f>INDEX('AEO 38'!G:G,MATCH('psgr LDVs'!$B79,'AEO 38'!$B:$B,0))</f>
        <v>945.776611</v>
      </c>
      <c r="D79">
        <f>INDEX('AEO 38'!H:H,MATCH('psgr LDVs'!$B79,'AEO 38'!$B:$B,0))</f>
        <v>1014.551636</v>
      </c>
      <c r="E79">
        <f>INDEX('AEO 38'!I:I,MATCH('psgr LDVs'!$B79,'AEO 38'!$B:$B,0))</f>
        <v>1063.210327</v>
      </c>
      <c r="F79">
        <f>INDEX('AEO 38'!J:J,MATCH('psgr LDVs'!$B79,'AEO 38'!$B:$B,0))</f>
        <v>1096.4454350000001</v>
      </c>
      <c r="G79">
        <f>INDEX('AEO 38'!K:K,MATCH('psgr LDVs'!$B79,'AEO 38'!$B:$B,0))</f>
        <v>1149.5688479999999</v>
      </c>
      <c r="H79">
        <f>INDEX('AEO 38'!L:L,MATCH('psgr LDVs'!$B79,'AEO 38'!$B:$B,0))</f>
        <v>1209.818726</v>
      </c>
      <c r="I79">
        <f>INDEX('AEO 38'!M:M,MATCH('psgr LDVs'!$B79,'AEO 38'!$B:$B,0))</f>
        <v>1340.9945070000001</v>
      </c>
      <c r="J79">
        <f>INDEX('AEO 38'!N:N,MATCH('psgr LDVs'!$B79,'AEO 38'!$B:$B,0))</f>
        <v>1374.866943</v>
      </c>
      <c r="K79">
        <f>INDEX('AEO 38'!O:O,MATCH('psgr LDVs'!$B79,'AEO 38'!$B:$B,0))</f>
        <v>1407.1617429999999</v>
      </c>
      <c r="L79">
        <f>INDEX('AEO 38'!P:P,MATCH('psgr LDVs'!$B79,'AEO 38'!$B:$B,0))</f>
        <v>1432.3819579999999</v>
      </c>
      <c r="M79">
        <f>INDEX('AEO 38'!Q:Q,MATCH('psgr LDVs'!$B79,'AEO 38'!$B:$B,0))</f>
        <v>1445.144043</v>
      </c>
      <c r="N79">
        <f>INDEX('AEO 38'!R:R,MATCH('psgr LDVs'!$B79,'AEO 38'!$B:$B,0))</f>
        <v>1478.446655</v>
      </c>
      <c r="O79">
        <f>INDEX('AEO 38'!S:S,MATCH('psgr LDVs'!$B79,'AEO 38'!$B:$B,0))</f>
        <v>1520.41687</v>
      </c>
      <c r="P79">
        <f>INDEX('AEO 38'!T:T,MATCH('psgr LDVs'!$B79,'AEO 38'!$B:$B,0))</f>
        <v>1560.1979980000001</v>
      </c>
      <c r="Q79">
        <f>INDEX('AEO 38'!U:U,MATCH('psgr LDVs'!$B79,'AEO 38'!$B:$B,0))</f>
        <v>1600.813232</v>
      </c>
      <c r="R79">
        <f>INDEX('AEO 38'!V:V,MATCH('psgr LDVs'!$B79,'AEO 38'!$B:$B,0))</f>
        <v>1648.6062010000001</v>
      </c>
      <c r="S79">
        <f>INDEX('AEO 38'!W:W,MATCH('psgr LDVs'!$B79,'AEO 38'!$B:$B,0))</f>
        <v>1684.5545649999999</v>
      </c>
      <c r="T79">
        <f>INDEX('AEO 38'!X:X,MATCH('psgr LDVs'!$B79,'AEO 38'!$B:$B,0))</f>
        <v>1716.4129640000001</v>
      </c>
      <c r="U79">
        <f>INDEX('AEO 38'!Y:Y,MATCH('psgr LDVs'!$B79,'AEO 38'!$B:$B,0))</f>
        <v>1759.218384</v>
      </c>
      <c r="V79">
        <f>INDEX('AEO 38'!Z:Z,MATCH('psgr LDVs'!$B79,'AEO 38'!$B:$B,0))</f>
        <v>1800.598389</v>
      </c>
      <c r="W79">
        <f>INDEX('AEO 38'!AA:AA,MATCH('psgr LDVs'!$B79,'AEO 38'!$B:$B,0))</f>
        <v>1837.55835</v>
      </c>
      <c r="X79">
        <f>INDEX('AEO 38'!AB:AB,MATCH('psgr LDVs'!$B79,'AEO 38'!$B:$B,0))</f>
        <v>1867.0679929999999</v>
      </c>
      <c r="Y79">
        <f>INDEX('AEO 38'!AC:AC,MATCH('psgr LDVs'!$B79,'AEO 38'!$B:$B,0))</f>
        <v>1898.580322</v>
      </c>
      <c r="Z79">
        <f>INDEX('AEO 38'!AD:AD,MATCH('psgr LDVs'!$B79,'AEO 38'!$B:$B,0))</f>
        <v>1925.8210449999999</v>
      </c>
      <c r="AA79">
        <f>INDEX('AEO 38'!AE:AE,MATCH('psgr LDVs'!$B79,'AEO 38'!$B:$B,0))</f>
        <v>1955.7742920000001</v>
      </c>
      <c r="AB79">
        <f>INDEX('AEO 38'!AF:AF,MATCH('psgr LDVs'!$B79,'AEO 38'!$B:$B,0))</f>
        <v>2004.3680420000001</v>
      </c>
      <c r="AC79">
        <f>INDEX('AEO 38'!AG:AG,MATCH('psgr LDVs'!$B79,'AEO 38'!$B:$B,0))</f>
        <v>2031.250366</v>
      </c>
      <c r="AD79">
        <f>INDEX('AEO 38'!AH:AH,MATCH('psgr LDVs'!$B79,'AEO 38'!$B:$B,0))</f>
        <v>2056.8085940000001</v>
      </c>
      <c r="AE79">
        <f>INDEX('AEO 38'!AI:AI,MATCH('psgr LDVs'!$B79,'AEO 38'!$B:$B,0))</f>
        <v>2105.5397950000001</v>
      </c>
      <c r="AF79">
        <f>INDEX('AEO 38'!AJ:AJ,MATCH('psgr LDVs'!$B79,'AEO 38'!$B:$B,0))</f>
        <v>2132.9094239999999</v>
      </c>
      <c r="AG79">
        <f>INDEX('AEO 38'!AK:AK,MATCH('psgr LDVs'!$B79,'AEO 38'!$B:$B,0))</f>
        <v>2157.3237300000001</v>
      </c>
    </row>
    <row r="80" spans="1:33" ht="13.6">
      <c r="D80" s="14"/>
    </row>
    <row r="81" spans="1:32" s="1" customFormat="1" ht="38.75">
      <c r="A81" s="6" t="s">
        <v>3037</v>
      </c>
      <c r="B81" s="1">
        <v>2020</v>
      </c>
      <c r="C81" s="1">
        <v>2021</v>
      </c>
      <c r="D81" s="1">
        <v>2022</v>
      </c>
      <c r="E81" s="1">
        <v>2023</v>
      </c>
      <c r="F81" s="1">
        <v>2024</v>
      </c>
      <c r="G81" s="1">
        <v>2025</v>
      </c>
      <c r="H81" s="1">
        <v>2026</v>
      </c>
      <c r="I81" s="1">
        <v>2027</v>
      </c>
      <c r="J81" s="1">
        <v>2028</v>
      </c>
      <c r="K81" s="1">
        <v>2029</v>
      </c>
      <c r="L81" s="1">
        <v>2030</v>
      </c>
      <c r="M81" s="1">
        <v>2031</v>
      </c>
      <c r="N81" s="1">
        <v>2032</v>
      </c>
      <c r="O81" s="1">
        <v>2033</v>
      </c>
      <c r="P81" s="1">
        <v>2034</v>
      </c>
      <c r="Q81" s="1">
        <v>2035</v>
      </c>
      <c r="R81" s="1">
        <v>2036</v>
      </c>
      <c r="S81" s="1">
        <v>2037</v>
      </c>
      <c r="T81" s="1">
        <v>2038</v>
      </c>
      <c r="U81" s="1">
        <v>2039</v>
      </c>
      <c r="V81" s="1">
        <v>2040</v>
      </c>
      <c r="W81" s="1">
        <v>2041</v>
      </c>
      <c r="X81" s="1">
        <v>2042</v>
      </c>
      <c r="Y81" s="1">
        <v>2043</v>
      </c>
      <c r="Z81" s="1">
        <v>2044</v>
      </c>
      <c r="AA81" s="1">
        <v>2045</v>
      </c>
      <c r="AB81" s="1">
        <v>2046</v>
      </c>
      <c r="AC81" s="1">
        <v>2047</v>
      </c>
      <c r="AD81" s="1">
        <v>2048</v>
      </c>
      <c r="AE81" s="1">
        <v>2049</v>
      </c>
      <c r="AF81" s="1">
        <v>2050</v>
      </c>
    </row>
    <row r="82" spans="1:32">
      <c r="A82" s="114" t="s">
        <v>114</v>
      </c>
      <c r="B82">
        <f t="shared" ref="B82:AF82" si="0">C2*(C42/SUMIF($A$42:$A$79,$A82,C$42:C$79))</f>
        <v>15.405527091647073</v>
      </c>
      <c r="C82">
        <f t="shared" si="0"/>
        <v>15.775061653691719</v>
      </c>
      <c r="D82">
        <f t="shared" si="0"/>
        <v>16.553674305805448</v>
      </c>
      <c r="E82">
        <f t="shared" si="0"/>
        <v>16.584958723662982</v>
      </c>
      <c r="F82">
        <f t="shared" si="0"/>
        <v>16.497481826544654</v>
      </c>
      <c r="G82">
        <f t="shared" si="0"/>
        <v>16.464874918397651</v>
      </c>
      <c r="H82">
        <f t="shared" si="0"/>
        <v>16.571498498309804</v>
      </c>
      <c r="I82">
        <f t="shared" si="0"/>
        <v>16.524293723244746</v>
      </c>
      <c r="J82">
        <f t="shared" si="0"/>
        <v>16.454793499326794</v>
      </c>
      <c r="K82">
        <f t="shared" si="0"/>
        <v>16.419753975567648</v>
      </c>
      <c r="L82">
        <f t="shared" si="0"/>
        <v>16.606083326397687</v>
      </c>
      <c r="M82">
        <f t="shared" si="0"/>
        <v>16.561820604169238</v>
      </c>
      <c r="N82">
        <f t="shared" si="0"/>
        <v>16.528625321708844</v>
      </c>
      <c r="O82">
        <f t="shared" si="0"/>
        <v>16.490327743237312</v>
      </c>
      <c r="P82">
        <f t="shared" si="0"/>
        <v>16.501838291462011</v>
      </c>
      <c r="Q82">
        <f t="shared" si="0"/>
        <v>16.336070926575392</v>
      </c>
      <c r="R82">
        <f t="shared" si="0"/>
        <v>16.172149418796639</v>
      </c>
      <c r="S82">
        <f t="shared" si="0"/>
        <v>16.059162169824319</v>
      </c>
      <c r="T82">
        <f t="shared" si="0"/>
        <v>15.960872824187556</v>
      </c>
      <c r="U82">
        <f t="shared" si="0"/>
        <v>15.807148452378186</v>
      </c>
      <c r="V82">
        <f t="shared" si="0"/>
        <v>15.678756885390237</v>
      </c>
      <c r="W82">
        <f t="shared" si="0"/>
        <v>15.561197513051845</v>
      </c>
      <c r="X82">
        <f t="shared" si="0"/>
        <v>15.425464348446365</v>
      </c>
      <c r="Y82">
        <f t="shared" si="0"/>
        <v>15.300928522360767</v>
      </c>
      <c r="Z82">
        <f t="shared" si="0"/>
        <v>15.19393199966424</v>
      </c>
      <c r="AA82">
        <f t="shared" si="0"/>
        <v>15.111227715069173</v>
      </c>
      <c r="AB82">
        <f t="shared" si="0"/>
        <v>14.977817169620016</v>
      </c>
      <c r="AC82">
        <f t="shared" si="0"/>
        <v>14.848265386371603</v>
      </c>
      <c r="AD82">
        <f t="shared" si="0"/>
        <v>14.699010889448008</v>
      </c>
      <c r="AE82">
        <f t="shared" si="0"/>
        <v>14.5816766440416</v>
      </c>
      <c r="AF82">
        <f t="shared" si="0"/>
        <v>14.46272787933516</v>
      </c>
    </row>
    <row r="83" spans="1:32">
      <c r="A83" s="114" t="s">
        <v>115</v>
      </c>
      <c r="B83">
        <f t="shared" ref="B83:AF83" si="1">C3*(C43/SUMIF($A$42:$A$79,$A83,C$42:C$79))</f>
        <v>9.8733170017710328E-2</v>
      </c>
      <c r="C83">
        <f t="shared" si="1"/>
        <v>5.3862425337374932E-2</v>
      </c>
      <c r="D83">
        <f t="shared" si="1"/>
        <v>4.1072386506245513E-2</v>
      </c>
      <c r="E83">
        <f t="shared" si="1"/>
        <v>4.1788580033585501E-2</v>
      </c>
      <c r="F83">
        <f t="shared" si="1"/>
        <v>4.0847686595048879E-2</v>
      </c>
      <c r="G83">
        <f t="shared" si="1"/>
        <v>3.9739405841372137E-2</v>
      </c>
      <c r="H83">
        <f t="shared" si="1"/>
        <v>4.0460253747413889E-2</v>
      </c>
      <c r="I83">
        <f t="shared" si="1"/>
        <v>4.0232397678001366E-2</v>
      </c>
      <c r="J83">
        <f t="shared" si="1"/>
        <v>3.9296597646021551E-2</v>
      </c>
      <c r="K83">
        <f t="shared" si="1"/>
        <v>3.868908386693571E-2</v>
      </c>
      <c r="L83">
        <f t="shared" si="1"/>
        <v>3.8878136367633889E-2</v>
      </c>
      <c r="M83">
        <f t="shared" si="1"/>
        <v>3.9163228064516206E-2</v>
      </c>
      <c r="N83">
        <f t="shared" si="1"/>
        <v>3.8356051563861834E-2</v>
      </c>
      <c r="O83">
        <f t="shared" si="1"/>
        <v>3.8171225047529553E-2</v>
      </c>
      <c r="P83">
        <f t="shared" si="1"/>
        <v>3.7614635082492132E-2</v>
      </c>
      <c r="Q83">
        <f t="shared" si="1"/>
        <v>3.7282593171470542E-2</v>
      </c>
      <c r="R83">
        <f t="shared" si="1"/>
        <v>3.626924468895578E-2</v>
      </c>
      <c r="S83">
        <f t="shared" si="1"/>
        <v>3.5821831204493372E-2</v>
      </c>
      <c r="T83">
        <f t="shared" si="1"/>
        <v>3.5368571543750373E-2</v>
      </c>
      <c r="U83">
        <f t="shared" si="1"/>
        <v>3.4718720856917483E-2</v>
      </c>
      <c r="V83">
        <f t="shared" si="1"/>
        <v>3.4312962356255888E-2</v>
      </c>
      <c r="W83">
        <f t="shared" si="1"/>
        <v>3.3948133521959696E-2</v>
      </c>
      <c r="X83">
        <f t="shared" si="1"/>
        <v>3.3558115167858026E-2</v>
      </c>
      <c r="Y83">
        <f t="shared" si="1"/>
        <v>3.3138186798738964E-2</v>
      </c>
      <c r="Z83">
        <f t="shared" si="1"/>
        <v>3.2815829575485365E-2</v>
      </c>
      <c r="AA83">
        <f t="shared" si="1"/>
        <v>3.2414157516144043E-2</v>
      </c>
      <c r="AB83">
        <f t="shared" si="1"/>
        <v>3.2210998624273492E-2</v>
      </c>
      <c r="AC83">
        <f t="shared" si="1"/>
        <v>3.1857293687267668E-2</v>
      </c>
      <c r="AD83">
        <f t="shared" si="1"/>
        <v>3.1421516810252348E-2</v>
      </c>
      <c r="AE83">
        <f t="shared" si="1"/>
        <v>3.1047046033397373E-2</v>
      </c>
      <c r="AF83">
        <f t="shared" si="1"/>
        <v>3.0832853302791282E-2</v>
      </c>
    </row>
    <row r="84" spans="1:32">
      <c r="A84" s="114"/>
      <c r="B84" t="e">
        <f t="shared" ref="B84:AF84" si="2">C4*(C44/SUMIF($A$42:$A$79,$A84,C$42:C$79))</f>
        <v>#N/A</v>
      </c>
      <c r="C84" t="e">
        <f t="shared" si="2"/>
        <v>#N/A</v>
      </c>
      <c r="D84" t="e">
        <f t="shared" si="2"/>
        <v>#N/A</v>
      </c>
      <c r="E84" t="e">
        <f t="shared" si="2"/>
        <v>#N/A</v>
      </c>
      <c r="F84" t="e">
        <f t="shared" si="2"/>
        <v>#N/A</v>
      </c>
      <c r="G84" t="e">
        <f t="shared" si="2"/>
        <v>#N/A</v>
      </c>
      <c r="H84" t="e">
        <f t="shared" si="2"/>
        <v>#N/A</v>
      </c>
      <c r="I84" t="e">
        <f t="shared" si="2"/>
        <v>#N/A</v>
      </c>
      <c r="J84" t="e">
        <f t="shared" si="2"/>
        <v>#N/A</v>
      </c>
      <c r="K84" t="e">
        <f t="shared" si="2"/>
        <v>#N/A</v>
      </c>
      <c r="L84" t="e">
        <f t="shared" si="2"/>
        <v>#N/A</v>
      </c>
      <c r="M84" t="e">
        <f t="shared" si="2"/>
        <v>#N/A</v>
      </c>
      <c r="N84" t="e">
        <f t="shared" si="2"/>
        <v>#N/A</v>
      </c>
      <c r="O84" t="e">
        <f t="shared" si="2"/>
        <v>#N/A</v>
      </c>
      <c r="P84" t="e">
        <f t="shared" si="2"/>
        <v>#N/A</v>
      </c>
      <c r="Q84" t="e">
        <f t="shared" si="2"/>
        <v>#N/A</v>
      </c>
      <c r="R84" t="e">
        <f t="shared" si="2"/>
        <v>#N/A</v>
      </c>
      <c r="S84" t="e">
        <f t="shared" si="2"/>
        <v>#N/A</v>
      </c>
      <c r="T84" t="e">
        <f t="shared" si="2"/>
        <v>#N/A</v>
      </c>
      <c r="U84" t="e">
        <f t="shared" si="2"/>
        <v>#N/A</v>
      </c>
      <c r="V84" t="e">
        <f t="shared" si="2"/>
        <v>#N/A</v>
      </c>
      <c r="W84" t="e">
        <f t="shared" si="2"/>
        <v>#N/A</v>
      </c>
      <c r="X84" t="e">
        <f t="shared" si="2"/>
        <v>#N/A</v>
      </c>
      <c r="Y84" t="e">
        <f t="shared" si="2"/>
        <v>#N/A</v>
      </c>
      <c r="Z84" t="e">
        <f t="shared" si="2"/>
        <v>#N/A</v>
      </c>
      <c r="AA84" t="e">
        <f t="shared" si="2"/>
        <v>#N/A</v>
      </c>
      <c r="AB84" t="e">
        <f t="shared" si="2"/>
        <v>#N/A</v>
      </c>
      <c r="AC84" t="e">
        <f t="shared" si="2"/>
        <v>#N/A</v>
      </c>
      <c r="AD84" t="e">
        <f t="shared" si="2"/>
        <v>#N/A</v>
      </c>
      <c r="AE84" t="e">
        <f t="shared" si="2"/>
        <v>#N/A</v>
      </c>
      <c r="AF84" t="e">
        <f t="shared" si="2"/>
        <v>#N/A</v>
      </c>
    </row>
    <row r="85" spans="1:32">
      <c r="A85" s="114" t="s">
        <v>114</v>
      </c>
      <c r="B85">
        <f t="shared" ref="B85:AF85" si="3">C5*(C45/SUMIF($A$42:$A$79,$A85,C$42:C$79))</f>
        <v>0.29240426111145379</v>
      </c>
      <c r="C85">
        <f t="shared" si="3"/>
        <v>0.29917501838019478</v>
      </c>
      <c r="D85">
        <f t="shared" si="3"/>
        <v>0.31492820933902566</v>
      </c>
      <c r="E85">
        <f t="shared" si="3"/>
        <v>0.31611843198777362</v>
      </c>
      <c r="F85">
        <f t="shared" si="3"/>
        <v>0.31460461535974255</v>
      </c>
      <c r="G85">
        <f t="shared" si="3"/>
        <v>0.31431900893022452</v>
      </c>
      <c r="H85">
        <f t="shared" si="3"/>
        <v>0.31675953160347825</v>
      </c>
      <c r="I85">
        <f t="shared" si="3"/>
        <v>0.31664411274054011</v>
      </c>
      <c r="J85">
        <f t="shared" si="3"/>
        <v>0.31632791203861527</v>
      </c>
      <c r="K85">
        <f t="shared" si="3"/>
        <v>0.31652000894678406</v>
      </c>
      <c r="L85">
        <f t="shared" si="3"/>
        <v>0.32121680434472238</v>
      </c>
      <c r="M85">
        <f t="shared" si="3"/>
        <v>0.32160068939889991</v>
      </c>
      <c r="N85">
        <f t="shared" si="3"/>
        <v>0.32203977966380654</v>
      </c>
      <c r="O85">
        <f t="shared" si="3"/>
        <v>0.32252840534810706</v>
      </c>
      <c r="P85">
        <f t="shared" si="3"/>
        <v>0.32403537088419621</v>
      </c>
      <c r="Q85">
        <f t="shared" si="3"/>
        <v>0.32214860390545597</v>
      </c>
      <c r="R85">
        <f t="shared" si="3"/>
        <v>0.32009005470151791</v>
      </c>
      <c r="S85">
        <f t="shared" si="3"/>
        <v>0.31911637954764088</v>
      </c>
      <c r="T85">
        <f t="shared" si="3"/>
        <v>0.31850053144785084</v>
      </c>
      <c r="U85">
        <f t="shared" si="3"/>
        <v>0.31676578706254838</v>
      </c>
      <c r="V85">
        <f t="shared" si="3"/>
        <v>0.31548428741924378</v>
      </c>
      <c r="W85">
        <f t="shared" si="3"/>
        <v>0.31429154284985023</v>
      </c>
      <c r="X85">
        <f t="shared" si="3"/>
        <v>0.31262464439200771</v>
      </c>
      <c r="Y85">
        <f t="shared" si="3"/>
        <v>0.31117668750931093</v>
      </c>
      <c r="Z85">
        <f t="shared" si="3"/>
        <v>0.31015437371272842</v>
      </c>
      <c r="AA85">
        <f t="shared" si="3"/>
        <v>0.30967665225244068</v>
      </c>
      <c r="AB85">
        <f t="shared" si="3"/>
        <v>0.30820576140730699</v>
      </c>
      <c r="AC85">
        <f t="shared" si="3"/>
        <v>0.30674922624206286</v>
      </c>
      <c r="AD85">
        <f t="shared" si="3"/>
        <v>0.30493205311207638</v>
      </c>
      <c r="AE85">
        <f t="shared" si="3"/>
        <v>0.3038224574874705</v>
      </c>
      <c r="AF85">
        <f t="shared" si="3"/>
        <v>0.30280206972329415</v>
      </c>
    </row>
    <row r="86" spans="1:32">
      <c r="A86" s="114" t="s">
        <v>112</v>
      </c>
      <c r="B86">
        <f t="shared" ref="B86:AF86" si="4">C6*(C46/SUMIF($A$42:$A$79,$A86,C$42:C$79))</f>
        <v>1.474155324170116</v>
      </c>
      <c r="C86">
        <f t="shared" si="4"/>
        <v>1.5870547513482949</v>
      </c>
      <c r="D86">
        <f t="shared" si="4"/>
        <v>1.4624528184490246</v>
      </c>
      <c r="E86">
        <f t="shared" si="4"/>
        <v>1.3316720011804077</v>
      </c>
      <c r="F86">
        <f t="shared" si="4"/>
        <v>1.2403337483881574</v>
      </c>
      <c r="G86">
        <f t="shared" si="4"/>
        <v>1.2032688058639089</v>
      </c>
      <c r="H86">
        <f t="shared" si="4"/>
        <v>1.1732075976126024</v>
      </c>
      <c r="I86">
        <f t="shared" si="4"/>
        <v>1.1278004404076138</v>
      </c>
      <c r="J86">
        <f t="shared" si="4"/>
        <v>1.0680183314514691</v>
      </c>
      <c r="K86">
        <f t="shared" si="4"/>
        <v>1.0097056175757579</v>
      </c>
      <c r="L86">
        <f t="shared" si="4"/>
        <v>0.94999845155418039</v>
      </c>
      <c r="M86">
        <f t="shared" si="4"/>
        <v>0.87704899706186146</v>
      </c>
      <c r="N86">
        <f t="shared" si="4"/>
        <v>0.8167260167263628</v>
      </c>
      <c r="O86">
        <f t="shared" si="4"/>
        <v>0.75480329766898024</v>
      </c>
      <c r="P86">
        <f t="shared" si="4"/>
        <v>0.69969895634362744</v>
      </c>
      <c r="Q86">
        <f t="shared" si="4"/>
        <v>0.6449587729270525</v>
      </c>
      <c r="R86">
        <f t="shared" si="4"/>
        <v>0.60032084978022027</v>
      </c>
      <c r="S86">
        <f t="shared" si="4"/>
        <v>0.55926299030082605</v>
      </c>
      <c r="T86">
        <f t="shared" si="4"/>
        <v>0.52189863851504026</v>
      </c>
      <c r="U86">
        <f t="shared" si="4"/>
        <v>0.48803036808653616</v>
      </c>
      <c r="V86">
        <f t="shared" si="4"/>
        <v>0.45901648625920793</v>
      </c>
      <c r="W86">
        <f t="shared" si="4"/>
        <v>0.4381278882330078</v>
      </c>
      <c r="X86">
        <f t="shared" si="4"/>
        <v>0.41981041024675048</v>
      </c>
      <c r="Y86">
        <f t="shared" si="4"/>
        <v>0.40272401861820184</v>
      </c>
      <c r="Z86">
        <f t="shared" si="4"/>
        <v>0.38616572876567568</v>
      </c>
      <c r="AA86">
        <f t="shared" si="4"/>
        <v>0.37033934828962362</v>
      </c>
      <c r="AB86">
        <f t="shared" si="4"/>
        <v>0.35450907366799589</v>
      </c>
      <c r="AC86">
        <f t="shared" si="4"/>
        <v>0.34025163117323026</v>
      </c>
      <c r="AD86">
        <f t="shared" si="4"/>
        <v>0.32623745682974309</v>
      </c>
      <c r="AE86">
        <f t="shared" si="4"/>
        <v>0.31303472538937194</v>
      </c>
      <c r="AF86">
        <f t="shared" si="4"/>
        <v>0.29996305785714061</v>
      </c>
    </row>
    <row r="87" spans="1:32">
      <c r="A87" s="114" t="s">
        <v>112</v>
      </c>
      <c r="B87">
        <f t="shared" ref="B87:AF87" si="5">C7*(C47/SUMIF($A$42:$A$79,$A87,C$42:C$79))</f>
        <v>36.187882346325097</v>
      </c>
      <c r="C87">
        <f t="shared" si="5"/>
        <v>35.562004368787292</v>
      </c>
      <c r="D87">
        <f t="shared" si="5"/>
        <v>32.858559034464861</v>
      </c>
      <c r="E87">
        <f t="shared" si="5"/>
        <v>29.066268559508995</v>
      </c>
      <c r="F87">
        <f t="shared" si="5"/>
        <v>26.135275596490182</v>
      </c>
      <c r="G87">
        <f t="shared" si="5"/>
        <v>24.914805375219284</v>
      </c>
      <c r="H87">
        <f t="shared" si="5"/>
        <v>23.587360462277051</v>
      </c>
      <c r="I87">
        <f t="shared" si="5"/>
        <v>22.915114968676502</v>
      </c>
      <c r="J87">
        <f t="shared" si="5"/>
        <v>22.22646606449252</v>
      </c>
      <c r="K87">
        <f t="shared" si="5"/>
        <v>21.727228247578068</v>
      </c>
      <c r="L87">
        <f t="shared" si="5"/>
        <v>21.623773774345445</v>
      </c>
      <c r="M87">
        <f t="shared" si="5"/>
        <v>20.959936997744595</v>
      </c>
      <c r="N87">
        <f t="shared" si="5"/>
        <v>20.631449185009892</v>
      </c>
      <c r="O87">
        <f t="shared" si="5"/>
        <v>20.145102014732117</v>
      </c>
      <c r="P87">
        <f t="shared" si="5"/>
        <v>19.754066949256114</v>
      </c>
      <c r="Q87">
        <f t="shared" si="5"/>
        <v>19.111805939472458</v>
      </c>
      <c r="R87">
        <f t="shared" si="5"/>
        <v>18.679155212727498</v>
      </c>
      <c r="S87">
        <f t="shared" si="5"/>
        <v>18.302275401119751</v>
      </c>
      <c r="T87">
        <f t="shared" si="5"/>
        <v>17.957323998430564</v>
      </c>
      <c r="U87">
        <f t="shared" si="5"/>
        <v>17.586719072315663</v>
      </c>
      <c r="V87">
        <f t="shared" si="5"/>
        <v>17.344137366216614</v>
      </c>
      <c r="W87">
        <f t="shared" si="5"/>
        <v>17.257942274684741</v>
      </c>
      <c r="X87">
        <f t="shared" si="5"/>
        <v>17.187556801631043</v>
      </c>
      <c r="Y87">
        <f t="shared" si="5"/>
        <v>17.158373935226834</v>
      </c>
      <c r="Z87">
        <f t="shared" si="5"/>
        <v>17.126381769294859</v>
      </c>
      <c r="AA87">
        <f t="shared" si="5"/>
        <v>17.115733854903922</v>
      </c>
      <c r="AB87">
        <f t="shared" si="5"/>
        <v>17.018576075582477</v>
      </c>
      <c r="AC87">
        <f t="shared" si="5"/>
        <v>16.970340861497384</v>
      </c>
      <c r="AD87">
        <f t="shared" si="5"/>
        <v>16.884798299487084</v>
      </c>
      <c r="AE87">
        <f t="shared" si="5"/>
        <v>16.86406910992315</v>
      </c>
      <c r="AF87">
        <f t="shared" si="5"/>
        <v>16.803351459188651</v>
      </c>
    </row>
    <row r="88" spans="1:32">
      <c r="A88" s="114" t="s">
        <v>112</v>
      </c>
      <c r="B88">
        <f t="shared" ref="B88:AF88" si="6">C8*(C48/SUMIF($A$42:$A$79,$A88,C$42:C$79))</f>
        <v>52.502453144261295</v>
      </c>
      <c r="C88">
        <f t="shared" si="6"/>
        <v>47.000499994975478</v>
      </c>
      <c r="D88">
        <f t="shared" si="6"/>
        <v>48.761585467236785</v>
      </c>
      <c r="E88">
        <f t="shared" si="6"/>
        <v>50.407984004075935</v>
      </c>
      <c r="F88">
        <f t="shared" si="6"/>
        <v>50.445474532069078</v>
      </c>
      <c r="G88">
        <f t="shared" si="6"/>
        <v>49.712774584056319</v>
      </c>
      <c r="H88">
        <f t="shared" si="6"/>
        <v>50.17812596159726</v>
      </c>
      <c r="I88">
        <f t="shared" si="6"/>
        <v>49.672195187016278</v>
      </c>
      <c r="J88">
        <f t="shared" si="6"/>
        <v>49.371704990532685</v>
      </c>
      <c r="K88">
        <f t="shared" si="6"/>
        <v>48.940202838272242</v>
      </c>
      <c r="L88">
        <f t="shared" si="6"/>
        <v>48.573846055472146</v>
      </c>
      <c r="M88">
        <f t="shared" si="6"/>
        <v>49.223566994724955</v>
      </c>
      <c r="N88">
        <f t="shared" si="6"/>
        <v>49.049954946894992</v>
      </c>
      <c r="O88">
        <f t="shared" si="6"/>
        <v>49.498739014445782</v>
      </c>
      <c r="P88">
        <f t="shared" si="6"/>
        <v>49.914947633024809</v>
      </c>
      <c r="Q88">
        <f t="shared" si="6"/>
        <v>50.584329349743896</v>
      </c>
      <c r="R88">
        <f t="shared" si="6"/>
        <v>50.6758058141574</v>
      </c>
      <c r="S88">
        <f t="shared" si="6"/>
        <v>50.924330119334982</v>
      </c>
      <c r="T88">
        <f t="shared" si="6"/>
        <v>51.250888387520561</v>
      </c>
      <c r="U88">
        <f t="shared" si="6"/>
        <v>51.569182035931576</v>
      </c>
      <c r="V88">
        <f t="shared" si="6"/>
        <v>51.692449288845268</v>
      </c>
      <c r="W88">
        <f t="shared" si="6"/>
        <v>51.778183802335086</v>
      </c>
      <c r="X88">
        <f t="shared" si="6"/>
        <v>51.830622107409113</v>
      </c>
      <c r="Y88">
        <f t="shared" si="6"/>
        <v>51.805208194886106</v>
      </c>
      <c r="Z88">
        <f t="shared" si="6"/>
        <v>51.852439723604455</v>
      </c>
      <c r="AA88">
        <f t="shared" si="6"/>
        <v>51.927714219975549</v>
      </c>
      <c r="AB88">
        <f t="shared" si="6"/>
        <v>52.084401561760821</v>
      </c>
      <c r="AC88">
        <f t="shared" si="6"/>
        <v>52.085396515197068</v>
      </c>
      <c r="AD88">
        <f t="shared" si="6"/>
        <v>52.137045543401015</v>
      </c>
      <c r="AE88">
        <f t="shared" si="6"/>
        <v>52.099221695641269</v>
      </c>
      <c r="AF88">
        <f t="shared" si="6"/>
        <v>52.199327423137788</v>
      </c>
    </row>
    <row r="89" spans="1:32">
      <c r="A89" s="114" t="s">
        <v>116</v>
      </c>
      <c r="B89">
        <f t="shared" ref="B89:AF89" si="7">C9*(C49/SUMIF($A$42:$A$79,$A89,C$42:C$79))</f>
        <v>24.748670125707765</v>
      </c>
      <c r="C89">
        <f t="shared" si="7"/>
        <v>28.293836174970082</v>
      </c>
      <c r="D89">
        <f t="shared" si="7"/>
        <v>31.588478287884069</v>
      </c>
      <c r="E89">
        <f t="shared" si="7"/>
        <v>34.122553118011403</v>
      </c>
      <c r="F89">
        <f t="shared" si="7"/>
        <v>37.610768574476097</v>
      </c>
      <c r="G89">
        <f t="shared" si="7"/>
        <v>32.864181556590999</v>
      </c>
      <c r="H89">
        <f t="shared" si="7"/>
        <v>20.145889019806965</v>
      </c>
      <c r="I89">
        <f t="shared" si="7"/>
        <v>20.038685496140971</v>
      </c>
      <c r="J89">
        <f t="shared" si="7"/>
        <v>22.055979500211823</v>
      </c>
      <c r="K89">
        <f t="shared" si="7"/>
        <v>22.575768652628398</v>
      </c>
      <c r="L89">
        <f t="shared" si="7"/>
        <v>23.066508953259657</v>
      </c>
      <c r="M89">
        <f t="shared" si="7"/>
        <v>22.759707491054971</v>
      </c>
      <c r="N89">
        <f t="shared" si="7"/>
        <v>22.618707472589868</v>
      </c>
      <c r="O89">
        <f t="shared" si="7"/>
        <v>22.331753506420519</v>
      </c>
      <c r="P89">
        <f t="shared" si="7"/>
        <v>22.147389686683876</v>
      </c>
      <c r="Q89">
        <f t="shared" si="7"/>
        <v>21.562734842532549</v>
      </c>
      <c r="R89">
        <f t="shared" si="7"/>
        <v>21.131360347541818</v>
      </c>
      <c r="S89">
        <f t="shared" si="7"/>
        <v>20.726950861963292</v>
      </c>
      <c r="T89">
        <f t="shared" si="7"/>
        <v>20.314976825912805</v>
      </c>
      <c r="U89">
        <f t="shared" si="7"/>
        <v>19.792600257137437</v>
      </c>
      <c r="V89">
        <f t="shared" si="7"/>
        <v>19.371365570361153</v>
      </c>
      <c r="W89">
        <f t="shared" si="7"/>
        <v>18.889681725747717</v>
      </c>
      <c r="X89">
        <f t="shared" si="7"/>
        <v>18.354696527528624</v>
      </c>
      <c r="Y89">
        <f t="shared" si="7"/>
        <v>17.851865283905891</v>
      </c>
      <c r="Z89">
        <f t="shared" si="7"/>
        <v>17.341827694373102</v>
      </c>
      <c r="AA89">
        <f t="shared" si="7"/>
        <v>16.849626422715993</v>
      </c>
      <c r="AB89">
        <f t="shared" si="7"/>
        <v>16.227125095605249</v>
      </c>
      <c r="AC89">
        <f t="shared" si="7"/>
        <v>15.62642107932699</v>
      </c>
      <c r="AD89">
        <f t="shared" si="7"/>
        <v>14.956294362443142</v>
      </c>
      <c r="AE89">
        <f t="shared" si="7"/>
        <v>14.34976718132758</v>
      </c>
      <c r="AF89">
        <f t="shared" si="7"/>
        <v>13.689361991857844</v>
      </c>
    </row>
    <row r="90" spans="1:32">
      <c r="A90" s="114" t="s">
        <v>116</v>
      </c>
      <c r="B90">
        <f t="shared" ref="B90:AF90" si="8">C10*(C50/SUMIF($A$42:$A$79,$A90,C$42:C$79))</f>
        <v>7.7580418959045687</v>
      </c>
      <c r="C90">
        <f t="shared" si="8"/>
        <v>6.8709093054580483</v>
      </c>
      <c r="D90">
        <f t="shared" si="8"/>
        <v>5.882500556633472</v>
      </c>
      <c r="E90">
        <f t="shared" si="8"/>
        <v>5.1549495568424542</v>
      </c>
      <c r="F90">
        <f t="shared" si="8"/>
        <v>4.7247852631134251</v>
      </c>
      <c r="G90">
        <f t="shared" si="8"/>
        <v>3.5031806013027915</v>
      </c>
      <c r="H90">
        <f t="shared" si="8"/>
        <v>1.9183172813919744</v>
      </c>
      <c r="I90">
        <f t="shared" si="8"/>
        <v>1.7271488188645636</v>
      </c>
      <c r="J90">
        <f t="shared" si="8"/>
        <v>1.7406470035389028</v>
      </c>
      <c r="K90">
        <f t="shared" si="8"/>
        <v>1.8621711073365244</v>
      </c>
      <c r="L90">
        <f t="shared" si="8"/>
        <v>2.0404393471404245</v>
      </c>
      <c r="M90">
        <f t="shared" si="8"/>
        <v>2.1468200716648673</v>
      </c>
      <c r="N90">
        <f t="shared" si="8"/>
        <v>2.21327980187437</v>
      </c>
      <c r="O90">
        <f t="shared" si="8"/>
        <v>2.2677973746794327</v>
      </c>
      <c r="P90">
        <f t="shared" si="8"/>
        <v>2.3222354120992552</v>
      </c>
      <c r="Q90">
        <f t="shared" si="8"/>
        <v>2.3459097391425452</v>
      </c>
      <c r="R90">
        <f t="shared" si="8"/>
        <v>2.3644918551973979</v>
      </c>
      <c r="S90">
        <f t="shared" si="8"/>
        <v>2.3809192470631335</v>
      </c>
      <c r="T90">
        <f t="shared" si="8"/>
        <v>2.391914956170675</v>
      </c>
      <c r="U90">
        <f t="shared" si="8"/>
        <v>2.3895793286662768</v>
      </c>
      <c r="V90">
        <f t="shared" si="8"/>
        <v>2.3866287355662186</v>
      </c>
      <c r="W90">
        <f t="shared" si="8"/>
        <v>2.3801905486242529</v>
      </c>
      <c r="X90">
        <f t="shared" si="8"/>
        <v>2.3661920188578724</v>
      </c>
      <c r="Y90">
        <f t="shared" si="8"/>
        <v>2.3503533555516753</v>
      </c>
      <c r="Z90">
        <f t="shared" si="8"/>
        <v>2.3327050312494291</v>
      </c>
      <c r="AA90">
        <f t="shared" si="8"/>
        <v>2.3142424426114849</v>
      </c>
      <c r="AB90">
        <f t="shared" si="8"/>
        <v>2.2842228282590016</v>
      </c>
      <c r="AC90">
        <f t="shared" si="8"/>
        <v>2.2501217184446065</v>
      </c>
      <c r="AD90">
        <f t="shared" si="8"/>
        <v>2.2081933688782756</v>
      </c>
      <c r="AE90">
        <f t="shared" si="8"/>
        <v>2.1663833606890153</v>
      </c>
      <c r="AF90">
        <f t="shared" si="8"/>
        <v>2.1194625981868902</v>
      </c>
    </row>
    <row r="91" spans="1:32">
      <c r="A91" s="114" t="s">
        <v>115</v>
      </c>
      <c r="B91">
        <f t="shared" ref="B91:AF91" si="9">C11*(C51/SUMIF($A$42:$A$79,$A91,C$42:C$79))</f>
        <v>0</v>
      </c>
      <c r="C91">
        <f t="shared" si="9"/>
        <v>0</v>
      </c>
      <c r="D91">
        <f t="shared" si="9"/>
        <v>0</v>
      </c>
      <c r="E91">
        <f t="shared" si="9"/>
        <v>0</v>
      </c>
      <c r="F91">
        <f t="shared" si="9"/>
        <v>0</v>
      </c>
      <c r="G91">
        <f t="shared" si="9"/>
        <v>0</v>
      </c>
      <c r="H91">
        <f t="shared" si="9"/>
        <v>0</v>
      </c>
      <c r="I91">
        <f t="shared" si="9"/>
        <v>0</v>
      </c>
      <c r="J91">
        <f t="shared" si="9"/>
        <v>0</v>
      </c>
      <c r="K91">
        <f t="shared" si="9"/>
        <v>0</v>
      </c>
      <c r="L91">
        <f t="shared" si="9"/>
        <v>0</v>
      </c>
      <c r="M91">
        <f t="shared" si="9"/>
        <v>0</v>
      </c>
      <c r="N91">
        <f t="shared" si="9"/>
        <v>0</v>
      </c>
      <c r="O91">
        <f t="shared" si="9"/>
        <v>0</v>
      </c>
      <c r="P91">
        <f t="shared" si="9"/>
        <v>0</v>
      </c>
      <c r="Q91">
        <f t="shared" si="9"/>
        <v>0</v>
      </c>
      <c r="R91">
        <f t="shared" si="9"/>
        <v>0</v>
      </c>
      <c r="S91">
        <f t="shared" si="9"/>
        <v>0</v>
      </c>
      <c r="T91">
        <f t="shared" si="9"/>
        <v>0</v>
      </c>
      <c r="U91">
        <f t="shared" si="9"/>
        <v>0</v>
      </c>
      <c r="V91">
        <f t="shared" si="9"/>
        <v>0</v>
      </c>
      <c r="W91">
        <f t="shared" si="9"/>
        <v>0</v>
      </c>
      <c r="X91">
        <f t="shared" si="9"/>
        <v>0</v>
      </c>
      <c r="Y91">
        <f t="shared" si="9"/>
        <v>0</v>
      </c>
      <c r="Z91">
        <f t="shared" si="9"/>
        <v>0</v>
      </c>
      <c r="AA91">
        <f t="shared" si="9"/>
        <v>0</v>
      </c>
      <c r="AB91">
        <f t="shared" si="9"/>
        <v>0</v>
      </c>
      <c r="AC91">
        <f t="shared" si="9"/>
        <v>0</v>
      </c>
      <c r="AD91">
        <f t="shared" si="9"/>
        <v>0</v>
      </c>
      <c r="AE91">
        <f t="shared" si="9"/>
        <v>0</v>
      </c>
      <c r="AF91">
        <f t="shared" si="9"/>
        <v>0</v>
      </c>
    </row>
    <row r="92" spans="1:32">
      <c r="A92" s="114" t="s">
        <v>114</v>
      </c>
      <c r="B92">
        <f t="shared" ref="B92:AF92" si="10">C12*(C52/SUMIF($A$42:$A$79,$A92,C$42:C$79))</f>
        <v>0.59874119088324229</v>
      </c>
      <c r="C92">
        <f t="shared" si="10"/>
        <v>0.64290068792796851</v>
      </c>
      <c r="D92">
        <f t="shared" si="10"/>
        <v>0.72251646204916842</v>
      </c>
      <c r="E92">
        <f t="shared" si="10"/>
        <v>0.77065848392670455</v>
      </c>
      <c r="F92">
        <f t="shared" si="10"/>
        <v>0.8161241597995762</v>
      </c>
      <c r="G92">
        <f t="shared" si="10"/>
        <v>0.86388257372907051</v>
      </c>
      <c r="H92">
        <f t="shared" si="10"/>
        <v>0.9222045962430776</v>
      </c>
      <c r="I92">
        <f t="shared" si="10"/>
        <v>0.98495423808188209</v>
      </c>
      <c r="J92">
        <f t="shared" si="10"/>
        <v>1.0552412480655369</v>
      </c>
      <c r="K92">
        <f t="shared" si="10"/>
        <v>1.1145204382997604</v>
      </c>
      <c r="L92">
        <f t="shared" si="10"/>
        <v>1.199048704463993</v>
      </c>
      <c r="M92">
        <f t="shared" si="10"/>
        <v>1.260135842981714</v>
      </c>
      <c r="N92">
        <f t="shared" si="10"/>
        <v>1.32065299083718</v>
      </c>
      <c r="O92">
        <f t="shared" si="10"/>
        <v>1.381886687566475</v>
      </c>
      <c r="P92">
        <f t="shared" si="10"/>
        <v>1.4499741751647752</v>
      </c>
      <c r="Q92">
        <f t="shared" si="10"/>
        <v>1.4976344558844188</v>
      </c>
      <c r="R92">
        <f t="shared" si="10"/>
        <v>1.5454588315934743</v>
      </c>
      <c r="S92">
        <f t="shared" si="10"/>
        <v>1.6004880324505746</v>
      </c>
      <c r="T92">
        <f t="shared" si="10"/>
        <v>1.6588588824988952</v>
      </c>
      <c r="U92">
        <f t="shared" si="10"/>
        <v>1.7103843785107904</v>
      </c>
      <c r="V92">
        <f t="shared" si="10"/>
        <v>1.7666634530977203</v>
      </c>
      <c r="W92">
        <f t="shared" si="10"/>
        <v>1.8334116865842311</v>
      </c>
      <c r="X92">
        <f t="shared" si="10"/>
        <v>1.8897489329269912</v>
      </c>
      <c r="Y92">
        <f t="shared" si="10"/>
        <v>1.950095764620966</v>
      </c>
      <c r="Z92">
        <f t="shared" si="10"/>
        <v>2.0158149215349606</v>
      </c>
      <c r="AA92">
        <f t="shared" si="10"/>
        <v>2.0889864244472593</v>
      </c>
      <c r="AB92">
        <f t="shared" si="10"/>
        <v>2.1554146919618637</v>
      </c>
      <c r="AC92">
        <f t="shared" si="10"/>
        <v>2.2242744938311541</v>
      </c>
      <c r="AD92">
        <f t="shared" si="10"/>
        <v>2.2915602804761761</v>
      </c>
      <c r="AE92">
        <f t="shared" si="10"/>
        <v>2.3684041749283242</v>
      </c>
      <c r="AF92">
        <f t="shared" si="10"/>
        <v>2.4482734142993827</v>
      </c>
    </row>
    <row r="93" spans="1:32">
      <c r="A93" s="114" t="s">
        <v>113</v>
      </c>
      <c r="B93">
        <f t="shared" ref="B93:AF93" si="11">C13*(C53/SUMIF($A$42:$A$79,$A93,C$42:C$79))</f>
        <v>2.288456599521735</v>
      </c>
      <c r="C93">
        <f t="shared" si="11"/>
        <v>2.2670162120814501</v>
      </c>
      <c r="D93">
        <f t="shared" si="11"/>
        <v>2.628999552023886</v>
      </c>
      <c r="E93">
        <f t="shared" si="11"/>
        <v>2.8690323909477167</v>
      </c>
      <c r="F93">
        <f t="shared" si="11"/>
        <v>3.0205754405942362</v>
      </c>
      <c r="G93">
        <f t="shared" si="11"/>
        <v>3.1028137522430157</v>
      </c>
      <c r="H93">
        <f t="shared" si="11"/>
        <v>3.1216811976914625</v>
      </c>
      <c r="I93">
        <f t="shared" si="11"/>
        <v>3.1063360533432882</v>
      </c>
      <c r="J93">
        <f t="shared" si="11"/>
        <v>3.0971934743368905</v>
      </c>
      <c r="K93">
        <f t="shared" si="11"/>
        <v>3.0730752982708198</v>
      </c>
      <c r="L93">
        <f t="shared" si="11"/>
        <v>3.086298102345542</v>
      </c>
      <c r="M93">
        <f t="shared" si="11"/>
        <v>3.1025650406466663</v>
      </c>
      <c r="N93">
        <f t="shared" si="11"/>
        <v>3.0872854455059957</v>
      </c>
      <c r="O93">
        <f t="shared" si="11"/>
        <v>3.0854236006788054</v>
      </c>
      <c r="P93">
        <f t="shared" si="11"/>
        <v>3.0937488517798575</v>
      </c>
      <c r="Q93">
        <f t="shared" si="11"/>
        <v>3.0807058346489944</v>
      </c>
      <c r="R93">
        <f t="shared" si="11"/>
        <v>3.0421535769722188</v>
      </c>
      <c r="S93">
        <f t="shared" si="11"/>
        <v>3.0248053513058553</v>
      </c>
      <c r="T93">
        <f t="shared" si="11"/>
        <v>3.0175000589482597</v>
      </c>
      <c r="U93">
        <f t="shared" si="11"/>
        <v>2.9981888271202419</v>
      </c>
      <c r="V93">
        <f t="shared" si="11"/>
        <v>2.9778717197273332</v>
      </c>
      <c r="W93">
        <f t="shared" si="11"/>
        <v>2.9667929927202139</v>
      </c>
      <c r="X93">
        <f t="shared" si="11"/>
        <v>2.9522753044040235</v>
      </c>
      <c r="Y93">
        <f t="shared" si="11"/>
        <v>2.9372240216146563</v>
      </c>
      <c r="Z93">
        <f t="shared" si="11"/>
        <v>2.9289915207844168</v>
      </c>
      <c r="AA93">
        <f t="shared" si="11"/>
        <v>2.9269942382739464</v>
      </c>
      <c r="AB93">
        <f t="shared" si="11"/>
        <v>2.9177906074885742</v>
      </c>
      <c r="AC93">
        <f t="shared" si="11"/>
        <v>2.9033080769640565</v>
      </c>
      <c r="AD93">
        <f t="shared" si="11"/>
        <v>2.8875897418293892</v>
      </c>
      <c r="AE93">
        <f t="shared" si="11"/>
        <v>2.8759991222721348</v>
      </c>
      <c r="AF93">
        <f t="shared" si="11"/>
        <v>2.8715998198485808</v>
      </c>
    </row>
    <row r="94" spans="1:32">
      <c r="A94" s="114" t="s">
        <v>113</v>
      </c>
      <c r="B94">
        <f t="shared" ref="B94:AF94" si="12">C14*(C54/SUMIF($A$42:$A$79,$A94,C$42:C$79))</f>
        <v>11.019743722745169</v>
      </c>
      <c r="C94">
        <f t="shared" si="12"/>
        <v>11.19734405130896</v>
      </c>
      <c r="D94">
        <f t="shared" si="12"/>
        <v>11.761287368345037</v>
      </c>
      <c r="E94">
        <f t="shared" si="12"/>
        <v>11.754819359437295</v>
      </c>
      <c r="F94">
        <f t="shared" si="12"/>
        <v>11.62822223957988</v>
      </c>
      <c r="G94">
        <f t="shared" si="12"/>
        <v>11.556328849597898</v>
      </c>
      <c r="H94">
        <f t="shared" si="12"/>
        <v>11.566748738302348</v>
      </c>
      <c r="I94">
        <f t="shared" si="12"/>
        <v>11.566995113034491</v>
      </c>
      <c r="J94">
        <f t="shared" si="12"/>
        <v>11.571312463742963</v>
      </c>
      <c r="K94">
        <f t="shared" si="12"/>
        <v>11.602577356484664</v>
      </c>
      <c r="L94">
        <f t="shared" si="12"/>
        <v>11.800032229024403</v>
      </c>
      <c r="M94">
        <f t="shared" si="12"/>
        <v>11.821409066115258</v>
      </c>
      <c r="N94">
        <f t="shared" si="12"/>
        <v>11.847135868433432</v>
      </c>
      <c r="O94">
        <f t="shared" si="12"/>
        <v>11.875973304627591</v>
      </c>
      <c r="P94">
        <f t="shared" si="12"/>
        <v>11.942650961733099</v>
      </c>
      <c r="Q94">
        <f t="shared" si="12"/>
        <v>11.872554744930742</v>
      </c>
      <c r="R94">
        <f t="shared" si="12"/>
        <v>11.797902555724848</v>
      </c>
      <c r="S94">
        <f t="shared" si="12"/>
        <v>11.768528787157368</v>
      </c>
      <c r="T94">
        <f t="shared" si="12"/>
        <v>11.752670390876807</v>
      </c>
      <c r="U94">
        <f t="shared" si="12"/>
        <v>11.691192355478309</v>
      </c>
      <c r="V94">
        <f t="shared" si="12"/>
        <v>11.65318854369667</v>
      </c>
      <c r="W94">
        <f t="shared" si="12"/>
        <v>11.620426171837096</v>
      </c>
      <c r="X94">
        <f t="shared" si="12"/>
        <v>11.568625796071771</v>
      </c>
      <c r="Y94">
        <f t="shared" si="12"/>
        <v>11.525694559663696</v>
      </c>
      <c r="Z94">
        <f t="shared" si="12"/>
        <v>11.499594023817208</v>
      </c>
      <c r="AA94">
        <f t="shared" si="12"/>
        <v>11.495866389275927</v>
      </c>
      <c r="AB94">
        <f t="shared" si="12"/>
        <v>11.455657751976418</v>
      </c>
      <c r="AC94">
        <f t="shared" si="12"/>
        <v>11.414264205391442</v>
      </c>
      <c r="AD94">
        <f t="shared" si="12"/>
        <v>11.358955049440514</v>
      </c>
      <c r="AE94">
        <f t="shared" si="12"/>
        <v>11.330173639609958</v>
      </c>
      <c r="AF94">
        <f t="shared" si="12"/>
        <v>11.304511218513062</v>
      </c>
    </row>
    <row r="95" spans="1:32">
      <c r="A95" s="114" t="s">
        <v>853</v>
      </c>
      <c r="B95">
        <f t="shared" ref="B95:AF95" si="13">C15*(C55/SUMIF($A$42:$A$79,$A95,C$42:C$79))</f>
        <v>3.5240018274681857</v>
      </c>
      <c r="C95">
        <f t="shared" si="13"/>
        <v>3.0643717206971757</v>
      </c>
      <c r="D95">
        <f t="shared" si="13"/>
        <v>3.3924153335630223</v>
      </c>
      <c r="E95">
        <f t="shared" si="13"/>
        <v>3.4909472851576075</v>
      </c>
      <c r="F95">
        <f t="shared" si="13"/>
        <v>3.4567233416335803</v>
      </c>
      <c r="G95">
        <f t="shared" si="13"/>
        <v>3.438858242308545</v>
      </c>
      <c r="H95">
        <f t="shared" si="13"/>
        <v>3.4307876273860436</v>
      </c>
      <c r="I95">
        <f t="shared" si="13"/>
        <v>3.425705879880192</v>
      </c>
      <c r="J95">
        <f t="shared" si="13"/>
        <v>3.4483317060048631</v>
      </c>
      <c r="K95">
        <f t="shared" si="13"/>
        <v>3.4652227570767953</v>
      </c>
      <c r="L95">
        <f t="shared" si="13"/>
        <v>3.5136588333633179</v>
      </c>
      <c r="M95">
        <f t="shared" si="13"/>
        <v>3.6033695767750644</v>
      </c>
      <c r="N95">
        <f t="shared" si="13"/>
        <v>3.6034258741386243</v>
      </c>
      <c r="O95">
        <f t="shared" si="13"/>
        <v>3.6330403500569695</v>
      </c>
      <c r="P95">
        <f t="shared" si="13"/>
        <v>3.6573813314641686</v>
      </c>
      <c r="Q95">
        <f t="shared" si="13"/>
        <v>3.6769903190009385</v>
      </c>
      <c r="R95">
        <f t="shared" si="13"/>
        <v>3.641638502601257</v>
      </c>
      <c r="S95">
        <f t="shared" si="13"/>
        <v>3.6266626017413177</v>
      </c>
      <c r="T95">
        <f t="shared" si="13"/>
        <v>3.6277206909346806</v>
      </c>
      <c r="U95">
        <f t="shared" si="13"/>
        <v>3.6238341561085874</v>
      </c>
      <c r="V95">
        <f t="shared" si="13"/>
        <v>3.6078699690893048</v>
      </c>
      <c r="W95">
        <f t="shared" si="13"/>
        <v>3.6077444144184958</v>
      </c>
      <c r="X95">
        <f t="shared" si="13"/>
        <v>3.6036239802443615</v>
      </c>
      <c r="Y95">
        <f t="shared" si="13"/>
        <v>3.594944782004017</v>
      </c>
      <c r="Z95">
        <f t="shared" si="13"/>
        <v>3.592038296153321</v>
      </c>
      <c r="AA95">
        <f t="shared" si="13"/>
        <v>3.5960493749862863</v>
      </c>
      <c r="AB95">
        <f t="shared" si="13"/>
        <v>3.598628563574056</v>
      </c>
      <c r="AC95">
        <f t="shared" si="13"/>
        <v>3.5840438832188242</v>
      </c>
      <c r="AD95">
        <f t="shared" si="13"/>
        <v>3.5724235260647936</v>
      </c>
      <c r="AE95">
        <f t="shared" si="13"/>
        <v>3.5522667585653527</v>
      </c>
      <c r="AF95">
        <f t="shared" si="13"/>
        <v>3.5483551195836647</v>
      </c>
    </row>
    <row r="96" spans="1:32">
      <c r="A96" s="114" t="s">
        <v>853</v>
      </c>
      <c r="B96">
        <f t="shared" ref="B96:AF96" si="14">C16*(C56/SUMIF($A$42:$A$79,$A96,C$42:C$79))</f>
        <v>4.6921097342508986</v>
      </c>
      <c r="C96">
        <f t="shared" si="14"/>
        <v>4.7437391043607393</v>
      </c>
      <c r="D96">
        <f t="shared" si="14"/>
        <v>5.0293872697467101</v>
      </c>
      <c r="E96">
        <f t="shared" si="14"/>
        <v>5.0247548139848792</v>
      </c>
      <c r="F96">
        <f t="shared" si="14"/>
        <v>4.9724192332967068</v>
      </c>
      <c r="G96">
        <f t="shared" si="14"/>
        <v>4.9387004242860142</v>
      </c>
      <c r="H96">
        <f t="shared" si="14"/>
        <v>4.9280319093168554</v>
      </c>
      <c r="I96">
        <f t="shared" si="14"/>
        <v>4.9102824840692936</v>
      </c>
      <c r="J96">
        <f t="shared" si="14"/>
        <v>4.8980981022746644</v>
      </c>
      <c r="K96">
        <f t="shared" si="14"/>
        <v>4.8943309645155395</v>
      </c>
      <c r="L96">
        <f t="shared" si="14"/>
        <v>4.9803753334822423</v>
      </c>
      <c r="M96">
        <f t="shared" si="14"/>
        <v>4.9769392447207874</v>
      </c>
      <c r="N96">
        <f t="shared" si="14"/>
        <v>4.9746091932422756</v>
      </c>
      <c r="O96">
        <f t="shared" si="14"/>
        <v>4.9718222797992553</v>
      </c>
      <c r="P96">
        <f t="shared" si="14"/>
        <v>4.9837759402554713</v>
      </c>
      <c r="Q96">
        <f t="shared" si="14"/>
        <v>4.9334292168446288</v>
      </c>
      <c r="R96">
        <f t="shared" si="14"/>
        <v>4.8823583102644728</v>
      </c>
      <c r="S96">
        <f t="shared" si="14"/>
        <v>4.8514909784872104</v>
      </c>
      <c r="T96">
        <f t="shared" si="14"/>
        <v>4.8249978227059422</v>
      </c>
      <c r="U96">
        <f t="shared" si="14"/>
        <v>4.776479797885492</v>
      </c>
      <c r="V96">
        <f t="shared" si="14"/>
        <v>4.7374445283747502</v>
      </c>
      <c r="W96">
        <f t="shared" si="14"/>
        <v>4.7003925549753172</v>
      </c>
      <c r="X96">
        <f t="shared" si="14"/>
        <v>4.6557219988666709</v>
      </c>
      <c r="Y96">
        <f t="shared" si="14"/>
        <v>4.6114743344352576</v>
      </c>
      <c r="Z96">
        <f t="shared" si="14"/>
        <v>4.575626614377696</v>
      </c>
      <c r="AA96">
        <f t="shared" si="14"/>
        <v>4.5464349105887107</v>
      </c>
      <c r="AB96">
        <f t="shared" si="14"/>
        <v>4.5040091500831956</v>
      </c>
      <c r="AC96">
        <f t="shared" si="14"/>
        <v>4.4610702531929824</v>
      </c>
      <c r="AD96">
        <f t="shared" si="14"/>
        <v>4.4129154940946593</v>
      </c>
      <c r="AE96">
        <f t="shared" si="14"/>
        <v>4.3737426381036881</v>
      </c>
      <c r="AF96">
        <f t="shared" si="14"/>
        <v>4.334966339725014</v>
      </c>
    </row>
    <row r="97" spans="1:32">
      <c r="A97" s="114" t="s">
        <v>854</v>
      </c>
      <c r="B97">
        <f t="shared" ref="B97:AF97" si="15">C17*(C57/SUMIF($A$42:$A$79,$A97,C$42:C$79))</f>
        <v>0</v>
      </c>
      <c r="C97">
        <f t="shared" si="15"/>
        <v>0</v>
      </c>
      <c r="D97">
        <f t="shared" si="15"/>
        <v>0</v>
      </c>
      <c r="E97">
        <f t="shared" si="15"/>
        <v>0</v>
      </c>
      <c r="F97">
        <f t="shared" si="15"/>
        <v>0</v>
      </c>
      <c r="G97">
        <f t="shared" si="15"/>
        <v>0</v>
      </c>
      <c r="H97">
        <f t="shared" si="15"/>
        <v>0</v>
      </c>
      <c r="I97">
        <f t="shared" si="15"/>
        <v>0</v>
      </c>
      <c r="J97">
        <f t="shared" si="15"/>
        <v>0</v>
      </c>
      <c r="K97">
        <f t="shared" si="15"/>
        <v>0</v>
      </c>
      <c r="L97">
        <f t="shared" si="15"/>
        <v>0</v>
      </c>
      <c r="M97">
        <f t="shared" si="15"/>
        <v>0</v>
      </c>
      <c r="N97">
        <f t="shared" si="15"/>
        <v>0</v>
      </c>
      <c r="O97">
        <f t="shared" si="15"/>
        <v>0</v>
      </c>
      <c r="P97">
        <f t="shared" si="15"/>
        <v>0</v>
      </c>
      <c r="Q97">
        <f t="shared" si="15"/>
        <v>0</v>
      </c>
      <c r="R97">
        <f t="shared" si="15"/>
        <v>0</v>
      </c>
      <c r="S97">
        <f t="shared" si="15"/>
        <v>0</v>
      </c>
      <c r="T97">
        <f t="shared" si="15"/>
        <v>0</v>
      </c>
      <c r="U97">
        <f t="shared" si="15"/>
        <v>0</v>
      </c>
      <c r="V97">
        <f t="shared" si="15"/>
        <v>0</v>
      </c>
      <c r="W97">
        <f t="shared" si="15"/>
        <v>0</v>
      </c>
      <c r="X97">
        <f t="shared" si="15"/>
        <v>0</v>
      </c>
      <c r="Y97">
        <f t="shared" si="15"/>
        <v>0</v>
      </c>
      <c r="Z97">
        <f t="shared" si="15"/>
        <v>0</v>
      </c>
      <c r="AA97">
        <f t="shared" si="15"/>
        <v>0</v>
      </c>
      <c r="AB97">
        <f t="shared" si="15"/>
        <v>0</v>
      </c>
      <c r="AC97">
        <f t="shared" si="15"/>
        <v>0</v>
      </c>
      <c r="AD97">
        <f t="shared" si="15"/>
        <v>0</v>
      </c>
      <c r="AE97">
        <f t="shared" si="15"/>
        <v>0</v>
      </c>
      <c r="AF97">
        <f t="shared" si="15"/>
        <v>0</v>
      </c>
    </row>
    <row r="98" spans="1:32">
      <c r="A98" s="114" t="s">
        <v>854</v>
      </c>
      <c r="B98">
        <f t="shared" ref="B98:AF98" si="16">C18*(C58/SUMIF($A$42:$A$79,$A98,C$42:C$79))</f>
        <v>50.910557588043055</v>
      </c>
      <c r="C98">
        <f t="shared" si="16"/>
        <v>50.25323871894534</v>
      </c>
      <c r="D98">
        <f t="shared" si="16"/>
        <v>49.92799335667776</v>
      </c>
      <c r="E98">
        <f t="shared" si="16"/>
        <v>49.58088299402327</v>
      </c>
      <c r="F98">
        <f t="shared" si="16"/>
        <v>49.272230191131598</v>
      </c>
      <c r="G98">
        <f t="shared" si="16"/>
        <v>48.896680561383732</v>
      </c>
      <c r="H98">
        <f t="shared" si="16"/>
        <v>48.693495600139755</v>
      </c>
      <c r="I98">
        <f t="shared" si="16"/>
        <v>48.288100141070032</v>
      </c>
      <c r="J98">
        <f t="shared" si="16"/>
        <v>47.928552096049252</v>
      </c>
      <c r="K98">
        <f t="shared" si="16"/>
        <v>47.546250891237925</v>
      </c>
      <c r="L98">
        <f t="shared" si="16"/>
        <v>47.249853001478861</v>
      </c>
      <c r="M98">
        <f t="shared" si="16"/>
        <v>46.883739006792105</v>
      </c>
      <c r="N98">
        <f t="shared" si="16"/>
        <v>46.512510701101903</v>
      </c>
      <c r="O98">
        <f t="shared" si="16"/>
        <v>46.156732824055545</v>
      </c>
      <c r="P98">
        <f t="shared" si="16"/>
        <v>45.846830880824868</v>
      </c>
      <c r="Q98">
        <f t="shared" si="16"/>
        <v>45.485973839000273</v>
      </c>
      <c r="R98">
        <f t="shared" si="16"/>
        <v>45.132288765067635</v>
      </c>
      <c r="S98">
        <f t="shared" si="16"/>
        <v>44.838652271408691</v>
      </c>
      <c r="T98">
        <f t="shared" si="16"/>
        <v>44.586010138501912</v>
      </c>
      <c r="U98">
        <f t="shared" si="16"/>
        <v>44.33432336232066</v>
      </c>
      <c r="V98">
        <f t="shared" si="16"/>
        <v>44.112376660943454</v>
      </c>
      <c r="W98">
        <f t="shared" si="16"/>
        <v>43.922128332545057</v>
      </c>
      <c r="X98">
        <f t="shared" si="16"/>
        <v>43.73914778387401</v>
      </c>
      <c r="Y98">
        <f t="shared" si="16"/>
        <v>43.572053437005799</v>
      </c>
      <c r="Z98">
        <f t="shared" si="16"/>
        <v>43.430183831244854</v>
      </c>
      <c r="AA98">
        <f t="shared" si="16"/>
        <v>43.314618995459554</v>
      </c>
      <c r="AB98">
        <f t="shared" si="16"/>
        <v>43.19195665527765</v>
      </c>
      <c r="AC98">
        <f t="shared" si="16"/>
        <v>43.066792794974297</v>
      </c>
      <c r="AD98">
        <f t="shared" si="16"/>
        <v>42.952284195712217</v>
      </c>
      <c r="AE98">
        <f t="shared" si="16"/>
        <v>42.848006970974851</v>
      </c>
      <c r="AF98">
        <f t="shared" si="16"/>
        <v>42.772525051465742</v>
      </c>
    </row>
    <row r="99" spans="1:32">
      <c r="A99" s="114"/>
      <c r="B99" t="e">
        <f t="shared" ref="B99:AF99" si="17">C19*(C59/SUMIF($A$42:$A$79,$A99,C$42:C$79))</f>
        <v>#DIV/0!</v>
      </c>
      <c r="C99" t="e">
        <f t="shared" si="17"/>
        <v>#DIV/0!</v>
      </c>
      <c r="D99" t="e">
        <f t="shared" si="17"/>
        <v>#DIV/0!</v>
      </c>
      <c r="E99" t="e">
        <f t="shared" si="17"/>
        <v>#DIV/0!</v>
      </c>
      <c r="F99" t="e">
        <f t="shared" si="17"/>
        <v>#DIV/0!</v>
      </c>
      <c r="G99" t="e">
        <f t="shared" si="17"/>
        <v>#DIV/0!</v>
      </c>
      <c r="H99" t="e">
        <f t="shared" si="17"/>
        <v>#DIV/0!</v>
      </c>
      <c r="I99" t="e">
        <f t="shared" si="17"/>
        <v>#DIV/0!</v>
      </c>
      <c r="J99" t="e">
        <f t="shared" si="17"/>
        <v>#DIV/0!</v>
      </c>
      <c r="K99" t="e">
        <f t="shared" si="17"/>
        <v>#DIV/0!</v>
      </c>
      <c r="L99" t="e">
        <f t="shared" si="17"/>
        <v>#DIV/0!</v>
      </c>
      <c r="M99" t="e">
        <f t="shared" si="17"/>
        <v>#DIV/0!</v>
      </c>
      <c r="N99" t="e">
        <f t="shared" si="17"/>
        <v>#DIV/0!</v>
      </c>
      <c r="O99" t="e">
        <f t="shared" si="17"/>
        <v>#DIV/0!</v>
      </c>
      <c r="P99" t="e">
        <f t="shared" si="17"/>
        <v>#DIV/0!</v>
      </c>
      <c r="Q99" t="e">
        <f t="shared" si="17"/>
        <v>#DIV/0!</v>
      </c>
      <c r="R99" t="e">
        <f t="shared" si="17"/>
        <v>#DIV/0!</v>
      </c>
      <c r="S99" t="e">
        <f t="shared" si="17"/>
        <v>#DIV/0!</v>
      </c>
      <c r="T99" t="e">
        <f t="shared" si="17"/>
        <v>#DIV/0!</v>
      </c>
      <c r="U99" t="e">
        <f t="shared" si="17"/>
        <v>#DIV/0!</v>
      </c>
      <c r="V99" t="e">
        <f t="shared" si="17"/>
        <v>#DIV/0!</v>
      </c>
      <c r="W99" t="e">
        <f t="shared" si="17"/>
        <v>#DIV/0!</v>
      </c>
      <c r="X99" t="e">
        <f t="shared" si="17"/>
        <v>#DIV/0!</v>
      </c>
      <c r="Y99" t="e">
        <f t="shared" si="17"/>
        <v>#DIV/0!</v>
      </c>
      <c r="Z99" t="e">
        <f t="shared" si="17"/>
        <v>#DIV/0!</v>
      </c>
      <c r="AA99" t="e">
        <f t="shared" si="17"/>
        <v>#DIV/0!</v>
      </c>
      <c r="AB99" t="e">
        <f t="shared" si="17"/>
        <v>#DIV/0!</v>
      </c>
      <c r="AC99" t="e">
        <f t="shared" si="17"/>
        <v>#DIV/0!</v>
      </c>
      <c r="AD99" t="e">
        <f t="shared" si="17"/>
        <v>#DIV/0!</v>
      </c>
      <c r="AE99" t="e">
        <f t="shared" si="17"/>
        <v>#DIV/0!</v>
      </c>
      <c r="AF99" t="e">
        <f t="shared" si="17"/>
        <v>#DIV/0!</v>
      </c>
    </row>
    <row r="100" spans="1:32">
      <c r="A100" s="114"/>
      <c r="B100" t="e">
        <f t="shared" ref="B100:AF100" si="18">C20*(C60/SUMIF($A$42:$A$79,$A100,C$42:C$79))</f>
        <v>#N/A</v>
      </c>
      <c r="C100" t="e">
        <f t="shared" si="18"/>
        <v>#N/A</v>
      </c>
      <c r="D100" t="e">
        <f t="shared" si="18"/>
        <v>#N/A</v>
      </c>
      <c r="E100" t="e">
        <f t="shared" si="18"/>
        <v>#N/A</v>
      </c>
      <c r="F100" t="e">
        <f t="shared" si="18"/>
        <v>#N/A</v>
      </c>
      <c r="G100" t="e">
        <f t="shared" si="18"/>
        <v>#N/A</v>
      </c>
      <c r="H100" t="e">
        <f t="shared" si="18"/>
        <v>#N/A</v>
      </c>
      <c r="I100" t="e">
        <f t="shared" si="18"/>
        <v>#N/A</v>
      </c>
      <c r="J100" t="e">
        <f t="shared" si="18"/>
        <v>#N/A</v>
      </c>
      <c r="K100" t="e">
        <f t="shared" si="18"/>
        <v>#N/A</v>
      </c>
      <c r="L100" t="e">
        <f t="shared" si="18"/>
        <v>#N/A</v>
      </c>
      <c r="M100" t="e">
        <f t="shared" si="18"/>
        <v>#N/A</v>
      </c>
      <c r="N100" t="e">
        <f t="shared" si="18"/>
        <v>#N/A</v>
      </c>
      <c r="O100" t="e">
        <f t="shared" si="18"/>
        <v>#N/A</v>
      </c>
      <c r="P100" t="e">
        <f t="shared" si="18"/>
        <v>#N/A</v>
      </c>
      <c r="Q100" t="e">
        <f t="shared" si="18"/>
        <v>#N/A</v>
      </c>
      <c r="R100" t="e">
        <f t="shared" si="18"/>
        <v>#N/A</v>
      </c>
      <c r="S100" t="e">
        <f t="shared" si="18"/>
        <v>#N/A</v>
      </c>
      <c r="T100" t="e">
        <f t="shared" si="18"/>
        <v>#N/A</v>
      </c>
      <c r="U100" t="e">
        <f t="shared" si="18"/>
        <v>#N/A</v>
      </c>
      <c r="V100" t="e">
        <f t="shared" si="18"/>
        <v>#N/A</v>
      </c>
      <c r="W100" t="e">
        <f t="shared" si="18"/>
        <v>#N/A</v>
      </c>
      <c r="X100" t="e">
        <f t="shared" si="18"/>
        <v>#N/A</v>
      </c>
      <c r="Y100" t="e">
        <f t="shared" si="18"/>
        <v>#N/A</v>
      </c>
      <c r="Z100" t="e">
        <f t="shared" si="18"/>
        <v>#N/A</v>
      </c>
      <c r="AA100" t="e">
        <f t="shared" si="18"/>
        <v>#N/A</v>
      </c>
      <c r="AB100" t="e">
        <f t="shared" si="18"/>
        <v>#N/A</v>
      </c>
      <c r="AC100" t="e">
        <f t="shared" si="18"/>
        <v>#N/A</v>
      </c>
      <c r="AD100" t="e">
        <f t="shared" si="18"/>
        <v>#N/A</v>
      </c>
      <c r="AE100" t="e">
        <f t="shared" si="18"/>
        <v>#N/A</v>
      </c>
      <c r="AF100" t="e">
        <f t="shared" si="18"/>
        <v>#N/A</v>
      </c>
    </row>
    <row r="101" spans="1:32">
      <c r="A101" s="114"/>
      <c r="B101" t="e">
        <f t="shared" ref="B101:AF101" si="19">C21*(C61/SUMIF($A$42:$A$79,$A101,C$42:C$79))</f>
        <v>#N/A</v>
      </c>
      <c r="C101" t="e">
        <f t="shared" si="19"/>
        <v>#N/A</v>
      </c>
      <c r="D101" t="e">
        <f t="shared" si="19"/>
        <v>#N/A</v>
      </c>
      <c r="E101" t="e">
        <f t="shared" si="19"/>
        <v>#N/A</v>
      </c>
      <c r="F101" t="e">
        <f t="shared" si="19"/>
        <v>#N/A</v>
      </c>
      <c r="G101" t="e">
        <f t="shared" si="19"/>
        <v>#N/A</v>
      </c>
      <c r="H101" t="e">
        <f t="shared" si="19"/>
        <v>#N/A</v>
      </c>
      <c r="I101" t="e">
        <f t="shared" si="19"/>
        <v>#N/A</v>
      </c>
      <c r="J101" t="e">
        <f t="shared" si="19"/>
        <v>#N/A</v>
      </c>
      <c r="K101" t="e">
        <f t="shared" si="19"/>
        <v>#N/A</v>
      </c>
      <c r="L101" t="e">
        <f t="shared" si="19"/>
        <v>#N/A</v>
      </c>
      <c r="M101" t="e">
        <f t="shared" si="19"/>
        <v>#N/A</v>
      </c>
      <c r="N101" t="e">
        <f t="shared" si="19"/>
        <v>#N/A</v>
      </c>
      <c r="O101" t="e">
        <f t="shared" si="19"/>
        <v>#N/A</v>
      </c>
      <c r="P101" t="e">
        <f t="shared" si="19"/>
        <v>#N/A</v>
      </c>
      <c r="Q101" t="e">
        <f t="shared" si="19"/>
        <v>#N/A</v>
      </c>
      <c r="R101" t="e">
        <f t="shared" si="19"/>
        <v>#N/A</v>
      </c>
      <c r="S101" t="e">
        <f t="shared" si="19"/>
        <v>#N/A</v>
      </c>
      <c r="T101" t="e">
        <f t="shared" si="19"/>
        <v>#N/A</v>
      </c>
      <c r="U101" t="e">
        <f t="shared" si="19"/>
        <v>#N/A</v>
      </c>
      <c r="V101" t="e">
        <f t="shared" si="19"/>
        <v>#N/A</v>
      </c>
      <c r="W101" t="e">
        <f t="shared" si="19"/>
        <v>#N/A</v>
      </c>
      <c r="X101" t="e">
        <f t="shared" si="19"/>
        <v>#N/A</v>
      </c>
      <c r="Y101" t="e">
        <f t="shared" si="19"/>
        <v>#N/A</v>
      </c>
      <c r="Z101" t="e">
        <f t="shared" si="19"/>
        <v>#N/A</v>
      </c>
      <c r="AA101" t="e">
        <f t="shared" si="19"/>
        <v>#N/A</v>
      </c>
      <c r="AB101" t="e">
        <f t="shared" si="19"/>
        <v>#N/A</v>
      </c>
      <c r="AC101" t="e">
        <f t="shared" si="19"/>
        <v>#N/A</v>
      </c>
      <c r="AD101" t="e">
        <f t="shared" si="19"/>
        <v>#N/A</v>
      </c>
      <c r="AE101" t="e">
        <f t="shared" si="19"/>
        <v>#N/A</v>
      </c>
      <c r="AF101" t="e">
        <f t="shared" si="19"/>
        <v>#N/A</v>
      </c>
    </row>
    <row r="102" spans="1:32">
      <c r="A102" s="114" t="s">
        <v>114</v>
      </c>
      <c r="B102">
        <f t="shared" ref="B102:AF102" si="20">C22*(C62/SUMIF($A$42:$A$79,$A102,C$42:C$79))</f>
        <v>16.67312686251169</v>
      </c>
      <c r="C102">
        <f t="shared" si="20"/>
        <v>17.508680940354164</v>
      </c>
      <c r="D102">
        <f t="shared" si="20"/>
        <v>17.317249080855429</v>
      </c>
      <c r="E102">
        <f t="shared" si="20"/>
        <v>17.637035542949704</v>
      </c>
      <c r="F102">
        <f t="shared" si="20"/>
        <v>17.953887836800416</v>
      </c>
      <c r="G102">
        <f t="shared" si="20"/>
        <v>18.245792522645182</v>
      </c>
      <c r="H102">
        <f t="shared" si="20"/>
        <v>18.231573213377821</v>
      </c>
      <c r="I102">
        <f t="shared" si="20"/>
        <v>18.164485258345135</v>
      </c>
      <c r="J102">
        <f t="shared" si="20"/>
        <v>18.129813269039978</v>
      </c>
      <c r="K102">
        <f t="shared" si="20"/>
        <v>18.073451399966011</v>
      </c>
      <c r="L102">
        <f t="shared" si="20"/>
        <v>17.858104413941799</v>
      </c>
      <c r="M102">
        <f t="shared" si="20"/>
        <v>17.802032481568606</v>
      </c>
      <c r="N102">
        <f t="shared" si="20"/>
        <v>17.72809137358287</v>
      </c>
      <c r="O102">
        <f t="shared" si="20"/>
        <v>17.657906639441538</v>
      </c>
      <c r="P102">
        <f t="shared" si="20"/>
        <v>17.552482734562375</v>
      </c>
      <c r="Q102">
        <f t="shared" si="20"/>
        <v>17.572271590526995</v>
      </c>
      <c r="R102">
        <f t="shared" si="20"/>
        <v>17.58670576030886</v>
      </c>
      <c r="S102">
        <f t="shared" si="20"/>
        <v>17.566936163656852</v>
      </c>
      <c r="T102">
        <f t="shared" si="20"/>
        <v>17.545615232414605</v>
      </c>
      <c r="U102">
        <f t="shared" si="20"/>
        <v>17.554908401113448</v>
      </c>
      <c r="V102">
        <f t="shared" si="20"/>
        <v>17.549051872305991</v>
      </c>
      <c r="W102">
        <f t="shared" si="20"/>
        <v>17.537743623907208</v>
      </c>
      <c r="X102">
        <f t="shared" si="20"/>
        <v>17.544249042037478</v>
      </c>
      <c r="Y102">
        <f t="shared" si="20"/>
        <v>17.538891193555806</v>
      </c>
      <c r="Z102">
        <f t="shared" si="20"/>
        <v>17.522269459464692</v>
      </c>
      <c r="AA102">
        <f t="shared" si="20"/>
        <v>17.483747731864067</v>
      </c>
      <c r="AB102">
        <f t="shared" si="20"/>
        <v>17.482375603549187</v>
      </c>
      <c r="AC102">
        <f t="shared" si="20"/>
        <v>17.477166737827517</v>
      </c>
      <c r="AD102">
        <f t="shared" si="20"/>
        <v>17.482024097285734</v>
      </c>
      <c r="AE102">
        <f t="shared" si="20"/>
        <v>17.460042102154137</v>
      </c>
      <c r="AF102">
        <f t="shared" si="20"/>
        <v>17.437733784488213</v>
      </c>
    </row>
    <row r="103" spans="1:32">
      <c r="A103" s="114" t="s">
        <v>115</v>
      </c>
      <c r="B103">
        <f t="shared" ref="B103:AF103" si="21">C23*(C63/SUMIF($A$42:$A$79,$A103,C$42:C$79))</f>
        <v>37.189564155575901</v>
      </c>
      <c r="C103">
        <f t="shared" si="21"/>
        <v>38.007599264054541</v>
      </c>
      <c r="D103">
        <f t="shared" si="21"/>
        <v>38.357459316950411</v>
      </c>
      <c r="E103">
        <f t="shared" si="21"/>
        <v>38.653404168454216</v>
      </c>
      <c r="F103">
        <f t="shared" si="21"/>
        <v>38.842478125607798</v>
      </c>
      <c r="G103">
        <f t="shared" si="21"/>
        <v>39.279551131151059</v>
      </c>
      <c r="H103">
        <f t="shared" si="21"/>
        <v>39.310372153900992</v>
      </c>
      <c r="I103">
        <f t="shared" si="21"/>
        <v>39.21400824917469</v>
      </c>
      <c r="J103">
        <f t="shared" si="21"/>
        <v>39.171363085890405</v>
      </c>
      <c r="K103">
        <f t="shared" si="21"/>
        <v>39.113165409988248</v>
      </c>
      <c r="L103">
        <f t="shared" si="21"/>
        <v>39.05406012144654</v>
      </c>
      <c r="M103">
        <f t="shared" si="21"/>
        <v>38.991691119060576</v>
      </c>
      <c r="N103">
        <f t="shared" si="21"/>
        <v>38.938899216825753</v>
      </c>
      <c r="O103">
        <f t="shared" si="21"/>
        <v>38.877895607838084</v>
      </c>
      <c r="P103">
        <f t="shared" si="21"/>
        <v>38.838447824129659</v>
      </c>
      <c r="Q103">
        <f t="shared" si="21"/>
        <v>38.78310574880085</v>
      </c>
      <c r="R103">
        <f t="shared" si="21"/>
        <v>38.746233705598712</v>
      </c>
      <c r="S103">
        <f t="shared" si="21"/>
        <v>38.705140829099527</v>
      </c>
      <c r="T103">
        <f t="shared" si="21"/>
        <v>38.665465732834335</v>
      </c>
      <c r="U103">
        <f t="shared" si="21"/>
        <v>38.637072564597453</v>
      </c>
      <c r="V103">
        <f t="shared" si="21"/>
        <v>38.591351942872585</v>
      </c>
      <c r="W103">
        <f t="shared" si="21"/>
        <v>38.560699655877229</v>
      </c>
      <c r="X103">
        <f t="shared" si="21"/>
        <v>38.526445908081236</v>
      </c>
      <c r="Y103">
        <f t="shared" si="21"/>
        <v>38.49732023161306</v>
      </c>
      <c r="Z103">
        <f t="shared" si="21"/>
        <v>38.469046305205843</v>
      </c>
      <c r="AA103">
        <f t="shared" si="21"/>
        <v>38.446392774316251</v>
      </c>
      <c r="AB103">
        <f t="shared" si="21"/>
        <v>38.411588520199636</v>
      </c>
      <c r="AC103">
        <f t="shared" si="21"/>
        <v>38.383572071821632</v>
      </c>
      <c r="AD103">
        <f t="shared" si="21"/>
        <v>38.354386559950285</v>
      </c>
      <c r="AE103">
        <f t="shared" si="21"/>
        <v>38.324369599994228</v>
      </c>
      <c r="AF103">
        <f t="shared" si="21"/>
        <v>38.293358743961434</v>
      </c>
    </row>
    <row r="104" spans="1:32">
      <c r="A104" s="114"/>
      <c r="B104" t="e">
        <f t="shared" ref="B104:AF104" si="22">C24*(C64/SUMIF($A$42:$A$79,$A104,C$42:C$79))</f>
        <v>#N/A</v>
      </c>
      <c r="C104" t="e">
        <f t="shared" si="22"/>
        <v>#N/A</v>
      </c>
      <c r="D104" t="e">
        <f t="shared" si="22"/>
        <v>#N/A</v>
      </c>
      <c r="E104" t="e">
        <f t="shared" si="22"/>
        <v>#N/A</v>
      </c>
      <c r="F104" t="e">
        <f t="shared" si="22"/>
        <v>#N/A</v>
      </c>
      <c r="G104" t="e">
        <f t="shared" si="22"/>
        <v>#N/A</v>
      </c>
      <c r="H104" t="e">
        <f t="shared" si="22"/>
        <v>#N/A</v>
      </c>
      <c r="I104" t="e">
        <f t="shared" si="22"/>
        <v>#N/A</v>
      </c>
      <c r="J104" t="e">
        <f t="shared" si="22"/>
        <v>#N/A</v>
      </c>
      <c r="K104" t="e">
        <f t="shared" si="22"/>
        <v>#N/A</v>
      </c>
      <c r="L104" t="e">
        <f t="shared" si="22"/>
        <v>#N/A</v>
      </c>
      <c r="M104" t="e">
        <f t="shared" si="22"/>
        <v>#N/A</v>
      </c>
      <c r="N104" t="e">
        <f t="shared" si="22"/>
        <v>#N/A</v>
      </c>
      <c r="O104" t="e">
        <f t="shared" si="22"/>
        <v>#N/A</v>
      </c>
      <c r="P104" t="e">
        <f t="shared" si="22"/>
        <v>#N/A</v>
      </c>
      <c r="Q104" t="e">
        <f t="shared" si="22"/>
        <v>#N/A</v>
      </c>
      <c r="R104" t="e">
        <f t="shared" si="22"/>
        <v>#N/A</v>
      </c>
      <c r="S104" t="e">
        <f t="shared" si="22"/>
        <v>#N/A</v>
      </c>
      <c r="T104" t="e">
        <f t="shared" si="22"/>
        <v>#N/A</v>
      </c>
      <c r="U104" t="e">
        <f t="shared" si="22"/>
        <v>#N/A</v>
      </c>
      <c r="V104" t="e">
        <f t="shared" si="22"/>
        <v>#N/A</v>
      </c>
      <c r="W104" t="e">
        <f t="shared" si="22"/>
        <v>#N/A</v>
      </c>
      <c r="X104" t="e">
        <f t="shared" si="22"/>
        <v>#N/A</v>
      </c>
      <c r="Y104" t="e">
        <f t="shared" si="22"/>
        <v>#N/A</v>
      </c>
      <c r="Z104" t="e">
        <f t="shared" si="22"/>
        <v>#N/A</v>
      </c>
      <c r="AA104" t="e">
        <f t="shared" si="22"/>
        <v>#N/A</v>
      </c>
      <c r="AB104" t="e">
        <f t="shared" si="22"/>
        <v>#N/A</v>
      </c>
      <c r="AC104" t="e">
        <f t="shared" si="22"/>
        <v>#N/A</v>
      </c>
      <c r="AD104" t="e">
        <f t="shared" si="22"/>
        <v>#N/A</v>
      </c>
      <c r="AE104" t="e">
        <f t="shared" si="22"/>
        <v>#N/A</v>
      </c>
      <c r="AF104" t="e">
        <f t="shared" si="22"/>
        <v>#N/A</v>
      </c>
    </row>
    <row r="105" spans="1:32">
      <c r="A105" s="114" t="s">
        <v>114</v>
      </c>
      <c r="B105">
        <f t="shared" ref="B105:AF105" si="23">C25*(C65/SUMIF($A$42:$A$79,$A105,C$42:C$79))</f>
        <v>1.6979949841588349</v>
      </c>
      <c r="C105">
        <f t="shared" si="23"/>
        <v>1.6255504273606214</v>
      </c>
      <c r="D105">
        <f t="shared" si="23"/>
        <v>1.6132157974340731</v>
      </c>
      <c r="E105">
        <f t="shared" si="23"/>
        <v>1.6431157261952922</v>
      </c>
      <c r="F105">
        <f t="shared" si="23"/>
        <v>1.6733429018229244</v>
      </c>
      <c r="G105">
        <f t="shared" si="23"/>
        <v>1.7035735288717575</v>
      </c>
      <c r="H105">
        <f t="shared" si="23"/>
        <v>1.7099420996549954</v>
      </c>
      <c r="I105">
        <f t="shared" si="23"/>
        <v>1.7083395209846133</v>
      </c>
      <c r="J105">
        <f t="shared" si="23"/>
        <v>1.7079755880740033</v>
      </c>
      <c r="K105">
        <f t="shared" si="23"/>
        <v>1.7057608378735316</v>
      </c>
      <c r="L105">
        <f t="shared" si="23"/>
        <v>1.6900726315083832</v>
      </c>
      <c r="M105">
        <f t="shared" si="23"/>
        <v>1.6879366288709219</v>
      </c>
      <c r="N105">
        <f t="shared" si="23"/>
        <v>1.6848296796005773</v>
      </c>
      <c r="O105">
        <f t="shared" si="23"/>
        <v>1.68194557484423</v>
      </c>
      <c r="P105">
        <f t="shared" si="23"/>
        <v>1.6766721612494659</v>
      </c>
      <c r="Q105">
        <f t="shared" si="23"/>
        <v>1.6817299604550606</v>
      </c>
      <c r="R105">
        <f t="shared" si="23"/>
        <v>1.686368191333701</v>
      </c>
      <c r="S105">
        <f t="shared" si="23"/>
        <v>1.6890521683515392</v>
      </c>
      <c r="T105">
        <f t="shared" si="23"/>
        <v>1.6906184247426714</v>
      </c>
      <c r="U105">
        <f t="shared" si="23"/>
        <v>1.6948783820196687</v>
      </c>
      <c r="V105">
        <f t="shared" si="23"/>
        <v>1.6974191131340437</v>
      </c>
      <c r="W105">
        <f t="shared" si="23"/>
        <v>1.6990694553304235</v>
      </c>
      <c r="X105">
        <f t="shared" si="23"/>
        <v>1.7021987925349982</v>
      </c>
      <c r="Y105">
        <f t="shared" si="23"/>
        <v>1.7040903773871632</v>
      </c>
      <c r="Z105">
        <f t="shared" si="23"/>
        <v>1.7051686747480099</v>
      </c>
      <c r="AA105">
        <f t="shared" si="23"/>
        <v>1.7044898645107738</v>
      </c>
      <c r="AB105">
        <f t="shared" si="23"/>
        <v>1.7069213020954772</v>
      </c>
      <c r="AC105">
        <f t="shared" si="23"/>
        <v>1.7091169430176552</v>
      </c>
      <c r="AD105">
        <f t="shared" si="23"/>
        <v>1.7122704508276465</v>
      </c>
      <c r="AE105">
        <f t="shared" si="23"/>
        <v>1.7133245687654677</v>
      </c>
      <c r="AF105">
        <f t="shared" si="23"/>
        <v>1.7143407111495985</v>
      </c>
    </row>
    <row r="106" spans="1:32">
      <c r="A106" s="114" t="s">
        <v>112</v>
      </c>
      <c r="B106">
        <f t="shared" ref="B106:AF106" si="24">C26*(C66/SUMIF($A$42:$A$79,$A106,C$42:C$79))</f>
        <v>0</v>
      </c>
      <c r="C106">
        <f t="shared" si="24"/>
        <v>0</v>
      </c>
      <c r="D106">
        <f t="shared" si="24"/>
        <v>0</v>
      </c>
      <c r="E106">
        <f t="shared" si="24"/>
        <v>0</v>
      </c>
      <c r="F106">
        <f t="shared" si="24"/>
        <v>0</v>
      </c>
      <c r="G106">
        <f t="shared" si="24"/>
        <v>0</v>
      </c>
      <c r="H106">
        <f t="shared" si="24"/>
        <v>0</v>
      </c>
      <c r="I106">
        <f t="shared" si="24"/>
        <v>0</v>
      </c>
      <c r="J106">
        <f t="shared" si="24"/>
        <v>0</v>
      </c>
      <c r="K106">
        <f t="shared" si="24"/>
        <v>0</v>
      </c>
      <c r="L106">
        <f t="shared" si="24"/>
        <v>0</v>
      </c>
      <c r="M106">
        <f t="shared" si="24"/>
        <v>0</v>
      </c>
      <c r="N106">
        <f t="shared" si="24"/>
        <v>0</v>
      </c>
      <c r="O106">
        <f t="shared" si="24"/>
        <v>0</v>
      </c>
      <c r="P106">
        <f t="shared" si="24"/>
        <v>0</v>
      </c>
      <c r="Q106">
        <f t="shared" si="24"/>
        <v>0</v>
      </c>
      <c r="R106">
        <f t="shared" si="24"/>
        <v>0</v>
      </c>
      <c r="S106">
        <f t="shared" si="24"/>
        <v>0</v>
      </c>
      <c r="T106">
        <f t="shared" si="24"/>
        <v>0</v>
      </c>
      <c r="U106">
        <f t="shared" si="24"/>
        <v>0</v>
      </c>
      <c r="V106">
        <f t="shared" si="24"/>
        <v>0</v>
      </c>
      <c r="W106">
        <f t="shared" si="24"/>
        <v>0</v>
      </c>
      <c r="X106">
        <f t="shared" si="24"/>
        <v>0</v>
      </c>
      <c r="Y106">
        <f t="shared" si="24"/>
        <v>0</v>
      </c>
      <c r="Z106">
        <f t="shared" si="24"/>
        <v>0</v>
      </c>
      <c r="AA106">
        <f t="shared" si="24"/>
        <v>0</v>
      </c>
      <c r="AB106">
        <f t="shared" si="24"/>
        <v>0</v>
      </c>
      <c r="AC106">
        <f t="shared" si="24"/>
        <v>0</v>
      </c>
      <c r="AD106">
        <f t="shared" si="24"/>
        <v>0</v>
      </c>
      <c r="AE106">
        <f t="shared" si="24"/>
        <v>0</v>
      </c>
      <c r="AF106">
        <f t="shared" si="24"/>
        <v>0</v>
      </c>
    </row>
    <row r="107" spans="1:32">
      <c r="A107" s="114" t="s">
        <v>112</v>
      </c>
      <c r="B107">
        <f t="shared" ref="B107:AF107" si="25">C27*(C67/SUMIF($A$42:$A$79,$A107,C$42:C$79))</f>
        <v>7.2935973397738598</v>
      </c>
      <c r="C107">
        <f t="shared" si="25"/>
        <v>8.4447606586824069</v>
      </c>
      <c r="D107">
        <f t="shared" si="25"/>
        <v>8.2656478137722562</v>
      </c>
      <c r="E107">
        <f t="shared" si="25"/>
        <v>8.2077391120456191</v>
      </c>
      <c r="F107">
        <f t="shared" si="25"/>
        <v>9.0273737406431245</v>
      </c>
      <c r="G107">
        <f t="shared" si="25"/>
        <v>9.8311726058838325</v>
      </c>
      <c r="H107">
        <f t="shared" si="25"/>
        <v>10.688791651886167</v>
      </c>
      <c r="I107">
        <f t="shared" si="25"/>
        <v>11.138742188097881</v>
      </c>
      <c r="J107">
        <f t="shared" si="25"/>
        <v>11.44159938282629</v>
      </c>
      <c r="K107">
        <f t="shared" si="25"/>
        <v>11.701057156826064</v>
      </c>
      <c r="L107">
        <f t="shared" si="25"/>
        <v>11.493205480207747</v>
      </c>
      <c r="M107">
        <f t="shared" si="25"/>
        <v>11.376312651057289</v>
      </c>
      <c r="N107">
        <f t="shared" si="25"/>
        <v>11.325691868715266</v>
      </c>
      <c r="O107">
        <f t="shared" si="25"/>
        <v>11.182234013279533</v>
      </c>
      <c r="P107">
        <f t="shared" si="25"/>
        <v>10.973940189396876</v>
      </c>
      <c r="Q107">
        <f t="shared" si="25"/>
        <v>10.816853129530049</v>
      </c>
      <c r="R107">
        <f t="shared" si="25"/>
        <v>10.732124925832238</v>
      </c>
      <c r="S107">
        <f t="shared" si="25"/>
        <v>10.573173928850089</v>
      </c>
      <c r="T107">
        <f t="shared" si="25"/>
        <v>10.385607250758655</v>
      </c>
      <c r="U107">
        <f t="shared" si="25"/>
        <v>10.245590103673122</v>
      </c>
      <c r="V107">
        <f t="shared" si="25"/>
        <v>10.113451813826437</v>
      </c>
      <c r="W107">
        <f t="shared" si="25"/>
        <v>10.111166277494299</v>
      </c>
      <c r="X107">
        <f t="shared" si="25"/>
        <v>10.137371804713139</v>
      </c>
      <c r="Y107">
        <f t="shared" si="25"/>
        <v>10.1490077633573</v>
      </c>
      <c r="Z107">
        <f t="shared" si="25"/>
        <v>10.124397486822579</v>
      </c>
      <c r="AA107">
        <f t="shared" si="25"/>
        <v>10.062251000732786</v>
      </c>
      <c r="AB107">
        <f t="shared" si="25"/>
        <v>10.014710947084945</v>
      </c>
      <c r="AC107">
        <f t="shared" si="25"/>
        <v>9.9819710192465312</v>
      </c>
      <c r="AD107">
        <f t="shared" si="25"/>
        <v>9.9445017472330051</v>
      </c>
      <c r="AE107">
        <f t="shared" si="25"/>
        <v>9.8761554494268005</v>
      </c>
      <c r="AF107">
        <f t="shared" si="25"/>
        <v>9.7842808210741037</v>
      </c>
    </row>
    <row r="108" spans="1:32">
      <c r="A108" s="114" t="s">
        <v>112</v>
      </c>
      <c r="B108">
        <f t="shared" ref="B108:AF108" si="26">C28*(C68/SUMIF($A$42:$A$79,$A108,C$42:C$79))</f>
        <v>17.648495335647048</v>
      </c>
      <c r="C108">
        <f t="shared" si="26"/>
        <v>21.723296410697703</v>
      </c>
      <c r="D108">
        <f t="shared" si="26"/>
        <v>22.460516080769327</v>
      </c>
      <c r="E108">
        <f t="shared" si="26"/>
        <v>24.156131501711652</v>
      </c>
      <c r="F108">
        <f t="shared" si="26"/>
        <v>25.669151561956301</v>
      </c>
      <c r="G108">
        <f t="shared" si="26"/>
        <v>26.552233012720219</v>
      </c>
      <c r="H108">
        <f t="shared" si="26"/>
        <v>26.299327310224353</v>
      </c>
      <c r="I108">
        <f t="shared" si="26"/>
        <v>26.59672820256711</v>
      </c>
      <c r="J108">
        <f t="shared" si="26"/>
        <v>26.988391923986541</v>
      </c>
      <c r="K108">
        <f t="shared" si="26"/>
        <v>27.403151799757346</v>
      </c>
      <c r="L108">
        <f t="shared" si="26"/>
        <v>27.915254419218194</v>
      </c>
      <c r="M108">
        <f t="shared" si="26"/>
        <v>27.993589624718432</v>
      </c>
      <c r="N108">
        <f t="shared" si="26"/>
        <v>28.434673520105665</v>
      </c>
      <c r="O108">
        <f t="shared" si="26"/>
        <v>28.60436578157389</v>
      </c>
      <c r="P108">
        <f t="shared" si="26"/>
        <v>28.802771476601489</v>
      </c>
      <c r="Q108">
        <f t="shared" si="26"/>
        <v>28.956969231004919</v>
      </c>
      <c r="R108">
        <f t="shared" si="26"/>
        <v>29.341638785056389</v>
      </c>
      <c r="S108">
        <f t="shared" si="26"/>
        <v>29.629754837451625</v>
      </c>
      <c r="T108">
        <f t="shared" si="26"/>
        <v>29.849832543098962</v>
      </c>
      <c r="U108">
        <f t="shared" si="26"/>
        <v>30.04957978266722</v>
      </c>
      <c r="V108">
        <f t="shared" si="26"/>
        <v>30.295230662539186</v>
      </c>
      <c r="W108">
        <f t="shared" si="26"/>
        <v>30.309456550512738</v>
      </c>
      <c r="X108">
        <f t="shared" si="26"/>
        <v>30.309628729154284</v>
      </c>
      <c r="Y108">
        <f t="shared" si="26"/>
        <v>30.355643592175984</v>
      </c>
      <c r="Z108">
        <f t="shared" si="26"/>
        <v>30.381663410080289</v>
      </c>
      <c r="AA108">
        <f t="shared" si="26"/>
        <v>30.402907061120864</v>
      </c>
      <c r="AB108">
        <f t="shared" si="26"/>
        <v>30.413603190839567</v>
      </c>
      <c r="AC108">
        <f t="shared" si="26"/>
        <v>30.497307388753686</v>
      </c>
      <c r="AD108">
        <f t="shared" si="26"/>
        <v>30.573974993894499</v>
      </c>
      <c r="AE108">
        <f t="shared" si="26"/>
        <v>30.701089346618335</v>
      </c>
      <c r="AF108">
        <f t="shared" si="26"/>
        <v>30.769011247595447</v>
      </c>
    </row>
    <row r="109" spans="1:32">
      <c r="A109" s="114" t="s">
        <v>116</v>
      </c>
      <c r="B109">
        <f t="shared" ref="B109:AF109" si="27">C29*(C69/SUMIF($A$42:$A$79,$A109,C$42:C$79))</f>
        <v>3.4951210823900012</v>
      </c>
      <c r="C109">
        <f t="shared" si="27"/>
        <v>3.2294529218049592</v>
      </c>
      <c r="D109">
        <f t="shared" si="27"/>
        <v>3.0758230567527582</v>
      </c>
      <c r="E109">
        <f t="shared" si="27"/>
        <v>3.1605305901696501</v>
      </c>
      <c r="F109">
        <f t="shared" si="27"/>
        <v>3.2439702617507975</v>
      </c>
      <c r="G109">
        <f t="shared" si="27"/>
        <v>2.5231070955139545</v>
      </c>
      <c r="H109">
        <f t="shared" si="27"/>
        <v>1.3624875782874912</v>
      </c>
      <c r="I109">
        <f t="shared" si="27"/>
        <v>1.3005267460369745</v>
      </c>
      <c r="J109">
        <f t="shared" si="27"/>
        <v>1.381034606668061</v>
      </c>
      <c r="K109">
        <f t="shared" si="27"/>
        <v>1.5225885561863168</v>
      </c>
      <c r="L109">
        <f t="shared" si="27"/>
        <v>1.6334547718844257</v>
      </c>
      <c r="M109">
        <f t="shared" si="27"/>
        <v>1.7712078463538794</v>
      </c>
      <c r="N109">
        <f t="shared" si="27"/>
        <v>1.8918866904691278</v>
      </c>
      <c r="O109">
        <f t="shared" si="27"/>
        <v>2.0137826684292257</v>
      </c>
      <c r="P109">
        <f t="shared" si="27"/>
        <v>2.1277861542854386</v>
      </c>
      <c r="Q109">
        <f t="shared" si="27"/>
        <v>2.271128598941158</v>
      </c>
      <c r="R109">
        <f t="shared" si="27"/>
        <v>2.4275218013431981</v>
      </c>
      <c r="S109">
        <f t="shared" si="27"/>
        <v>2.605654146328352</v>
      </c>
      <c r="T109">
        <f t="shared" si="27"/>
        <v>2.809923061094787</v>
      </c>
      <c r="U109">
        <f t="shared" si="27"/>
        <v>3.0557706619897029</v>
      </c>
      <c r="V109">
        <f t="shared" si="27"/>
        <v>3.3314486706415467</v>
      </c>
      <c r="W109">
        <f t="shared" si="27"/>
        <v>3.6573220061836178</v>
      </c>
      <c r="X109">
        <f t="shared" si="27"/>
        <v>4.0333469922321932</v>
      </c>
      <c r="Y109">
        <f t="shared" si="27"/>
        <v>4.4550415732350368</v>
      </c>
      <c r="Z109">
        <f t="shared" si="27"/>
        <v>4.9343768510826758</v>
      </c>
      <c r="AA109">
        <f t="shared" si="27"/>
        <v>5.4894626883539415</v>
      </c>
      <c r="AB109">
        <f t="shared" si="27"/>
        <v>6.1541404090043468</v>
      </c>
      <c r="AC109">
        <f t="shared" si="27"/>
        <v>6.9174824807749555</v>
      </c>
      <c r="AD109">
        <f t="shared" si="27"/>
        <v>7.7901746093666215</v>
      </c>
      <c r="AE109">
        <f t="shared" si="27"/>
        <v>8.7604711582847195</v>
      </c>
      <c r="AF109">
        <f t="shared" si="27"/>
        <v>9.8511138508164606</v>
      </c>
    </row>
    <row r="110" spans="1:32">
      <c r="A110" s="114" t="s">
        <v>116</v>
      </c>
      <c r="B110">
        <f t="shared" ref="B110:AF110" si="28">C30*(C70/SUMIF($A$42:$A$79,$A110,C$42:C$79))</f>
        <v>22.133574383491155</v>
      </c>
      <c r="C110">
        <f t="shared" si="28"/>
        <v>21.625804623685479</v>
      </c>
      <c r="D110">
        <f t="shared" si="28"/>
        <v>20.123558070791276</v>
      </c>
      <c r="E110">
        <f t="shared" si="28"/>
        <v>18.577693210987537</v>
      </c>
      <c r="F110">
        <f t="shared" si="28"/>
        <v>16.550985991156235</v>
      </c>
      <c r="G110">
        <f t="shared" si="28"/>
        <v>25.734727723990243</v>
      </c>
      <c r="H110">
        <f t="shared" si="28"/>
        <v>44.237594863339091</v>
      </c>
      <c r="I110">
        <f t="shared" si="28"/>
        <v>44.790746074473745</v>
      </c>
      <c r="J110">
        <f t="shared" si="28"/>
        <v>42.578796121881794</v>
      </c>
      <c r="K110">
        <f t="shared" si="28"/>
        <v>41.691275458201773</v>
      </c>
      <c r="L110">
        <f t="shared" si="28"/>
        <v>40.855082235160225</v>
      </c>
      <c r="M110">
        <f t="shared" si="28"/>
        <v>40.796505033707263</v>
      </c>
      <c r="N110">
        <f t="shared" si="28"/>
        <v>40.682388727844589</v>
      </c>
      <c r="O110">
        <f t="shared" si="28"/>
        <v>40.717195086458169</v>
      </c>
      <c r="P110">
        <f t="shared" si="28"/>
        <v>40.665656118756282</v>
      </c>
      <c r="Q110">
        <f t="shared" si="28"/>
        <v>40.979562361392219</v>
      </c>
      <c r="R110">
        <f t="shared" si="28"/>
        <v>41.169302505747986</v>
      </c>
      <c r="S110">
        <f t="shared" si="28"/>
        <v>41.302860044670531</v>
      </c>
      <c r="T110">
        <f t="shared" si="28"/>
        <v>41.407576510981734</v>
      </c>
      <c r="U110">
        <f t="shared" si="28"/>
        <v>41.568794931240205</v>
      </c>
      <c r="V110">
        <f t="shared" si="28"/>
        <v>41.600683116823042</v>
      </c>
      <c r="W110">
        <f t="shared" si="28"/>
        <v>41.633125444381683</v>
      </c>
      <c r="X110">
        <f t="shared" si="28"/>
        <v>41.650837368527846</v>
      </c>
      <c r="Y110">
        <f t="shared" si="28"/>
        <v>41.587448987572337</v>
      </c>
      <c r="Z110">
        <f t="shared" si="28"/>
        <v>41.45411308486635</v>
      </c>
      <c r="AA110">
        <f t="shared" si="28"/>
        <v>41.202980605943338</v>
      </c>
      <c r="AB110">
        <f t="shared" si="28"/>
        <v>40.94400781906387</v>
      </c>
      <c r="AC110">
        <f t="shared" si="28"/>
        <v>40.549702775240739</v>
      </c>
      <c r="AD110">
        <f t="shared" si="28"/>
        <v>40.072478677564206</v>
      </c>
      <c r="AE110">
        <f t="shared" si="28"/>
        <v>39.422592607740491</v>
      </c>
      <c r="AF110">
        <f t="shared" si="28"/>
        <v>38.66453702991258</v>
      </c>
    </row>
    <row r="111" spans="1:32">
      <c r="A111" s="114" t="s">
        <v>115</v>
      </c>
      <c r="B111">
        <f t="shared" ref="B111:AF111" si="29">C31*(C71/SUMIF($A$42:$A$79,$A111,C$42:C$79))</f>
        <v>0</v>
      </c>
      <c r="C111">
        <f t="shared" si="29"/>
        <v>0</v>
      </c>
      <c r="D111">
        <f t="shared" si="29"/>
        <v>0</v>
      </c>
      <c r="E111">
        <f t="shared" si="29"/>
        <v>0</v>
      </c>
      <c r="F111">
        <f t="shared" si="29"/>
        <v>0</v>
      </c>
      <c r="G111">
        <f t="shared" si="29"/>
        <v>0</v>
      </c>
      <c r="H111">
        <f t="shared" si="29"/>
        <v>0</v>
      </c>
      <c r="I111">
        <f t="shared" si="29"/>
        <v>0</v>
      </c>
      <c r="J111">
        <f t="shared" si="29"/>
        <v>0</v>
      </c>
      <c r="K111">
        <f t="shared" si="29"/>
        <v>0</v>
      </c>
      <c r="L111">
        <f t="shared" si="29"/>
        <v>0</v>
      </c>
      <c r="M111">
        <f t="shared" si="29"/>
        <v>0</v>
      </c>
      <c r="N111">
        <f t="shared" si="29"/>
        <v>0</v>
      </c>
      <c r="O111">
        <f t="shared" si="29"/>
        <v>0</v>
      </c>
      <c r="P111">
        <f t="shared" si="29"/>
        <v>0</v>
      </c>
      <c r="Q111">
        <f t="shared" si="29"/>
        <v>0</v>
      </c>
      <c r="R111">
        <f t="shared" si="29"/>
        <v>0</v>
      </c>
      <c r="S111">
        <f t="shared" si="29"/>
        <v>0</v>
      </c>
      <c r="T111">
        <f t="shared" si="29"/>
        <v>0</v>
      </c>
      <c r="U111">
        <f t="shared" si="29"/>
        <v>0</v>
      </c>
      <c r="V111">
        <f t="shared" si="29"/>
        <v>0</v>
      </c>
      <c r="W111">
        <f t="shared" si="29"/>
        <v>0</v>
      </c>
      <c r="X111">
        <f t="shared" si="29"/>
        <v>0</v>
      </c>
      <c r="Y111">
        <f t="shared" si="29"/>
        <v>0</v>
      </c>
      <c r="Z111">
        <f t="shared" si="29"/>
        <v>0</v>
      </c>
      <c r="AA111">
        <f t="shared" si="29"/>
        <v>0</v>
      </c>
      <c r="AB111">
        <f t="shared" si="29"/>
        <v>0</v>
      </c>
      <c r="AC111">
        <f t="shared" si="29"/>
        <v>0</v>
      </c>
      <c r="AD111">
        <f t="shared" si="29"/>
        <v>0</v>
      </c>
      <c r="AE111">
        <f t="shared" si="29"/>
        <v>0</v>
      </c>
      <c r="AF111">
        <f t="shared" si="29"/>
        <v>0</v>
      </c>
    </row>
    <row r="112" spans="1:32">
      <c r="A112" s="114" t="s">
        <v>114</v>
      </c>
      <c r="B112">
        <f t="shared" ref="B112:AF112" si="30">C32*(C72/SUMIF($A$42:$A$79,$A112,C$42:C$79))</f>
        <v>0.79832603406749414</v>
      </c>
      <c r="C112">
        <f t="shared" si="30"/>
        <v>0.88847166656555343</v>
      </c>
      <c r="D112">
        <f t="shared" si="30"/>
        <v>0.90780086082300437</v>
      </c>
      <c r="E112">
        <f t="shared" si="30"/>
        <v>0.93554559435412332</v>
      </c>
      <c r="F112">
        <f t="shared" si="30"/>
        <v>0.96987339000140083</v>
      </c>
      <c r="G112">
        <f t="shared" si="30"/>
        <v>1.0205135511691108</v>
      </c>
      <c r="H112">
        <f t="shared" si="30"/>
        <v>1.2254972026205539</v>
      </c>
      <c r="I112">
        <f t="shared" si="30"/>
        <v>1.328806757059086</v>
      </c>
      <c r="J112">
        <f t="shared" si="30"/>
        <v>1.3712183366497803</v>
      </c>
      <c r="K112">
        <f t="shared" si="30"/>
        <v>1.4093128895971148</v>
      </c>
      <c r="L112">
        <f t="shared" si="30"/>
        <v>1.4603406619550854</v>
      </c>
      <c r="M112">
        <f t="shared" si="30"/>
        <v>1.5064589584889614</v>
      </c>
      <c r="N112">
        <f t="shared" si="30"/>
        <v>1.5597121611794762</v>
      </c>
      <c r="O112">
        <f t="shared" si="30"/>
        <v>1.61010936911631</v>
      </c>
      <c r="P112">
        <f t="shared" si="30"/>
        <v>1.6621934806246006</v>
      </c>
      <c r="Q112">
        <f t="shared" si="30"/>
        <v>1.7097928668170272</v>
      </c>
      <c r="R112">
        <f t="shared" si="30"/>
        <v>1.7607919493662847</v>
      </c>
      <c r="S112">
        <f t="shared" si="30"/>
        <v>1.8112227150990188</v>
      </c>
      <c r="T112">
        <f t="shared" si="30"/>
        <v>1.8625519541791631</v>
      </c>
      <c r="U112">
        <f t="shared" si="30"/>
        <v>1.9117631404215945</v>
      </c>
      <c r="V112">
        <f t="shared" si="30"/>
        <v>1.9623740061020472</v>
      </c>
      <c r="W112">
        <f t="shared" si="30"/>
        <v>2.0074539306204353</v>
      </c>
      <c r="X112">
        <f t="shared" si="30"/>
        <v>2.0526627594745017</v>
      </c>
      <c r="Y112">
        <f t="shared" si="30"/>
        <v>2.0998767535396641</v>
      </c>
      <c r="Z112">
        <f t="shared" si="30"/>
        <v>2.1478210510898403</v>
      </c>
      <c r="AA112">
        <f t="shared" si="30"/>
        <v>2.1974404568761816</v>
      </c>
      <c r="AB112">
        <f t="shared" si="30"/>
        <v>2.2466258323031094</v>
      </c>
      <c r="AC112">
        <f t="shared" si="30"/>
        <v>2.2987921158484164</v>
      </c>
      <c r="AD112">
        <f t="shared" si="30"/>
        <v>2.351602790089462</v>
      </c>
      <c r="AE112">
        <f t="shared" si="30"/>
        <v>2.4090486480837816</v>
      </c>
      <c r="AF112">
        <f t="shared" si="30"/>
        <v>2.466798779949503</v>
      </c>
    </row>
    <row r="113" spans="1:32">
      <c r="A113" s="114" t="s">
        <v>113</v>
      </c>
      <c r="B113">
        <f t="shared" ref="B113:AF113" si="31">C33*(C73/SUMIF($A$42:$A$79,$A113,C$42:C$79))</f>
        <v>3.3522636989941179</v>
      </c>
      <c r="C113">
        <f t="shared" si="31"/>
        <v>3.5689983498989046</v>
      </c>
      <c r="D113">
        <f t="shared" si="31"/>
        <v>3.5955014669894232</v>
      </c>
      <c r="E113">
        <f t="shared" si="31"/>
        <v>3.7057737907508046</v>
      </c>
      <c r="F113">
        <f t="shared" si="31"/>
        <v>3.8147188347927616</v>
      </c>
      <c r="G113">
        <f t="shared" si="31"/>
        <v>3.9229202459510675</v>
      </c>
      <c r="H113">
        <f t="shared" si="31"/>
        <v>3.9730821035175605</v>
      </c>
      <c r="I113">
        <f t="shared" si="31"/>
        <v>3.9830163367869371</v>
      </c>
      <c r="J113">
        <f t="shared" si="31"/>
        <v>3.9811041362153667</v>
      </c>
      <c r="K113">
        <f t="shared" si="31"/>
        <v>3.9724942305417534</v>
      </c>
      <c r="L113">
        <f t="shared" si="31"/>
        <v>3.95527796151333</v>
      </c>
      <c r="M113">
        <f t="shared" si="31"/>
        <v>3.9441817106551027</v>
      </c>
      <c r="N113">
        <f t="shared" si="31"/>
        <v>3.9438981019803889</v>
      </c>
      <c r="O113">
        <f t="shared" si="31"/>
        <v>3.9367401227212806</v>
      </c>
      <c r="P113">
        <f t="shared" si="31"/>
        <v>3.9344183301377638</v>
      </c>
      <c r="Q113">
        <f t="shared" si="31"/>
        <v>3.9358291546522337</v>
      </c>
      <c r="R113">
        <f t="shared" si="31"/>
        <v>3.9474379402683897</v>
      </c>
      <c r="S113">
        <f t="shared" si="31"/>
        <v>3.9548802895310358</v>
      </c>
      <c r="T113">
        <f t="shared" si="31"/>
        <v>3.96215946282148</v>
      </c>
      <c r="U113">
        <f t="shared" si="31"/>
        <v>3.9703493549144042</v>
      </c>
      <c r="V113">
        <f t="shared" si="31"/>
        <v>3.9790861708307799</v>
      </c>
      <c r="W113">
        <f t="shared" si="31"/>
        <v>3.9853758166223257</v>
      </c>
      <c r="X113">
        <f t="shared" si="31"/>
        <v>3.9929660136602916</v>
      </c>
      <c r="Y113">
        <f t="shared" si="31"/>
        <v>4.0011606013548979</v>
      </c>
      <c r="Z113">
        <f t="shared" si="31"/>
        <v>4.0082398139263526</v>
      </c>
      <c r="AA113">
        <f t="shared" si="31"/>
        <v>4.0137276179337178</v>
      </c>
      <c r="AB113">
        <f t="shared" si="31"/>
        <v>4.0201269417414149</v>
      </c>
      <c r="AC113">
        <f t="shared" si="31"/>
        <v>4.0308857323907672</v>
      </c>
      <c r="AD113">
        <f t="shared" si="31"/>
        <v>4.0415935707859507</v>
      </c>
      <c r="AE113">
        <f t="shared" si="31"/>
        <v>4.054189378226801</v>
      </c>
      <c r="AF113">
        <f t="shared" si="31"/>
        <v>4.0655046875311607</v>
      </c>
    </row>
    <row r="114" spans="1:32">
      <c r="A114" s="114" t="s">
        <v>113</v>
      </c>
      <c r="B114">
        <f t="shared" ref="B114:AF114" si="32">C34*(C74/SUMIF($A$42:$A$79,$A114,C$42:C$79))</f>
        <v>16.970791841964648</v>
      </c>
      <c r="C114">
        <f t="shared" si="32"/>
        <v>17.878241161915611</v>
      </c>
      <c r="D114">
        <f t="shared" si="32"/>
        <v>17.668846734409531</v>
      </c>
      <c r="E114">
        <f t="shared" si="32"/>
        <v>17.80586592418037</v>
      </c>
      <c r="F114">
        <f t="shared" si="32"/>
        <v>17.985649541664539</v>
      </c>
      <c r="G114">
        <f t="shared" si="32"/>
        <v>18.219608632967041</v>
      </c>
      <c r="H114">
        <f t="shared" si="32"/>
        <v>18.362285277073166</v>
      </c>
      <c r="I114">
        <f t="shared" si="32"/>
        <v>18.373870224325103</v>
      </c>
      <c r="J114">
        <f t="shared" si="32"/>
        <v>18.357607858898881</v>
      </c>
      <c r="K114">
        <f t="shared" si="32"/>
        <v>18.340076058533178</v>
      </c>
      <c r="L114">
        <f t="shared" si="32"/>
        <v>18.20613804466031</v>
      </c>
      <c r="M114">
        <f t="shared" si="32"/>
        <v>18.163475483856214</v>
      </c>
      <c r="N114">
        <f t="shared" si="32"/>
        <v>18.132435466099075</v>
      </c>
      <c r="O114">
        <f t="shared" si="32"/>
        <v>18.091352665517402</v>
      </c>
      <c r="P114">
        <f t="shared" si="32"/>
        <v>18.020954375835387</v>
      </c>
      <c r="Q114">
        <f t="shared" si="32"/>
        <v>18.043256593048774</v>
      </c>
      <c r="R114">
        <f t="shared" si="32"/>
        <v>18.079597052590429</v>
      </c>
      <c r="S114">
        <f t="shared" si="32"/>
        <v>18.077525879481335</v>
      </c>
      <c r="T114">
        <f t="shared" si="32"/>
        <v>18.068957938372659</v>
      </c>
      <c r="U114">
        <f t="shared" si="32"/>
        <v>18.086710134533732</v>
      </c>
      <c r="V114">
        <f t="shared" si="32"/>
        <v>18.094172214785942</v>
      </c>
      <c r="W114">
        <f t="shared" si="32"/>
        <v>18.094892341930102</v>
      </c>
      <c r="X114">
        <f t="shared" si="32"/>
        <v>18.110491602027889</v>
      </c>
      <c r="Y114">
        <f t="shared" si="32"/>
        <v>18.118863305835596</v>
      </c>
      <c r="Z114">
        <f t="shared" si="32"/>
        <v>18.115270584721333</v>
      </c>
      <c r="AA114">
        <f t="shared" si="32"/>
        <v>18.093599701865031</v>
      </c>
      <c r="AB114">
        <f t="shared" si="32"/>
        <v>18.099316141831334</v>
      </c>
      <c r="AC114">
        <f t="shared" si="32"/>
        <v>18.107731389192757</v>
      </c>
      <c r="AD114">
        <f t="shared" si="32"/>
        <v>18.121996341715885</v>
      </c>
      <c r="AE114">
        <f t="shared" si="32"/>
        <v>18.118030125888509</v>
      </c>
      <c r="AF114">
        <f t="shared" si="32"/>
        <v>18.107233923980669</v>
      </c>
    </row>
    <row r="115" spans="1:32">
      <c r="A115" s="114" t="s">
        <v>853</v>
      </c>
      <c r="B115">
        <f t="shared" ref="B115:AF115" si="33">C35*(C75/SUMIF($A$42:$A$79,$A115,C$42:C$79))</f>
        <v>5.5431182745720537</v>
      </c>
      <c r="C115">
        <f t="shared" si="33"/>
        <v>6.0831622638345388</v>
      </c>
      <c r="D115">
        <f t="shared" si="33"/>
        <v>6.1884391646698411</v>
      </c>
      <c r="E115">
        <f t="shared" si="33"/>
        <v>6.3007701437581733</v>
      </c>
      <c r="F115">
        <f t="shared" si="33"/>
        <v>6.402167100862127</v>
      </c>
      <c r="G115">
        <f t="shared" si="33"/>
        <v>6.5323885533348216</v>
      </c>
      <c r="H115">
        <f t="shared" si="33"/>
        <v>6.6490697222863773</v>
      </c>
      <c r="I115">
        <f t="shared" si="33"/>
        <v>6.7382890590488564</v>
      </c>
      <c r="J115">
        <f t="shared" si="33"/>
        <v>6.7903099183789957</v>
      </c>
      <c r="K115">
        <f t="shared" si="33"/>
        <v>6.8482645067343029</v>
      </c>
      <c r="L115">
        <f t="shared" si="33"/>
        <v>6.894068854913411</v>
      </c>
      <c r="M115">
        <f t="shared" si="33"/>
        <v>6.90479832313516</v>
      </c>
      <c r="N115">
        <f t="shared" si="33"/>
        <v>6.9601100005043364</v>
      </c>
      <c r="O115">
        <f t="shared" si="33"/>
        <v>7.0071749534179499</v>
      </c>
      <c r="P115">
        <f t="shared" si="33"/>
        <v>7.0893450803972993</v>
      </c>
      <c r="Q115">
        <f t="shared" si="33"/>
        <v>7.1237482974392279</v>
      </c>
      <c r="R115">
        <f t="shared" si="33"/>
        <v>7.1830080474819047</v>
      </c>
      <c r="S115">
        <f t="shared" si="33"/>
        <v>7.2401670887308649</v>
      </c>
      <c r="T115">
        <f t="shared" si="33"/>
        <v>7.3130230094582904</v>
      </c>
      <c r="U115">
        <f t="shared" si="33"/>
        <v>7.3797649715727518</v>
      </c>
      <c r="V115">
        <f t="shared" si="33"/>
        <v>7.4663520795833707</v>
      </c>
      <c r="W115">
        <f t="shared" si="33"/>
        <v>7.5529987563341132</v>
      </c>
      <c r="X115">
        <f t="shared" si="33"/>
        <v>7.6331294162123937</v>
      </c>
      <c r="Y115">
        <f t="shared" si="33"/>
        <v>7.7420054040896673</v>
      </c>
      <c r="Z115">
        <f t="shared" si="33"/>
        <v>7.8441553943890039</v>
      </c>
      <c r="AA115">
        <f t="shared" si="33"/>
        <v>7.9675568994735366</v>
      </c>
      <c r="AB115">
        <f t="shared" si="33"/>
        <v>8.0617405399674347</v>
      </c>
      <c r="AC115">
        <f t="shared" si="33"/>
        <v>8.1696176887728917</v>
      </c>
      <c r="AD115">
        <f t="shared" si="33"/>
        <v>8.2699953476122356</v>
      </c>
      <c r="AE115">
        <f t="shared" si="33"/>
        <v>8.397624824398715</v>
      </c>
      <c r="AF115">
        <f t="shared" si="33"/>
        <v>8.5261729337068939</v>
      </c>
    </row>
    <row r="116" spans="1:32">
      <c r="A116" s="114" t="s">
        <v>853</v>
      </c>
      <c r="B116">
        <f t="shared" ref="B116:AF116" si="34">C36*(C76/SUMIF($A$42:$A$79,$A116,C$42:C$79))</f>
        <v>18.402943109545298</v>
      </c>
      <c r="C116">
        <f t="shared" si="34"/>
        <v>19.289765802772678</v>
      </c>
      <c r="D116">
        <f t="shared" si="34"/>
        <v>19.253276177312177</v>
      </c>
      <c r="E116">
        <f t="shared" si="34"/>
        <v>19.440884478194857</v>
      </c>
      <c r="F116">
        <f t="shared" si="34"/>
        <v>19.674646178610764</v>
      </c>
      <c r="G116">
        <f t="shared" si="34"/>
        <v>19.928159023904051</v>
      </c>
      <c r="H116">
        <f t="shared" si="34"/>
        <v>19.996099845068859</v>
      </c>
      <c r="I116">
        <f t="shared" si="34"/>
        <v>19.929597412768423</v>
      </c>
      <c r="J116">
        <f t="shared" si="34"/>
        <v>19.856665323926915</v>
      </c>
      <c r="K116">
        <f t="shared" si="34"/>
        <v>19.770947228984337</v>
      </c>
      <c r="L116">
        <f t="shared" si="34"/>
        <v>19.626919367377564</v>
      </c>
      <c r="M116">
        <f t="shared" si="34"/>
        <v>19.532910494369698</v>
      </c>
      <c r="N116">
        <f t="shared" si="34"/>
        <v>19.454342888538214</v>
      </c>
      <c r="O116">
        <f t="shared" si="34"/>
        <v>19.359832426074004</v>
      </c>
      <c r="P116">
        <f t="shared" si="34"/>
        <v>19.231290052826235</v>
      </c>
      <c r="Q116">
        <f t="shared" si="34"/>
        <v>19.18714692398812</v>
      </c>
      <c r="R116">
        <f t="shared" si="34"/>
        <v>19.161587872279263</v>
      </c>
      <c r="S116">
        <f t="shared" si="34"/>
        <v>19.106201025007461</v>
      </c>
      <c r="T116">
        <f t="shared" si="34"/>
        <v>19.03353119273876</v>
      </c>
      <c r="U116">
        <f t="shared" si="34"/>
        <v>18.97308922526242</v>
      </c>
      <c r="V116">
        <f t="shared" si="34"/>
        <v>18.900228235524544</v>
      </c>
      <c r="W116">
        <f t="shared" si="34"/>
        <v>18.815868466996051</v>
      </c>
      <c r="X116">
        <f t="shared" si="34"/>
        <v>18.747083691008385</v>
      </c>
      <c r="Y116">
        <f t="shared" si="34"/>
        <v>18.65047802629709</v>
      </c>
      <c r="Z116">
        <f t="shared" si="34"/>
        <v>18.553879803340056</v>
      </c>
      <c r="AA116">
        <f t="shared" si="34"/>
        <v>18.425660601145189</v>
      </c>
      <c r="AB116">
        <f t="shared" si="34"/>
        <v>18.336258925879484</v>
      </c>
      <c r="AC116">
        <f t="shared" si="34"/>
        <v>18.247515075850394</v>
      </c>
      <c r="AD116">
        <f t="shared" si="34"/>
        <v>18.165181464505469</v>
      </c>
      <c r="AE116">
        <f t="shared" si="34"/>
        <v>18.05752214005901</v>
      </c>
      <c r="AF116">
        <f t="shared" si="34"/>
        <v>17.937185818580947</v>
      </c>
    </row>
    <row r="117" spans="1:32">
      <c r="A117" s="114" t="s">
        <v>854</v>
      </c>
      <c r="B117">
        <f t="shared" ref="B117:AF117" si="35">C37*(C77/SUMIF($A$42:$A$79,$A117,C$42:C$79))</f>
        <v>0</v>
      </c>
      <c r="C117">
        <f t="shared" si="35"/>
        <v>0</v>
      </c>
      <c r="D117">
        <f t="shared" si="35"/>
        <v>0</v>
      </c>
      <c r="E117">
        <f t="shared" si="35"/>
        <v>0</v>
      </c>
      <c r="F117">
        <f t="shared" si="35"/>
        <v>0</v>
      </c>
      <c r="G117">
        <f t="shared" si="35"/>
        <v>0</v>
      </c>
      <c r="H117">
        <f t="shared" si="35"/>
        <v>0</v>
      </c>
      <c r="I117">
        <f t="shared" si="35"/>
        <v>0</v>
      </c>
      <c r="J117">
        <f t="shared" si="35"/>
        <v>0</v>
      </c>
      <c r="K117">
        <f t="shared" si="35"/>
        <v>0</v>
      </c>
      <c r="L117">
        <f t="shared" si="35"/>
        <v>0</v>
      </c>
      <c r="M117">
        <f t="shared" si="35"/>
        <v>0</v>
      </c>
      <c r="N117">
        <f t="shared" si="35"/>
        <v>0</v>
      </c>
      <c r="O117">
        <f t="shared" si="35"/>
        <v>0</v>
      </c>
      <c r="P117">
        <f t="shared" si="35"/>
        <v>0</v>
      </c>
      <c r="Q117">
        <f t="shared" si="35"/>
        <v>0</v>
      </c>
      <c r="R117">
        <f t="shared" si="35"/>
        <v>0</v>
      </c>
      <c r="S117">
        <f t="shared" si="35"/>
        <v>0</v>
      </c>
      <c r="T117">
        <f t="shared" si="35"/>
        <v>0</v>
      </c>
      <c r="U117">
        <f t="shared" si="35"/>
        <v>0</v>
      </c>
      <c r="V117">
        <f t="shared" si="35"/>
        <v>0</v>
      </c>
      <c r="W117">
        <f t="shared" si="35"/>
        <v>0</v>
      </c>
      <c r="X117">
        <f t="shared" si="35"/>
        <v>0</v>
      </c>
      <c r="Y117">
        <f t="shared" si="35"/>
        <v>0</v>
      </c>
      <c r="Z117">
        <f t="shared" si="35"/>
        <v>0</v>
      </c>
      <c r="AA117">
        <f t="shared" si="35"/>
        <v>0</v>
      </c>
      <c r="AB117">
        <f t="shared" si="35"/>
        <v>0</v>
      </c>
      <c r="AC117">
        <f t="shared" si="35"/>
        <v>0</v>
      </c>
      <c r="AD117">
        <f t="shared" si="35"/>
        <v>0</v>
      </c>
      <c r="AE117">
        <f t="shared" si="35"/>
        <v>0</v>
      </c>
      <c r="AF117">
        <f t="shared" si="35"/>
        <v>0</v>
      </c>
    </row>
    <row r="118" spans="1:32">
      <c r="A118" s="114" t="s">
        <v>854</v>
      </c>
      <c r="B118">
        <f t="shared" ref="B118:AF118" si="36">C38*(C78/SUMIF($A$42:$A$79,$A118,C$42:C$79))</f>
        <v>1.0840379830057956</v>
      </c>
      <c r="C118">
        <f t="shared" si="36"/>
        <v>1.567641804910038</v>
      </c>
      <c r="D118">
        <f t="shared" si="36"/>
        <v>1.7951375023852223</v>
      </c>
      <c r="E118">
        <f t="shared" si="36"/>
        <v>2.1098558812071251</v>
      </c>
      <c r="F118">
        <f t="shared" si="36"/>
        <v>2.471334054194342</v>
      </c>
      <c r="G118">
        <f t="shared" si="36"/>
        <v>2.8808087795811752</v>
      </c>
      <c r="H118">
        <f t="shared" si="36"/>
        <v>3.1988705407981275</v>
      </c>
      <c r="I118">
        <f t="shared" si="36"/>
        <v>3.4962095000399094</v>
      </c>
      <c r="J118">
        <f t="shared" si="36"/>
        <v>3.7947604388429892</v>
      </c>
      <c r="K118">
        <f t="shared" si="36"/>
        <v>4.0939637830685047</v>
      </c>
      <c r="L118">
        <f t="shared" si="36"/>
        <v>4.3290861822604105</v>
      </c>
      <c r="M118">
        <f t="shared" si="36"/>
        <v>4.6149169360656064</v>
      </c>
      <c r="N118">
        <f t="shared" si="36"/>
        <v>4.9043893569268739</v>
      </c>
      <c r="O118">
        <f t="shared" si="36"/>
        <v>5.1831401236622465</v>
      </c>
      <c r="P118">
        <f t="shared" si="36"/>
        <v>5.4332828375891058</v>
      </c>
      <c r="Q118">
        <f t="shared" si="36"/>
        <v>5.7241776566475338</v>
      </c>
      <c r="R118">
        <f t="shared" si="36"/>
        <v>6.0105096142813732</v>
      </c>
      <c r="S118">
        <f t="shared" si="36"/>
        <v>6.2534091414790716</v>
      </c>
      <c r="T118">
        <f t="shared" si="36"/>
        <v>6.4670462124042372</v>
      </c>
      <c r="U118">
        <f t="shared" si="36"/>
        <v>6.6826741197896755</v>
      </c>
      <c r="V118">
        <f t="shared" si="36"/>
        <v>6.8779107665263597</v>
      </c>
      <c r="W118">
        <f t="shared" si="36"/>
        <v>7.0515141708579918</v>
      </c>
      <c r="X118">
        <f t="shared" si="36"/>
        <v>7.2203058007328895</v>
      </c>
      <c r="Y118">
        <f t="shared" si="36"/>
        <v>7.378239013864281</v>
      </c>
      <c r="Z118">
        <f t="shared" si="36"/>
        <v>7.5188629498162536</v>
      </c>
      <c r="AA118">
        <f t="shared" si="36"/>
        <v>7.6398445954182383</v>
      </c>
      <c r="AB118">
        <f t="shared" si="36"/>
        <v>7.7648176807127971</v>
      </c>
      <c r="AC118">
        <f t="shared" si="36"/>
        <v>7.8908028806217656</v>
      </c>
      <c r="AD118">
        <f t="shared" si="36"/>
        <v>8.0073986801784685</v>
      </c>
      <c r="AE118">
        <f t="shared" si="36"/>
        <v>8.1149864104605296</v>
      </c>
      <c r="AF118">
        <f t="shared" si="36"/>
        <v>8.1989974527376379</v>
      </c>
    </row>
    <row r="119" spans="1:32">
      <c r="A119" s="114"/>
      <c r="B119" t="e">
        <f t="shared" ref="B119:AF119" si="37">C39*(C79/SUMIF($A$42:$A$79,$A119,C$42:C$79))</f>
        <v>#DIV/0!</v>
      </c>
      <c r="C119" t="e">
        <f t="shared" si="37"/>
        <v>#DIV/0!</v>
      </c>
      <c r="D119" t="e">
        <f t="shared" si="37"/>
        <v>#DIV/0!</v>
      </c>
      <c r="E119" t="e">
        <f t="shared" si="37"/>
        <v>#DIV/0!</v>
      </c>
      <c r="F119" t="e">
        <f t="shared" si="37"/>
        <v>#DIV/0!</v>
      </c>
      <c r="G119" t="e">
        <f t="shared" si="37"/>
        <v>#DIV/0!</v>
      </c>
      <c r="H119" t="e">
        <f t="shared" si="37"/>
        <v>#DIV/0!</v>
      </c>
      <c r="I119" t="e">
        <f t="shared" si="37"/>
        <v>#DIV/0!</v>
      </c>
      <c r="J119" t="e">
        <f t="shared" si="37"/>
        <v>#DIV/0!</v>
      </c>
      <c r="K119" t="e">
        <f t="shared" si="37"/>
        <v>#DIV/0!</v>
      </c>
      <c r="L119" t="e">
        <f t="shared" si="37"/>
        <v>#DIV/0!</v>
      </c>
      <c r="M119" t="e">
        <f t="shared" si="37"/>
        <v>#DIV/0!</v>
      </c>
      <c r="N119" t="e">
        <f t="shared" si="37"/>
        <v>#DIV/0!</v>
      </c>
      <c r="O119" t="e">
        <f t="shared" si="37"/>
        <v>#DIV/0!</v>
      </c>
      <c r="P119" t="e">
        <f t="shared" si="37"/>
        <v>#DIV/0!</v>
      </c>
      <c r="Q119" t="e">
        <f t="shared" si="37"/>
        <v>#DIV/0!</v>
      </c>
      <c r="R119" t="e">
        <f t="shared" si="37"/>
        <v>#DIV/0!</v>
      </c>
      <c r="S119" t="e">
        <f t="shared" si="37"/>
        <v>#DIV/0!</v>
      </c>
      <c r="T119" t="e">
        <f t="shared" si="37"/>
        <v>#DIV/0!</v>
      </c>
      <c r="U119" t="e">
        <f t="shared" si="37"/>
        <v>#DIV/0!</v>
      </c>
      <c r="V119" t="e">
        <f t="shared" si="37"/>
        <v>#DIV/0!</v>
      </c>
      <c r="W119" t="e">
        <f t="shared" si="37"/>
        <v>#DIV/0!</v>
      </c>
      <c r="X119" t="e">
        <f t="shared" si="37"/>
        <v>#DIV/0!</v>
      </c>
      <c r="Y119" t="e">
        <f t="shared" si="37"/>
        <v>#DIV/0!</v>
      </c>
      <c r="Z119" t="e">
        <f t="shared" si="37"/>
        <v>#DIV/0!</v>
      </c>
      <c r="AA119" t="e">
        <f t="shared" si="37"/>
        <v>#DIV/0!</v>
      </c>
      <c r="AB119" t="e">
        <f t="shared" si="37"/>
        <v>#DIV/0!</v>
      </c>
      <c r="AC119" t="e">
        <f t="shared" si="37"/>
        <v>#DIV/0!</v>
      </c>
      <c r="AD119" t="e">
        <f t="shared" si="37"/>
        <v>#DIV/0!</v>
      </c>
      <c r="AE119" t="e">
        <f t="shared" si="37"/>
        <v>#DIV/0!</v>
      </c>
      <c r="AF119" t="e">
        <f t="shared" si="37"/>
        <v>#DIV/0!</v>
      </c>
    </row>
    <row r="120" spans="1:32">
      <c r="D120"/>
    </row>
    <row r="121" spans="1:32">
      <c r="D121"/>
    </row>
    <row r="122" spans="1:32">
      <c r="D122"/>
    </row>
    <row r="123" spans="1:32">
      <c r="D123"/>
    </row>
    <row r="124" spans="1:32">
      <c r="D124"/>
    </row>
    <row r="125" spans="1:32">
      <c r="D125"/>
    </row>
    <row r="126" spans="1:32">
      <c r="D126"/>
    </row>
    <row r="127" spans="1:32">
      <c r="D127"/>
    </row>
    <row r="128" spans="1:32">
      <c r="D128"/>
    </row>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sheetData>
  <phoneticPr fontId="59"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L83"/>
  <sheetViews>
    <sheetView workbookViewId="0"/>
  </sheetViews>
  <sheetFormatPr defaultRowHeight="12.9"/>
  <cols>
    <col min="1" max="1" width="41.75" style="84" customWidth="1"/>
    <col min="2" max="32" width="8.875" style="84" hidden="1" customWidth="1"/>
    <col min="33" max="35" width="8.875" style="84" bestFit="1" customWidth="1"/>
    <col min="36" max="37" width="8.875" style="84" customWidth="1"/>
    <col min="38" max="245" width="9.125" style="84"/>
    <col min="246" max="246" width="37.75" style="84" customWidth="1"/>
    <col min="247" max="273" width="12.125" style="84" customWidth="1"/>
    <col min="274" max="274" width="12.75" style="84" customWidth="1"/>
    <col min="275" max="276" width="9.125" style="84"/>
    <col min="277" max="278" width="13.375" style="84" customWidth="1"/>
    <col min="279" max="279" width="13.875" style="84" customWidth="1"/>
    <col min="280" max="501" width="9.125" style="84"/>
    <col min="502" max="502" width="37.75" style="84" customWidth="1"/>
    <col min="503" max="529" width="12.125" style="84" customWidth="1"/>
    <col min="530" max="530" width="12.75" style="84" customWidth="1"/>
    <col min="531" max="532" width="9.125" style="84"/>
    <col min="533" max="534" width="13.375" style="84" customWidth="1"/>
    <col min="535" max="535" width="13.875" style="84" customWidth="1"/>
    <col min="536" max="757" width="9.125" style="84"/>
    <col min="758" max="758" width="37.75" style="84" customWidth="1"/>
    <col min="759" max="785" width="12.125" style="84" customWidth="1"/>
    <col min="786" max="786" width="12.75" style="84" customWidth="1"/>
    <col min="787" max="788" width="9.125" style="84"/>
    <col min="789" max="790" width="13.375" style="84" customWidth="1"/>
    <col min="791" max="791" width="13.875" style="84" customWidth="1"/>
    <col min="792" max="1013" width="9.125" style="84"/>
    <col min="1014" max="1014" width="37.75" style="84" customWidth="1"/>
    <col min="1015" max="1041" width="12.125" style="84" customWidth="1"/>
    <col min="1042" max="1042" width="12.75" style="84" customWidth="1"/>
    <col min="1043" max="1044" width="9.125" style="84"/>
    <col min="1045" max="1046" width="13.375" style="84" customWidth="1"/>
    <col min="1047" max="1047" width="13.875" style="84" customWidth="1"/>
    <col min="1048" max="1269" width="9.125" style="84"/>
    <col min="1270" max="1270" width="37.75" style="84" customWidth="1"/>
    <col min="1271" max="1297" width="12.125" style="84" customWidth="1"/>
    <col min="1298" max="1298" width="12.75" style="84" customWidth="1"/>
    <col min="1299" max="1300" width="9.125" style="84"/>
    <col min="1301" max="1302" width="13.375" style="84" customWidth="1"/>
    <col min="1303" max="1303" width="13.875" style="84" customWidth="1"/>
    <col min="1304" max="1525" width="9.125" style="84"/>
    <col min="1526" max="1526" width="37.75" style="84" customWidth="1"/>
    <col min="1527" max="1553" width="12.125" style="84" customWidth="1"/>
    <col min="1554" max="1554" width="12.75" style="84" customWidth="1"/>
    <col min="1555" max="1556" width="9.125" style="84"/>
    <col min="1557" max="1558" width="13.375" style="84" customWidth="1"/>
    <col min="1559" max="1559" width="13.875" style="84" customWidth="1"/>
    <col min="1560" max="1781" width="9.125" style="84"/>
    <col min="1782" max="1782" width="37.75" style="84" customWidth="1"/>
    <col min="1783" max="1809" width="12.125" style="84" customWidth="1"/>
    <col min="1810" max="1810" width="12.75" style="84" customWidth="1"/>
    <col min="1811" max="1812" width="9.125" style="84"/>
    <col min="1813" max="1814" width="13.375" style="84" customWidth="1"/>
    <col min="1815" max="1815" width="13.875" style="84" customWidth="1"/>
    <col min="1816" max="2037" width="9.125" style="84"/>
    <col min="2038" max="2038" width="37.75" style="84" customWidth="1"/>
    <col min="2039" max="2065" width="12.125" style="84" customWidth="1"/>
    <col min="2066" max="2066" width="12.75" style="84" customWidth="1"/>
    <col min="2067" max="2068" width="9.125" style="84"/>
    <col min="2069" max="2070" width="13.375" style="84" customWidth="1"/>
    <col min="2071" max="2071" width="13.875" style="84" customWidth="1"/>
    <col min="2072" max="2293" width="9.125" style="84"/>
    <col min="2294" max="2294" width="37.75" style="84" customWidth="1"/>
    <col min="2295" max="2321" width="12.125" style="84" customWidth="1"/>
    <col min="2322" max="2322" width="12.75" style="84" customWidth="1"/>
    <col min="2323" max="2324" width="9.125" style="84"/>
    <col min="2325" max="2326" width="13.375" style="84" customWidth="1"/>
    <col min="2327" max="2327" width="13.875" style="84" customWidth="1"/>
    <col min="2328" max="2549" width="9.125" style="84"/>
    <col min="2550" max="2550" width="37.75" style="84" customWidth="1"/>
    <col min="2551" max="2577" width="12.125" style="84" customWidth="1"/>
    <col min="2578" max="2578" width="12.75" style="84" customWidth="1"/>
    <col min="2579" max="2580" width="9.125" style="84"/>
    <col min="2581" max="2582" width="13.375" style="84" customWidth="1"/>
    <col min="2583" max="2583" width="13.875" style="84" customWidth="1"/>
    <col min="2584" max="2805" width="9.125" style="84"/>
    <col min="2806" max="2806" width="37.75" style="84" customWidth="1"/>
    <col min="2807" max="2833" width="12.125" style="84" customWidth="1"/>
    <col min="2834" max="2834" width="12.75" style="84" customWidth="1"/>
    <col min="2835" max="2836" width="9.125" style="84"/>
    <col min="2837" max="2838" width="13.375" style="84" customWidth="1"/>
    <col min="2839" max="2839" width="13.875" style="84" customWidth="1"/>
    <col min="2840" max="3061" width="9.125" style="84"/>
    <col min="3062" max="3062" width="37.75" style="84" customWidth="1"/>
    <col min="3063" max="3089" width="12.125" style="84" customWidth="1"/>
    <col min="3090" max="3090" width="12.75" style="84" customWidth="1"/>
    <col min="3091" max="3092" width="9.125" style="84"/>
    <col min="3093" max="3094" width="13.375" style="84" customWidth="1"/>
    <col min="3095" max="3095" width="13.875" style="84" customWidth="1"/>
    <col min="3096" max="3317" width="9.125" style="84"/>
    <col min="3318" max="3318" width="37.75" style="84" customWidth="1"/>
    <col min="3319" max="3345" width="12.125" style="84" customWidth="1"/>
    <col min="3346" max="3346" width="12.75" style="84" customWidth="1"/>
    <col min="3347" max="3348" width="9.125" style="84"/>
    <col min="3349" max="3350" width="13.375" style="84" customWidth="1"/>
    <col min="3351" max="3351" width="13.875" style="84" customWidth="1"/>
    <col min="3352" max="3573" width="9.125" style="84"/>
    <col min="3574" max="3574" width="37.75" style="84" customWidth="1"/>
    <col min="3575" max="3601" width="12.125" style="84" customWidth="1"/>
    <col min="3602" max="3602" width="12.75" style="84" customWidth="1"/>
    <col min="3603" max="3604" width="9.125" style="84"/>
    <col min="3605" max="3606" width="13.375" style="84" customWidth="1"/>
    <col min="3607" max="3607" width="13.875" style="84" customWidth="1"/>
    <col min="3608" max="3829" width="9.125" style="84"/>
    <col min="3830" max="3830" width="37.75" style="84" customWidth="1"/>
    <col min="3831" max="3857" width="12.125" style="84" customWidth="1"/>
    <col min="3858" max="3858" width="12.75" style="84" customWidth="1"/>
    <col min="3859" max="3860" width="9.125" style="84"/>
    <col min="3861" max="3862" width="13.375" style="84" customWidth="1"/>
    <col min="3863" max="3863" width="13.875" style="84" customWidth="1"/>
    <col min="3864" max="4085" width="9.125" style="84"/>
    <col min="4086" max="4086" width="37.75" style="84" customWidth="1"/>
    <col min="4087" max="4113" width="12.125" style="84" customWidth="1"/>
    <col min="4114" max="4114" width="12.75" style="84" customWidth="1"/>
    <col min="4115" max="4116" width="9.125" style="84"/>
    <col min="4117" max="4118" width="13.375" style="84" customWidth="1"/>
    <col min="4119" max="4119" width="13.875" style="84" customWidth="1"/>
    <col min="4120" max="4341" width="9.125" style="84"/>
    <col min="4342" max="4342" width="37.75" style="84" customWidth="1"/>
    <col min="4343" max="4369" width="12.125" style="84" customWidth="1"/>
    <col min="4370" max="4370" width="12.75" style="84" customWidth="1"/>
    <col min="4371" max="4372" width="9.125" style="84"/>
    <col min="4373" max="4374" width="13.375" style="84" customWidth="1"/>
    <col min="4375" max="4375" width="13.875" style="84" customWidth="1"/>
    <col min="4376" max="4597" width="9.125" style="84"/>
    <col min="4598" max="4598" width="37.75" style="84" customWidth="1"/>
    <col min="4599" max="4625" width="12.125" style="84" customWidth="1"/>
    <col min="4626" max="4626" width="12.75" style="84" customWidth="1"/>
    <col min="4627" max="4628" width="9.125" style="84"/>
    <col min="4629" max="4630" width="13.375" style="84" customWidth="1"/>
    <col min="4631" max="4631" width="13.875" style="84" customWidth="1"/>
    <col min="4632" max="4853" width="9.125" style="84"/>
    <col min="4854" max="4854" width="37.75" style="84" customWidth="1"/>
    <col min="4855" max="4881" width="12.125" style="84" customWidth="1"/>
    <col min="4882" max="4882" width="12.75" style="84" customWidth="1"/>
    <col min="4883" max="4884" width="9.125" style="84"/>
    <col min="4885" max="4886" width="13.375" style="84" customWidth="1"/>
    <col min="4887" max="4887" width="13.875" style="84" customWidth="1"/>
    <col min="4888" max="5109" width="9.125" style="84"/>
    <col min="5110" max="5110" width="37.75" style="84" customWidth="1"/>
    <col min="5111" max="5137" width="12.125" style="84" customWidth="1"/>
    <col min="5138" max="5138" width="12.75" style="84" customWidth="1"/>
    <col min="5139" max="5140" width="9.125" style="84"/>
    <col min="5141" max="5142" width="13.375" style="84" customWidth="1"/>
    <col min="5143" max="5143" width="13.875" style="84" customWidth="1"/>
    <col min="5144" max="5365" width="9.125" style="84"/>
    <col min="5366" max="5366" width="37.75" style="84" customWidth="1"/>
    <col min="5367" max="5393" width="12.125" style="84" customWidth="1"/>
    <col min="5394" max="5394" width="12.75" style="84" customWidth="1"/>
    <col min="5395" max="5396" width="9.125" style="84"/>
    <col min="5397" max="5398" width="13.375" style="84" customWidth="1"/>
    <col min="5399" max="5399" width="13.875" style="84" customWidth="1"/>
    <col min="5400" max="5621" width="9.125" style="84"/>
    <col min="5622" max="5622" width="37.75" style="84" customWidth="1"/>
    <col min="5623" max="5649" width="12.125" style="84" customWidth="1"/>
    <col min="5650" max="5650" width="12.75" style="84" customWidth="1"/>
    <col min="5651" max="5652" width="9.125" style="84"/>
    <col min="5653" max="5654" width="13.375" style="84" customWidth="1"/>
    <col min="5655" max="5655" width="13.875" style="84" customWidth="1"/>
    <col min="5656" max="5877" width="9.125" style="84"/>
    <col min="5878" max="5878" width="37.75" style="84" customWidth="1"/>
    <col min="5879" max="5905" width="12.125" style="84" customWidth="1"/>
    <col min="5906" max="5906" width="12.75" style="84" customWidth="1"/>
    <col min="5907" max="5908" width="9.125" style="84"/>
    <col min="5909" max="5910" width="13.375" style="84" customWidth="1"/>
    <col min="5911" max="5911" width="13.875" style="84" customWidth="1"/>
    <col min="5912" max="6133" width="9.125" style="84"/>
    <col min="6134" max="6134" width="37.75" style="84" customWidth="1"/>
    <col min="6135" max="6161" width="12.125" style="84" customWidth="1"/>
    <col min="6162" max="6162" width="12.75" style="84" customWidth="1"/>
    <col min="6163" max="6164" width="9.125" style="84"/>
    <col min="6165" max="6166" width="13.375" style="84" customWidth="1"/>
    <col min="6167" max="6167" width="13.875" style="84" customWidth="1"/>
    <col min="6168" max="6389" width="9.125" style="84"/>
    <col min="6390" max="6390" width="37.75" style="84" customWidth="1"/>
    <col min="6391" max="6417" width="12.125" style="84" customWidth="1"/>
    <col min="6418" max="6418" width="12.75" style="84" customWidth="1"/>
    <col min="6419" max="6420" width="9.125" style="84"/>
    <col min="6421" max="6422" width="13.375" style="84" customWidth="1"/>
    <col min="6423" max="6423" width="13.875" style="84" customWidth="1"/>
    <col min="6424" max="6645" width="9.125" style="84"/>
    <col min="6646" max="6646" width="37.75" style="84" customWidth="1"/>
    <col min="6647" max="6673" width="12.125" style="84" customWidth="1"/>
    <col min="6674" max="6674" width="12.75" style="84" customWidth="1"/>
    <col min="6675" max="6676" width="9.125" style="84"/>
    <col min="6677" max="6678" width="13.375" style="84" customWidth="1"/>
    <col min="6679" max="6679" width="13.875" style="84" customWidth="1"/>
    <col min="6680" max="6901" width="9.125" style="84"/>
    <col min="6902" max="6902" width="37.75" style="84" customWidth="1"/>
    <col min="6903" max="6929" width="12.125" style="84" customWidth="1"/>
    <col min="6930" max="6930" width="12.75" style="84" customWidth="1"/>
    <col min="6931" max="6932" width="9.125" style="84"/>
    <col min="6933" max="6934" width="13.375" style="84" customWidth="1"/>
    <col min="6935" max="6935" width="13.875" style="84" customWidth="1"/>
    <col min="6936" max="7157" width="9.125" style="84"/>
    <col min="7158" max="7158" width="37.75" style="84" customWidth="1"/>
    <col min="7159" max="7185" width="12.125" style="84" customWidth="1"/>
    <col min="7186" max="7186" width="12.75" style="84" customWidth="1"/>
    <col min="7187" max="7188" width="9.125" style="84"/>
    <col min="7189" max="7190" width="13.375" style="84" customWidth="1"/>
    <col min="7191" max="7191" width="13.875" style="84" customWidth="1"/>
    <col min="7192" max="7413" width="9.125" style="84"/>
    <col min="7414" max="7414" width="37.75" style="84" customWidth="1"/>
    <col min="7415" max="7441" width="12.125" style="84" customWidth="1"/>
    <col min="7442" max="7442" width="12.75" style="84" customWidth="1"/>
    <col min="7443" max="7444" width="9.125" style="84"/>
    <col min="7445" max="7446" width="13.375" style="84" customWidth="1"/>
    <col min="7447" max="7447" width="13.875" style="84" customWidth="1"/>
    <col min="7448" max="7669" width="9.125" style="84"/>
    <col min="7670" max="7670" width="37.75" style="84" customWidth="1"/>
    <col min="7671" max="7697" width="12.125" style="84" customWidth="1"/>
    <col min="7698" max="7698" width="12.75" style="84" customWidth="1"/>
    <col min="7699" max="7700" width="9.125" style="84"/>
    <col min="7701" max="7702" width="13.375" style="84" customWidth="1"/>
    <col min="7703" max="7703" width="13.875" style="84" customWidth="1"/>
    <col min="7704" max="7925" width="9.125" style="84"/>
    <col min="7926" max="7926" width="37.75" style="84" customWidth="1"/>
    <col min="7927" max="7953" width="12.125" style="84" customWidth="1"/>
    <col min="7954" max="7954" width="12.75" style="84" customWidth="1"/>
    <col min="7955" max="7956" width="9.125" style="84"/>
    <col min="7957" max="7958" width="13.375" style="84" customWidth="1"/>
    <col min="7959" max="7959" width="13.875" style="84" customWidth="1"/>
    <col min="7960" max="8181" width="9.125" style="84"/>
    <col min="8182" max="8182" width="37.75" style="84" customWidth="1"/>
    <col min="8183" max="8209" width="12.125" style="84" customWidth="1"/>
    <col min="8210" max="8210" width="12.75" style="84" customWidth="1"/>
    <col min="8211" max="8212" width="9.125" style="84"/>
    <col min="8213" max="8214" width="13.375" style="84" customWidth="1"/>
    <col min="8215" max="8215" width="13.875" style="84" customWidth="1"/>
    <col min="8216" max="8437" width="9.125" style="84"/>
    <col min="8438" max="8438" width="37.75" style="84" customWidth="1"/>
    <col min="8439" max="8465" width="12.125" style="84" customWidth="1"/>
    <col min="8466" max="8466" width="12.75" style="84" customWidth="1"/>
    <col min="8467" max="8468" width="9.125" style="84"/>
    <col min="8469" max="8470" width="13.375" style="84" customWidth="1"/>
    <col min="8471" max="8471" width="13.875" style="84" customWidth="1"/>
    <col min="8472" max="8693" width="9.125" style="84"/>
    <col min="8694" max="8694" width="37.75" style="84" customWidth="1"/>
    <col min="8695" max="8721" width="12.125" style="84" customWidth="1"/>
    <col min="8722" max="8722" width="12.75" style="84" customWidth="1"/>
    <col min="8723" max="8724" width="9.125" style="84"/>
    <col min="8725" max="8726" width="13.375" style="84" customWidth="1"/>
    <col min="8727" max="8727" width="13.875" style="84" customWidth="1"/>
    <col min="8728" max="8949" width="9.125" style="84"/>
    <col min="8950" max="8950" width="37.75" style="84" customWidth="1"/>
    <col min="8951" max="8977" width="12.125" style="84" customWidth="1"/>
    <col min="8978" max="8978" width="12.75" style="84" customWidth="1"/>
    <col min="8979" max="8980" width="9.125" style="84"/>
    <col min="8981" max="8982" width="13.375" style="84" customWidth="1"/>
    <col min="8983" max="8983" width="13.875" style="84" customWidth="1"/>
    <col min="8984" max="9205" width="9.125" style="84"/>
    <col min="9206" max="9206" width="37.75" style="84" customWidth="1"/>
    <col min="9207" max="9233" width="12.125" style="84" customWidth="1"/>
    <col min="9234" max="9234" width="12.75" style="84" customWidth="1"/>
    <col min="9235" max="9236" width="9.125" style="84"/>
    <col min="9237" max="9238" width="13.375" style="84" customWidth="1"/>
    <col min="9239" max="9239" width="13.875" style="84" customWidth="1"/>
    <col min="9240" max="9461" width="9.125" style="84"/>
    <col min="9462" max="9462" width="37.75" style="84" customWidth="1"/>
    <col min="9463" max="9489" width="12.125" style="84" customWidth="1"/>
    <col min="9490" max="9490" width="12.75" style="84" customWidth="1"/>
    <col min="9491" max="9492" width="9.125" style="84"/>
    <col min="9493" max="9494" width="13.375" style="84" customWidth="1"/>
    <col min="9495" max="9495" width="13.875" style="84" customWidth="1"/>
    <col min="9496" max="9717" width="9.125" style="84"/>
    <col min="9718" max="9718" width="37.75" style="84" customWidth="1"/>
    <col min="9719" max="9745" width="12.125" style="84" customWidth="1"/>
    <col min="9746" max="9746" width="12.75" style="84" customWidth="1"/>
    <col min="9747" max="9748" width="9.125" style="84"/>
    <col min="9749" max="9750" width="13.375" style="84" customWidth="1"/>
    <col min="9751" max="9751" width="13.875" style="84" customWidth="1"/>
    <col min="9752" max="9973" width="9.125" style="84"/>
    <col min="9974" max="9974" width="37.75" style="84" customWidth="1"/>
    <col min="9975" max="10001" width="12.125" style="84" customWidth="1"/>
    <col min="10002" max="10002" width="12.75" style="84" customWidth="1"/>
    <col min="10003" max="10004" width="9.125" style="84"/>
    <col min="10005" max="10006" width="13.375" style="84" customWidth="1"/>
    <col min="10007" max="10007" width="13.875" style="84" customWidth="1"/>
    <col min="10008" max="10229" width="9.125" style="84"/>
    <col min="10230" max="10230" width="37.75" style="84" customWidth="1"/>
    <col min="10231" max="10257" width="12.125" style="84" customWidth="1"/>
    <col min="10258" max="10258" width="12.75" style="84" customWidth="1"/>
    <col min="10259" max="10260" width="9.125" style="84"/>
    <col min="10261" max="10262" width="13.375" style="84" customWidth="1"/>
    <col min="10263" max="10263" width="13.875" style="84" customWidth="1"/>
    <col min="10264" max="10485" width="9.125" style="84"/>
    <col min="10486" max="10486" width="37.75" style="84" customWidth="1"/>
    <col min="10487" max="10513" width="12.125" style="84" customWidth="1"/>
    <col min="10514" max="10514" width="12.75" style="84" customWidth="1"/>
    <col min="10515" max="10516" width="9.125" style="84"/>
    <col min="10517" max="10518" width="13.375" style="84" customWidth="1"/>
    <col min="10519" max="10519" width="13.875" style="84" customWidth="1"/>
    <col min="10520" max="10741" width="9.125" style="84"/>
    <col min="10742" max="10742" width="37.75" style="84" customWidth="1"/>
    <col min="10743" max="10769" width="12.125" style="84" customWidth="1"/>
    <col min="10770" max="10770" width="12.75" style="84" customWidth="1"/>
    <col min="10771" max="10772" width="9.125" style="84"/>
    <col min="10773" max="10774" width="13.375" style="84" customWidth="1"/>
    <col min="10775" max="10775" width="13.875" style="84" customWidth="1"/>
    <col min="10776" max="10997" width="9.125" style="84"/>
    <col min="10998" max="10998" width="37.75" style="84" customWidth="1"/>
    <col min="10999" max="11025" width="12.125" style="84" customWidth="1"/>
    <col min="11026" max="11026" width="12.75" style="84" customWidth="1"/>
    <col min="11027" max="11028" width="9.125" style="84"/>
    <col min="11029" max="11030" width="13.375" style="84" customWidth="1"/>
    <col min="11031" max="11031" width="13.875" style="84" customWidth="1"/>
    <col min="11032" max="11253" width="9.125" style="84"/>
    <col min="11254" max="11254" width="37.75" style="84" customWidth="1"/>
    <col min="11255" max="11281" width="12.125" style="84" customWidth="1"/>
    <col min="11282" max="11282" width="12.75" style="84" customWidth="1"/>
    <col min="11283" max="11284" width="9.125" style="84"/>
    <col min="11285" max="11286" width="13.375" style="84" customWidth="1"/>
    <col min="11287" max="11287" width="13.875" style="84" customWidth="1"/>
    <col min="11288" max="11509" width="9.125" style="84"/>
    <col min="11510" max="11510" width="37.75" style="84" customWidth="1"/>
    <col min="11511" max="11537" width="12.125" style="84" customWidth="1"/>
    <col min="11538" max="11538" width="12.75" style="84" customWidth="1"/>
    <col min="11539" max="11540" width="9.125" style="84"/>
    <col min="11541" max="11542" width="13.375" style="84" customWidth="1"/>
    <col min="11543" max="11543" width="13.875" style="84" customWidth="1"/>
    <col min="11544" max="11765" width="9.125" style="84"/>
    <col min="11766" max="11766" width="37.75" style="84" customWidth="1"/>
    <col min="11767" max="11793" width="12.125" style="84" customWidth="1"/>
    <col min="11794" max="11794" width="12.75" style="84" customWidth="1"/>
    <col min="11795" max="11796" width="9.125" style="84"/>
    <col min="11797" max="11798" width="13.375" style="84" customWidth="1"/>
    <col min="11799" max="11799" width="13.875" style="84" customWidth="1"/>
    <col min="11800" max="12021" width="9.125" style="84"/>
    <col min="12022" max="12022" width="37.75" style="84" customWidth="1"/>
    <col min="12023" max="12049" width="12.125" style="84" customWidth="1"/>
    <col min="12050" max="12050" width="12.75" style="84" customWidth="1"/>
    <col min="12051" max="12052" width="9.125" style="84"/>
    <col min="12053" max="12054" width="13.375" style="84" customWidth="1"/>
    <col min="12055" max="12055" width="13.875" style="84" customWidth="1"/>
    <col min="12056" max="12277" width="9.125" style="84"/>
    <col min="12278" max="12278" width="37.75" style="84" customWidth="1"/>
    <col min="12279" max="12305" width="12.125" style="84" customWidth="1"/>
    <col min="12306" max="12306" width="12.75" style="84" customWidth="1"/>
    <col min="12307" max="12308" width="9.125" style="84"/>
    <col min="12309" max="12310" width="13.375" style="84" customWidth="1"/>
    <col min="12311" max="12311" width="13.875" style="84" customWidth="1"/>
    <col min="12312" max="12533" width="9.125" style="84"/>
    <col min="12534" max="12534" width="37.75" style="84" customWidth="1"/>
    <col min="12535" max="12561" width="12.125" style="84" customWidth="1"/>
    <col min="12562" max="12562" width="12.75" style="84" customWidth="1"/>
    <col min="12563" max="12564" width="9.125" style="84"/>
    <col min="12565" max="12566" width="13.375" style="84" customWidth="1"/>
    <col min="12567" max="12567" width="13.875" style="84" customWidth="1"/>
    <col min="12568" max="12789" width="9.125" style="84"/>
    <col min="12790" max="12790" width="37.75" style="84" customWidth="1"/>
    <col min="12791" max="12817" width="12.125" style="84" customWidth="1"/>
    <col min="12818" max="12818" width="12.75" style="84" customWidth="1"/>
    <col min="12819" max="12820" width="9.125" style="84"/>
    <col min="12821" max="12822" width="13.375" style="84" customWidth="1"/>
    <col min="12823" max="12823" width="13.875" style="84" customWidth="1"/>
    <col min="12824" max="13045" width="9.125" style="84"/>
    <col min="13046" max="13046" width="37.75" style="84" customWidth="1"/>
    <col min="13047" max="13073" width="12.125" style="84" customWidth="1"/>
    <col min="13074" max="13074" width="12.75" style="84" customWidth="1"/>
    <col min="13075" max="13076" width="9.125" style="84"/>
    <col min="13077" max="13078" width="13.375" style="84" customWidth="1"/>
    <col min="13079" max="13079" width="13.875" style="84" customWidth="1"/>
    <col min="13080" max="13301" width="9.125" style="84"/>
    <col min="13302" max="13302" width="37.75" style="84" customWidth="1"/>
    <col min="13303" max="13329" width="12.125" style="84" customWidth="1"/>
    <col min="13330" max="13330" width="12.75" style="84" customWidth="1"/>
    <col min="13331" max="13332" width="9.125" style="84"/>
    <col min="13333" max="13334" width="13.375" style="84" customWidth="1"/>
    <col min="13335" max="13335" width="13.875" style="84" customWidth="1"/>
    <col min="13336" max="13557" width="9.125" style="84"/>
    <col min="13558" max="13558" width="37.75" style="84" customWidth="1"/>
    <col min="13559" max="13585" width="12.125" style="84" customWidth="1"/>
    <col min="13586" max="13586" width="12.75" style="84" customWidth="1"/>
    <col min="13587" max="13588" width="9.125" style="84"/>
    <col min="13589" max="13590" width="13.375" style="84" customWidth="1"/>
    <col min="13591" max="13591" width="13.875" style="84" customWidth="1"/>
    <col min="13592" max="13813" width="9.125" style="84"/>
    <col min="13814" max="13814" width="37.75" style="84" customWidth="1"/>
    <col min="13815" max="13841" width="12.125" style="84" customWidth="1"/>
    <col min="13842" max="13842" width="12.75" style="84" customWidth="1"/>
    <col min="13843" max="13844" width="9.125" style="84"/>
    <col min="13845" max="13846" width="13.375" style="84" customWidth="1"/>
    <col min="13847" max="13847" width="13.875" style="84" customWidth="1"/>
    <col min="13848" max="14069" width="9.125" style="84"/>
    <col min="14070" max="14070" width="37.75" style="84" customWidth="1"/>
    <col min="14071" max="14097" width="12.125" style="84" customWidth="1"/>
    <col min="14098" max="14098" width="12.75" style="84" customWidth="1"/>
    <col min="14099" max="14100" width="9.125" style="84"/>
    <col min="14101" max="14102" width="13.375" style="84" customWidth="1"/>
    <col min="14103" max="14103" width="13.875" style="84" customWidth="1"/>
    <col min="14104" max="14325" width="9.125" style="84"/>
    <col min="14326" max="14326" width="37.75" style="84" customWidth="1"/>
    <col min="14327" max="14353" width="12.125" style="84" customWidth="1"/>
    <col min="14354" max="14354" width="12.75" style="84" customWidth="1"/>
    <col min="14355" max="14356" width="9.125" style="84"/>
    <col min="14357" max="14358" width="13.375" style="84" customWidth="1"/>
    <col min="14359" max="14359" width="13.875" style="84" customWidth="1"/>
    <col min="14360" max="14581" width="9.125" style="84"/>
    <col min="14582" max="14582" width="37.75" style="84" customWidth="1"/>
    <col min="14583" max="14609" width="12.125" style="84" customWidth="1"/>
    <col min="14610" max="14610" width="12.75" style="84" customWidth="1"/>
    <col min="14611" max="14612" width="9.125" style="84"/>
    <col min="14613" max="14614" width="13.375" style="84" customWidth="1"/>
    <col min="14615" max="14615" width="13.875" style="84" customWidth="1"/>
    <col min="14616" max="14837" width="9.125" style="84"/>
    <col min="14838" max="14838" width="37.75" style="84" customWidth="1"/>
    <col min="14839" max="14865" width="12.125" style="84" customWidth="1"/>
    <col min="14866" max="14866" width="12.75" style="84" customWidth="1"/>
    <col min="14867" max="14868" width="9.125" style="84"/>
    <col min="14869" max="14870" width="13.375" style="84" customWidth="1"/>
    <col min="14871" max="14871" width="13.875" style="84" customWidth="1"/>
    <col min="14872" max="15093" width="9.125" style="84"/>
    <col min="15094" max="15094" width="37.75" style="84" customWidth="1"/>
    <col min="15095" max="15121" width="12.125" style="84" customWidth="1"/>
    <col min="15122" max="15122" width="12.75" style="84" customWidth="1"/>
    <col min="15123" max="15124" width="9.125" style="84"/>
    <col min="15125" max="15126" width="13.375" style="84" customWidth="1"/>
    <col min="15127" max="15127" width="13.875" style="84" customWidth="1"/>
    <col min="15128" max="15349" width="9.125" style="84"/>
    <col min="15350" max="15350" width="37.75" style="84" customWidth="1"/>
    <col min="15351" max="15377" width="12.125" style="84" customWidth="1"/>
    <col min="15378" max="15378" width="12.75" style="84" customWidth="1"/>
    <col min="15379" max="15380" width="9.125" style="84"/>
    <col min="15381" max="15382" width="13.375" style="84" customWidth="1"/>
    <col min="15383" max="15383" width="13.875" style="84" customWidth="1"/>
    <col min="15384" max="15605" width="9.125" style="84"/>
    <col min="15606" max="15606" width="37.75" style="84" customWidth="1"/>
    <col min="15607" max="15633" width="12.125" style="84" customWidth="1"/>
    <col min="15634" max="15634" width="12.75" style="84" customWidth="1"/>
    <col min="15635" max="15636" width="9.125" style="84"/>
    <col min="15637" max="15638" width="13.375" style="84" customWidth="1"/>
    <col min="15639" max="15639" width="13.875" style="84" customWidth="1"/>
    <col min="15640" max="15861" width="9.125" style="84"/>
    <col min="15862" max="15862" width="37.75" style="84" customWidth="1"/>
    <col min="15863" max="15889" width="12.125" style="84" customWidth="1"/>
    <col min="15890" max="15890" width="12.75" style="84" customWidth="1"/>
    <col min="15891" max="15892" width="9.125" style="84"/>
    <col min="15893" max="15894" width="13.375" style="84" customWidth="1"/>
    <col min="15895" max="15895" width="13.875" style="84" customWidth="1"/>
    <col min="15896" max="16117" width="9.125" style="84"/>
    <col min="16118" max="16118" width="37.75" style="84" customWidth="1"/>
    <col min="16119" max="16145" width="12.125" style="84" customWidth="1"/>
    <col min="16146" max="16146" width="12.75" style="84" customWidth="1"/>
    <col min="16147" max="16148" width="9.125" style="84"/>
    <col min="16149" max="16150" width="13.375" style="84" customWidth="1"/>
    <col min="16151" max="16151" width="13.875" style="84" customWidth="1"/>
    <col min="16152" max="16384" width="9.125" style="84"/>
  </cols>
  <sheetData>
    <row r="1" spans="1:38" s="66" customFormat="1" ht="16.5" customHeight="1" thickBot="1">
      <c r="A1" s="65" t="s">
        <v>535</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row>
    <row r="2" spans="1:38" s="70" customFormat="1" ht="16.5" customHeight="1">
      <c r="A2" s="67"/>
      <c r="B2" s="68">
        <v>1960</v>
      </c>
      <c r="C2" s="68">
        <v>1965</v>
      </c>
      <c r="D2" s="68">
        <v>1970</v>
      </c>
      <c r="E2" s="68">
        <v>1975</v>
      </c>
      <c r="F2" s="68">
        <v>1980</v>
      </c>
      <c r="G2" s="68">
        <v>1985</v>
      </c>
      <c r="H2" s="68">
        <v>1990</v>
      </c>
      <c r="I2" s="68">
        <v>1991</v>
      </c>
      <c r="J2" s="68">
        <v>1992</v>
      </c>
      <c r="K2" s="68">
        <v>1993</v>
      </c>
      <c r="L2" s="68">
        <v>1994</v>
      </c>
      <c r="M2" s="68">
        <v>1995</v>
      </c>
      <c r="N2" s="68">
        <v>1996</v>
      </c>
      <c r="O2" s="68">
        <v>1997</v>
      </c>
      <c r="P2" s="68">
        <v>1998</v>
      </c>
      <c r="Q2" s="68">
        <v>1999</v>
      </c>
      <c r="R2" s="68">
        <v>2000</v>
      </c>
      <c r="S2" s="68">
        <v>2001</v>
      </c>
      <c r="T2" s="67">
        <v>2002</v>
      </c>
      <c r="U2" s="67">
        <v>2003</v>
      </c>
      <c r="V2" s="69">
        <v>2004</v>
      </c>
      <c r="W2" s="67">
        <v>2005</v>
      </c>
      <c r="X2" s="67">
        <v>2006</v>
      </c>
      <c r="Y2" s="67">
        <v>2007</v>
      </c>
      <c r="Z2" s="67">
        <v>2008</v>
      </c>
      <c r="AA2" s="67">
        <v>2009</v>
      </c>
      <c r="AB2" s="67">
        <v>2010</v>
      </c>
      <c r="AC2" s="68">
        <v>2011</v>
      </c>
      <c r="AD2" s="68">
        <v>2012</v>
      </c>
      <c r="AE2" s="67">
        <v>2013</v>
      </c>
      <c r="AF2" s="68">
        <v>2014</v>
      </c>
      <c r="AG2" s="68">
        <v>2015</v>
      </c>
      <c r="AH2" s="68">
        <v>2016</v>
      </c>
      <c r="AI2" s="68">
        <v>2017</v>
      </c>
      <c r="AJ2" s="68">
        <v>2018</v>
      </c>
      <c r="AK2" s="68">
        <v>2019</v>
      </c>
    </row>
    <row r="3" spans="1:38" s="75" customFormat="1" ht="16.5" customHeight="1">
      <c r="A3" s="11" t="s">
        <v>534</v>
      </c>
      <c r="B3" s="71"/>
      <c r="C3" s="71"/>
      <c r="D3" s="71"/>
      <c r="E3" s="72"/>
      <c r="F3" s="72"/>
      <c r="G3" s="73"/>
      <c r="H3" s="73"/>
      <c r="I3" s="73"/>
      <c r="J3" s="73"/>
      <c r="K3" s="73"/>
      <c r="L3" s="73"/>
      <c r="M3" s="73"/>
      <c r="N3" s="73"/>
      <c r="O3" s="73"/>
      <c r="P3" s="73"/>
      <c r="Q3" s="73"/>
      <c r="R3" s="73"/>
      <c r="S3" s="71"/>
      <c r="T3" s="73"/>
      <c r="U3" s="73"/>
      <c r="V3" s="73"/>
      <c r="W3" s="73"/>
      <c r="X3" s="73"/>
      <c r="Y3" s="73"/>
      <c r="Z3" s="73"/>
      <c r="AA3" s="71"/>
      <c r="AB3" s="71"/>
      <c r="AC3" s="71"/>
      <c r="AD3" s="71"/>
      <c r="AE3" s="74"/>
      <c r="AF3" s="74"/>
      <c r="AG3" s="74"/>
      <c r="AH3" s="74"/>
      <c r="AI3" s="74"/>
      <c r="AJ3" s="74"/>
      <c r="AK3" s="74"/>
    </row>
    <row r="4" spans="1:38" s="75" customFormat="1" ht="16.5" customHeight="1">
      <c r="A4" s="9" t="s">
        <v>1116</v>
      </c>
      <c r="B4" s="76">
        <v>31099</v>
      </c>
      <c r="C4" s="76">
        <v>53226</v>
      </c>
      <c r="D4" s="76">
        <v>108442</v>
      </c>
      <c r="E4" s="77">
        <v>119591.474</v>
      </c>
      <c r="F4" s="77">
        <v>190765.929</v>
      </c>
      <c r="G4" s="77">
        <v>275863.54700000002</v>
      </c>
      <c r="H4" s="77">
        <v>337215.22553599998</v>
      </c>
      <c r="I4" s="77">
        <v>329787.96750099998</v>
      </c>
      <c r="J4" s="77">
        <v>345019.61278099997</v>
      </c>
      <c r="K4" s="77">
        <v>351096.458323</v>
      </c>
      <c r="L4" s="77">
        <v>376873.402328</v>
      </c>
      <c r="M4" s="77">
        <v>391593.82941200002</v>
      </c>
      <c r="N4" s="77">
        <v>419281.55251800001</v>
      </c>
      <c r="O4" s="77">
        <v>439262.67014</v>
      </c>
      <c r="P4" s="77">
        <v>449103.79910300003</v>
      </c>
      <c r="Q4" s="77">
        <v>473081.98319599999</v>
      </c>
      <c r="R4" s="77">
        <v>500431.77514500002</v>
      </c>
      <c r="S4" s="77">
        <v>473591.64681000001</v>
      </c>
      <c r="T4" s="77">
        <v>472190.76637199998</v>
      </c>
      <c r="U4" s="77">
        <v>497648.14399399998</v>
      </c>
      <c r="V4" s="77">
        <v>547931.15319800004</v>
      </c>
      <c r="W4" s="77">
        <v>572868.82004599995</v>
      </c>
      <c r="X4" s="77">
        <v>576823.04937200004</v>
      </c>
      <c r="Y4" s="77">
        <v>594614.09036200005</v>
      </c>
      <c r="Z4" s="77">
        <v>570089.94696500001</v>
      </c>
      <c r="AA4" s="77">
        <v>540693.68270899996</v>
      </c>
      <c r="AB4" s="77">
        <v>554710.522322</v>
      </c>
      <c r="AC4" s="77">
        <v>565613.64535799995</v>
      </c>
      <c r="AD4" s="77">
        <v>570438.230553</v>
      </c>
      <c r="AE4" s="77">
        <v>579461.44977599999</v>
      </c>
      <c r="AF4" s="77">
        <v>597005.00355200004</v>
      </c>
      <c r="AG4" s="77">
        <v>632154.82412700006</v>
      </c>
      <c r="AH4" s="77">
        <v>661477.92748199997</v>
      </c>
      <c r="AI4" s="77">
        <v>685472.464806</v>
      </c>
      <c r="AJ4" s="77">
        <v>722415.33364099998</v>
      </c>
      <c r="AK4" s="77">
        <v>754303.24246600003</v>
      </c>
    </row>
    <row r="5" spans="1:38" s="75" customFormat="1" ht="16.5" customHeight="1">
      <c r="A5" s="9" t="s">
        <v>1117</v>
      </c>
      <c r="B5" s="78">
        <v>2300</v>
      </c>
      <c r="C5" s="76" t="s">
        <v>527</v>
      </c>
      <c r="D5" s="78">
        <v>9100</v>
      </c>
      <c r="E5" s="76" t="s">
        <v>527</v>
      </c>
      <c r="F5" s="78">
        <v>14700</v>
      </c>
      <c r="G5" s="76" t="s">
        <v>527</v>
      </c>
      <c r="H5" s="78">
        <v>13000</v>
      </c>
      <c r="I5" s="76" t="s">
        <v>527</v>
      </c>
      <c r="J5" s="76" t="s">
        <v>527</v>
      </c>
      <c r="K5" s="76" t="s">
        <v>527</v>
      </c>
      <c r="L5" s="76" t="s">
        <v>527</v>
      </c>
      <c r="M5" s="78">
        <v>10800</v>
      </c>
      <c r="N5" s="78">
        <v>12000</v>
      </c>
      <c r="O5" s="78">
        <v>12500</v>
      </c>
      <c r="P5" s="78">
        <v>13100</v>
      </c>
      <c r="Q5" s="78">
        <v>14100</v>
      </c>
      <c r="R5" s="78">
        <v>15200</v>
      </c>
      <c r="S5" s="78">
        <v>15900</v>
      </c>
      <c r="T5" s="77" t="s">
        <v>532</v>
      </c>
      <c r="U5" s="77" t="s">
        <v>532</v>
      </c>
      <c r="V5" s="77" t="s">
        <v>532</v>
      </c>
      <c r="W5" s="77" t="s">
        <v>532</v>
      </c>
      <c r="X5" s="77" t="s">
        <v>532</v>
      </c>
      <c r="Y5" s="77" t="s">
        <v>532</v>
      </c>
      <c r="Z5" s="77" t="s">
        <v>532</v>
      </c>
      <c r="AA5" s="77" t="s">
        <v>532</v>
      </c>
      <c r="AB5" s="77" t="s">
        <v>532</v>
      </c>
      <c r="AC5" s="77" t="s">
        <v>532</v>
      </c>
      <c r="AD5" s="77" t="s">
        <v>532</v>
      </c>
      <c r="AE5" s="77" t="s">
        <v>532</v>
      </c>
      <c r="AF5" s="77" t="s">
        <v>532</v>
      </c>
      <c r="AG5" s="77" t="s">
        <v>532</v>
      </c>
      <c r="AH5" s="77" t="s">
        <v>532</v>
      </c>
      <c r="AI5" s="77" t="s">
        <v>532</v>
      </c>
      <c r="AJ5" s="77" t="s">
        <v>532</v>
      </c>
      <c r="AK5" s="77" t="s">
        <v>532</v>
      </c>
    </row>
    <row r="6" spans="1:38" s="75" customFormat="1" ht="16.5" customHeight="1">
      <c r="A6" s="79" t="s">
        <v>533</v>
      </c>
      <c r="B6" s="80">
        <v>1272078.3999999999</v>
      </c>
      <c r="C6" s="80">
        <v>1555237.28</v>
      </c>
      <c r="D6" s="80">
        <v>2042002.2799999998</v>
      </c>
      <c r="E6" s="80">
        <v>2404954.4</v>
      </c>
      <c r="F6" s="80">
        <v>2653510.21</v>
      </c>
      <c r="G6" s="80">
        <v>2991120.8</v>
      </c>
      <c r="H6" s="80">
        <v>3539602.56</v>
      </c>
      <c r="I6" s="80">
        <v>3578582.4400000004</v>
      </c>
      <c r="J6" s="80">
        <v>3676688.44</v>
      </c>
      <c r="K6" s="80">
        <v>3747067.87</v>
      </c>
      <c r="L6" s="80">
        <v>3939875</v>
      </c>
      <c r="M6" s="80">
        <v>3848458</v>
      </c>
      <c r="N6" s="80">
        <v>3951008.7272999999</v>
      </c>
      <c r="O6" s="80">
        <v>4071136.5328719998</v>
      </c>
      <c r="P6" s="80">
        <v>4182066.2400156059</v>
      </c>
      <c r="Q6" s="80">
        <v>4285299.4390774053</v>
      </c>
      <c r="R6" s="80">
        <v>4370488.7148582162</v>
      </c>
      <c r="S6" s="80">
        <v>4623397.8260386921</v>
      </c>
      <c r="T6" s="80">
        <v>4646520.9849062953</v>
      </c>
      <c r="U6" s="80">
        <v>4701825.0032426612</v>
      </c>
      <c r="V6" s="80">
        <v>4824654.4447763506</v>
      </c>
      <c r="W6" s="73">
        <v>4867608.4897589097</v>
      </c>
      <c r="X6" s="73">
        <v>4908058.8374757655</v>
      </c>
      <c r="Y6" s="73">
        <v>4959766.7012</v>
      </c>
      <c r="Z6" s="73">
        <v>4900171</v>
      </c>
      <c r="AA6" s="73">
        <v>5000591.8959189998</v>
      </c>
      <c r="AB6" s="73">
        <v>5009805.5620214241</v>
      </c>
      <c r="AC6" s="73">
        <v>4997049.3066988336</v>
      </c>
      <c r="AD6" s="73">
        <v>5046332.4132198002</v>
      </c>
      <c r="AE6" s="73">
        <v>5083123.4649372874</v>
      </c>
      <c r="AF6" s="73">
        <v>5158160.8548277542</v>
      </c>
      <c r="AG6" s="73">
        <v>5282710.2500658771</v>
      </c>
      <c r="AH6" s="73">
        <v>5411827.6229987517</v>
      </c>
      <c r="AI6" s="73">
        <v>5482189.7570441701</v>
      </c>
      <c r="AJ6" s="73">
        <v>5545845.3035232006</v>
      </c>
      <c r="AK6" s="73">
        <v>5579125.9722718718</v>
      </c>
    </row>
    <row r="7" spans="1:38" s="75" customFormat="1" ht="16.5" customHeight="1">
      <c r="A7" s="10" t="s">
        <v>1118</v>
      </c>
      <c r="B7" s="77">
        <v>1144673.3999999999</v>
      </c>
      <c r="C7" s="77">
        <v>1394803.28</v>
      </c>
      <c r="D7" s="77">
        <v>1750897</v>
      </c>
      <c r="E7" s="77">
        <v>1954165.5</v>
      </c>
      <c r="F7" s="77">
        <v>2011988.76</v>
      </c>
      <c r="G7" s="77">
        <v>2094620.64</v>
      </c>
      <c r="H7" s="77">
        <v>2281390.92</v>
      </c>
      <c r="I7" s="77">
        <v>2200259.7000000002</v>
      </c>
      <c r="J7" s="77">
        <v>2208226.09</v>
      </c>
      <c r="K7" s="77">
        <v>2213281.4900000002</v>
      </c>
      <c r="L7" s="77">
        <v>2756223</v>
      </c>
      <c r="M7" s="77">
        <v>2286887</v>
      </c>
      <c r="N7" s="77">
        <v>2337068</v>
      </c>
      <c r="O7" s="77">
        <v>2389065</v>
      </c>
      <c r="P7" s="77">
        <v>2463828.420042248</v>
      </c>
      <c r="Q7" s="77">
        <v>2495140.3026243281</v>
      </c>
      <c r="R7" s="77">
        <v>2544457.3524414399</v>
      </c>
      <c r="S7" s="77">
        <v>2556481.2400000002</v>
      </c>
      <c r="T7" s="77">
        <v>2620388.92</v>
      </c>
      <c r="U7" s="77">
        <v>2641885.0920744999</v>
      </c>
      <c r="V7" s="77">
        <v>2685826.6531088967</v>
      </c>
      <c r="W7" s="77">
        <v>2699304.6428176584</v>
      </c>
      <c r="X7" s="77">
        <v>2671044.2305259043</v>
      </c>
      <c r="Y7" s="77">
        <v>3324977</v>
      </c>
      <c r="Z7" s="77">
        <v>3199116</v>
      </c>
      <c r="AA7" s="77">
        <v>3413875</v>
      </c>
      <c r="AB7" s="77">
        <v>3429995.6410861243</v>
      </c>
      <c r="AC7" s="77">
        <v>3464405.2296386864</v>
      </c>
      <c r="AD7" s="77">
        <v>3490438.2857423411</v>
      </c>
      <c r="AE7" s="77">
        <v>3507723.0973114655</v>
      </c>
      <c r="AF7" s="77">
        <v>3502000.6903627221</v>
      </c>
      <c r="AG7" s="77">
        <v>3628378.8815517384</v>
      </c>
      <c r="AH7" s="77">
        <v>3699794.4380078609</v>
      </c>
      <c r="AI7" s="77">
        <v>3709919.1961312541</v>
      </c>
      <c r="AJ7" s="77">
        <v>3729610.234329388</v>
      </c>
      <c r="AK7" s="77">
        <v>3765896.0121443863</v>
      </c>
    </row>
    <row r="8" spans="1:38" s="75" customFormat="1" ht="16.5" customHeight="1">
      <c r="A8" s="10" t="s">
        <v>1119</v>
      </c>
      <c r="B8" s="76" t="s">
        <v>527</v>
      </c>
      <c r="C8" s="81" t="s">
        <v>527</v>
      </c>
      <c r="D8" s="76">
        <v>3276.9</v>
      </c>
      <c r="E8" s="76">
        <v>6191.9</v>
      </c>
      <c r="F8" s="76">
        <v>12256.8</v>
      </c>
      <c r="G8" s="76">
        <v>11811.8</v>
      </c>
      <c r="H8" s="76">
        <v>12424.1</v>
      </c>
      <c r="I8" s="76">
        <v>11656.06</v>
      </c>
      <c r="J8" s="76">
        <v>11946.25</v>
      </c>
      <c r="K8" s="76">
        <v>12184.38</v>
      </c>
      <c r="L8" s="77">
        <v>11264</v>
      </c>
      <c r="M8" s="77">
        <v>10777</v>
      </c>
      <c r="N8" s="77">
        <v>10912</v>
      </c>
      <c r="O8" s="77">
        <v>11089</v>
      </c>
      <c r="P8" s="77">
        <v>11311.197996230532</v>
      </c>
      <c r="Q8" s="77">
        <v>11642.295010415633</v>
      </c>
      <c r="R8" s="77">
        <v>11515.796151175477</v>
      </c>
      <c r="S8" s="77">
        <v>11759.58</v>
      </c>
      <c r="T8" s="77">
        <v>12131.04</v>
      </c>
      <c r="U8" s="77">
        <v>12162.999800241942</v>
      </c>
      <c r="V8" s="77">
        <v>12855.361903711795</v>
      </c>
      <c r="W8" s="77">
        <v>13276.957048550581</v>
      </c>
      <c r="X8" s="77">
        <v>15302.837710775921</v>
      </c>
      <c r="Y8" s="77">
        <v>27173</v>
      </c>
      <c r="Z8" s="77">
        <v>26430</v>
      </c>
      <c r="AA8" s="77">
        <v>24162</v>
      </c>
      <c r="AB8" s="77">
        <v>21482.715623236356</v>
      </c>
      <c r="AC8" s="77">
        <v>21516.752486125952</v>
      </c>
      <c r="AD8" s="77">
        <v>24815.916143547372</v>
      </c>
      <c r="AE8" s="77">
        <v>23633.293571165999</v>
      </c>
      <c r="AF8" s="77">
        <v>23173.173385423503</v>
      </c>
      <c r="AG8" s="77">
        <v>22751.532128664399</v>
      </c>
      <c r="AH8" s="77">
        <v>23725.111955421387</v>
      </c>
      <c r="AI8" s="77">
        <v>23381.622003386132</v>
      </c>
      <c r="AJ8" s="77">
        <v>23296.76856786057</v>
      </c>
      <c r="AK8" s="77">
        <v>22846.373475193806</v>
      </c>
    </row>
    <row r="9" spans="1:38" s="75" customFormat="1" ht="16.5" customHeight="1">
      <c r="A9" s="10" t="s">
        <v>1120</v>
      </c>
      <c r="B9" s="76" t="s">
        <v>527</v>
      </c>
      <c r="C9" s="76" t="s">
        <v>527</v>
      </c>
      <c r="D9" s="76">
        <v>225613.38</v>
      </c>
      <c r="E9" s="76">
        <v>363267</v>
      </c>
      <c r="F9" s="76">
        <v>520773.65</v>
      </c>
      <c r="G9" s="76">
        <v>688091.36</v>
      </c>
      <c r="H9" s="76">
        <v>999753.54</v>
      </c>
      <c r="I9" s="76">
        <v>1116957.68</v>
      </c>
      <c r="J9" s="76">
        <v>1201667.1000000001</v>
      </c>
      <c r="K9" s="76">
        <v>1252860</v>
      </c>
      <c r="L9" s="77">
        <v>885897</v>
      </c>
      <c r="M9" s="77">
        <v>1256146</v>
      </c>
      <c r="N9" s="77">
        <v>1298299</v>
      </c>
      <c r="O9" s="77">
        <v>1352675</v>
      </c>
      <c r="P9" s="77">
        <v>1380557.2397938734</v>
      </c>
      <c r="Q9" s="77">
        <v>1432782.3794077854</v>
      </c>
      <c r="R9" s="77">
        <v>1467663.7991499156</v>
      </c>
      <c r="S9" s="77">
        <v>1678852.5595885422</v>
      </c>
      <c r="T9" s="77">
        <v>1674791.8930520001</v>
      </c>
      <c r="U9" s="77">
        <v>1706102.912463947</v>
      </c>
      <c r="V9" s="77">
        <v>1780771.1384466074</v>
      </c>
      <c r="W9" s="77">
        <v>1804848.0064037023</v>
      </c>
      <c r="X9" s="77">
        <v>1876689.847532914</v>
      </c>
      <c r="Y9" s="77">
        <v>1017007</v>
      </c>
      <c r="Z9" s="77">
        <v>1049667</v>
      </c>
      <c r="AA9" s="77">
        <v>991383</v>
      </c>
      <c r="AB9" s="77">
        <v>1001455.7277059199</v>
      </c>
      <c r="AC9" s="77">
        <v>972382.44726826402</v>
      </c>
      <c r="AD9" s="77">
        <v>970669.41516661318</v>
      </c>
      <c r="AE9" s="77">
        <v>977476.62107445241</v>
      </c>
      <c r="AF9" s="77">
        <v>1037129.0861966583</v>
      </c>
      <c r="AG9" s="77">
        <v>1028773.6840018815</v>
      </c>
      <c r="AH9" s="77">
        <v>1075233.5052042801</v>
      </c>
      <c r="AI9" s="77">
        <v>1106303.4454204475</v>
      </c>
      <c r="AJ9" s="77">
        <v>1119644.0825954296</v>
      </c>
      <c r="AK9" s="77">
        <v>1128488.8887035879</v>
      </c>
    </row>
    <row r="10" spans="1:38" s="75" customFormat="1" ht="16.5" customHeight="1">
      <c r="A10" s="9" t="s">
        <v>1121</v>
      </c>
      <c r="B10" s="76">
        <v>98551</v>
      </c>
      <c r="C10" s="76">
        <v>128769</v>
      </c>
      <c r="D10" s="76">
        <v>27081</v>
      </c>
      <c r="E10" s="76">
        <v>34606</v>
      </c>
      <c r="F10" s="76">
        <v>39813</v>
      </c>
      <c r="G10" s="76">
        <v>45441</v>
      </c>
      <c r="H10" s="76">
        <v>51901</v>
      </c>
      <c r="I10" s="76">
        <v>52898</v>
      </c>
      <c r="J10" s="76">
        <v>53874</v>
      </c>
      <c r="K10" s="76">
        <v>56772</v>
      </c>
      <c r="L10" s="77">
        <v>61284</v>
      </c>
      <c r="M10" s="77">
        <v>62705</v>
      </c>
      <c r="N10" s="77">
        <v>64072</v>
      </c>
      <c r="O10" s="77">
        <v>66893</v>
      </c>
      <c r="P10" s="77">
        <v>68021</v>
      </c>
      <c r="Q10" s="77">
        <v>70311</v>
      </c>
      <c r="R10" s="77">
        <v>70500</v>
      </c>
      <c r="S10" s="77">
        <v>85488.639999999999</v>
      </c>
      <c r="T10" s="77">
        <v>75866</v>
      </c>
      <c r="U10" s="77">
        <v>77756.625026012029</v>
      </c>
      <c r="V10" s="77">
        <v>78441.001270563196</v>
      </c>
      <c r="W10" s="77">
        <v>78495.659525951312</v>
      </c>
      <c r="X10" s="77">
        <v>80344.221164056842</v>
      </c>
      <c r="Y10" s="77">
        <v>119979</v>
      </c>
      <c r="Z10" s="77">
        <v>126855</v>
      </c>
      <c r="AA10" s="77">
        <v>120207</v>
      </c>
      <c r="AB10" s="77">
        <v>110738.2452064016</v>
      </c>
      <c r="AC10" s="77">
        <v>103803.03027298137</v>
      </c>
      <c r="AD10" s="77">
        <v>105605.2225970268</v>
      </c>
      <c r="AE10" s="77">
        <v>106581.57890487878</v>
      </c>
      <c r="AF10" s="77">
        <v>109301.40619692924</v>
      </c>
      <c r="AG10" s="77">
        <v>109597.31844960712</v>
      </c>
      <c r="AH10" s="77">
        <v>113337.94163267993</v>
      </c>
      <c r="AI10" s="77">
        <v>116102.39910916959</v>
      </c>
      <c r="AJ10" s="77">
        <v>120698.99421461202</v>
      </c>
      <c r="AK10" s="77">
        <v>124745.70718075465</v>
      </c>
    </row>
    <row r="11" spans="1:38" s="75" customFormat="1" ht="16.5" customHeight="1">
      <c r="A11" s="9" t="s">
        <v>531</v>
      </c>
      <c r="B11" s="76">
        <v>28854</v>
      </c>
      <c r="C11" s="76">
        <v>31665</v>
      </c>
      <c r="D11" s="76">
        <v>35134</v>
      </c>
      <c r="E11" s="76">
        <v>46724</v>
      </c>
      <c r="F11" s="76">
        <v>68678</v>
      </c>
      <c r="G11" s="76">
        <v>78063</v>
      </c>
      <c r="H11" s="76">
        <v>94341</v>
      </c>
      <c r="I11" s="76">
        <v>96645</v>
      </c>
      <c r="J11" s="76">
        <v>99510</v>
      </c>
      <c r="K11" s="76">
        <v>103116</v>
      </c>
      <c r="L11" s="77">
        <v>108932</v>
      </c>
      <c r="M11" s="77">
        <v>115451</v>
      </c>
      <c r="N11" s="77">
        <v>118899</v>
      </c>
      <c r="O11" s="77">
        <v>124584</v>
      </c>
      <c r="P11" s="77">
        <v>128359</v>
      </c>
      <c r="Q11" s="77">
        <v>132386</v>
      </c>
      <c r="R11" s="77">
        <v>135020</v>
      </c>
      <c r="S11" s="77">
        <v>161169.12</v>
      </c>
      <c r="T11" s="77">
        <v>138737</v>
      </c>
      <c r="U11" s="77">
        <v>140159.96248174272</v>
      </c>
      <c r="V11" s="77">
        <v>142369.77185656936</v>
      </c>
      <c r="W11" s="77">
        <v>144027.63604132412</v>
      </c>
      <c r="X11" s="77">
        <v>142169.22730548185</v>
      </c>
      <c r="Y11" s="77">
        <v>184199</v>
      </c>
      <c r="Z11" s="77">
        <v>183826</v>
      </c>
      <c r="AA11" s="77">
        <v>168100</v>
      </c>
      <c r="AB11" s="77">
        <v>175788.97173715092</v>
      </c>
      <c r="AC11" s="77">
        <v>163791.29311902044</v>
      </c>
      <c r="AD11" s="77">
        <v>163601.73110557569</v>
      </c>
      <c r="AE11" s="77">
        <v>168435.63414130086</v>
      </c>
      <c r="AF11" s="77">
        <v>169830.17838475661</v>
      </c>
      <c r="AG11" s="77">
        <v>170246.27799988686</v>
      </c>
      <c r="AH11" s="77">
        <v>174556.97827435564</v>
      </c>
      <c r="AI11" s="77">
        <v>181490.18169777928</v>
      </c>
      <c r="AJ11" s="77">
        <v>184165.1211510069</v>
      </c>
      <c r="AK11" s="77">
        <v>175304.70135307586</v>
      </c>
    </row>
    <row r="12" spans="1:38" s="75" customFormat="1" ht="16.5" customHeight="1">
      <c r="A12" s="9" t="s">
        <v>1122</v>
      </c>
      <c r="B12" s="76" t="s">
        <v>527</v>
      </c>
      <c r="C12" s="76" t="s">
        <v>527</v>
      </c>
      <c r="D12" s="76" t="s">
        <v>527</v>
      </c>
      <c r="E12" s="76" t="s">
        <v>527</v>
      </c>
      <c r="F12" s="76" t="s">
        <v>527</v>
      </c>
      <c r="G12" s="76">
        <v>73093</v>
      </c>
      <c r="H12" s="76">
        <v>99792</v>
      </c>
      <c r="I12" s="76">
        <v>100166</v>
      </c>
      <c r="J12" s="76">
        <v>101465</v>
      </c>
      <c r="K12" s="76">
        <v>108854</v>
      </c>
      <c r="L12" s="76">
        <v>116275</v>
      </c>
      <c r="M12" s="76">
        <v>116492</v>
      </c>
      <c r="N12" s="76">
        <v>121758.7273</v>
      </c>
      <c r="O12" s="76">
        <v>126830.53287200001</v>
      </c>
      <c r="P12" s="76">
        <v>129989.38218325401</v>
      </c>
      <c r="Q12" s="76">
        <v>143037.46203487608</v>
      </c>
      <c r="R12" s="76">
        <v>141331.7671156849</v>
      </c>
      <c r="S12" s="76">
        <v>129646.68645014966</v>
      </c>
      <c r="T12" s="76">
        <v>124606.13185429553</v>
      </c>
      <c r="U12" s="76">
        <v>123757.41139621758</v>
      </c>
      <c r="V12" s="76">
        <v>124390.5181900022</v>
      </c>
      <c r="W12" s="76">
        <v>127655.58792172259</v>
      </c>
      <c r="X12" s="76">
        <v>122508.47323663282</v>
      </c>
      <c r="Y12" s="76">
        <v>286431.70120000001</v>
      </c>
      <c r="Z12" s="76">
        <v>292075.290018</v>
      </c>
      <c r="AA12" s="76">
        <v>282864.89591900003</v>
      </c>
      <c r="AB12" s="76">
        <v>270344.2606625912</v>
      </c>
      <c r="AC12" s="77">
        <v>271150.55391375569</v>
      </c>
      <c r="AD12" s="77">
        <v>291201.84246469656</v>
      </c>
      <c r="AE12" s="77">
        <v>299273.23993402399</v>
      </c>
      <c r="AF12" s="77">
        <v>316726.32030126388</v>
      </c>
      <c r="AG12" s="77">
        <v>322962.55593409849</v>
      </c>
      <c r="AH12" s="77">
        <v>325179.64792415383</v>
      </c>
      <c r="AI12" s="77">
        <v>344992.9126821332</v>
      </c>
      <c r="AJ12" s="77">
        <v>368430.10266490339</v>
      </c>
      <c r="AK12" s="77">
        <v>361844.28941487317</v>
      </c>
    </row>
    <row r="13" spans="1:38" s="75" customFormat="1" ht="16.5" customHeight="1">
      <c r="A13" s="82" t="s">
        <v>1123</v>
      </c>
      <c r="B13" s="71" t="s">
        <v>527</v>
      </c>
      <c r="C13" s="71" t="s">
        <v>527</v>
      </c>
      <c r="D13" s="71" t="s">
        <v>527</v>
      </c>
      <c r="E13" s="71" t="s">
        <v>527</v>
      </c>
      <c r="F13" s="80">
        <v>39854</v>
      </c>
      <c r="G13" s="80">
        <v>39581</v>
      </c>
      <c r="H13" s="80">
        <v>41143</v>
      </c>
      <c r="I13" s="80">
        <v>40703</v>
      </c>
      <c r="J13" s="80">
        <v>40241</v>
      </c>
      <c r="K13" s="80">
        <v>39384</v>
      </c>
      <c r="L13" s="80">
        <v>39585</v>
      </c>
      <c r="M13" s="80">
        <v>39808</v>
      </c>
      <c r="N13" s="80">
        <v>38984.124200000006</v>
      </c>
      <c r="O13" s="80">
        <v>40180.218951999996</v>
      </c>
      <c r="P13" s="80">
        <v>41605.038687999993</v>
      </c>
      <c r="Q13" s="80">
        <v>43278.862481000004</v>
      </c>
      <c r="R13" s="80">
        <v>45100.241891000005</v>
      </c>
      <c r="S13" s="80">
        <v>46507.533026999998</v>
      </c>
      <c r="T13" s="80">
        <v>46096.088878999995</v>
      </c>
      <c r="U13" s="80">
        <v>45676.831126000005</v>
      </c>
      <c r="V13" s="80">
        <v>46545.783080000001</v>
      </c>
      <c r="W13" s="80">
        <v>47124.653055000002</v>
      </c>
      <c r="X13" s="80">
        <v>49504.172899999998</v>
      </c>
      <c r="Y13" s="80">
        <v>51873.259700000002</v>
      </c>
      <c r="Z13" s="80">
        <v>53712.078122999999</v>
      </c>
      <c r="AA13" s="80">
        <v>53898.382540000013</v>
      </c>
      <c r="AB13" s="80">
        <v>52627.181348999991</v>
      </c>
      <c r="AC13" s="80">
        <v>54328.134432999992</v>
      </c>
      <c r="AD13" s="80">
        <v>55169.258447999993</v>
      </c>
      <c r="AE13" s="80">
        <v>56467.102654000009</v>
      </c>
      <c r="AF13" s="80">
        <v>57012.092909000006</v>
      </c>
      <c r="AG13" s="80">
        <v>55697.697335999997</v>
      </c>
      <c r="AH13" s="80">
        <v>56321.611936000008</v>
      </c>
      <c r="AI13" s="80">
        <v>54825.884253999997</v>
      </c>
      <c r="AJ13" s="80">
        <v>53830.315945999995</v>
      </c>
      <c r="AK13" s="73">
        <v>54097.055531000005</v>
      </c>
    </row>
    <row r="14" spans="1:38" ht="16.5" customHeight="1">
      <c r="A14" s="9" t="s">
        <v>1124</v>
      </c>
      <c r="B14" s="76" t="s">
        <v>527</v>
      </c>
      <c r="C14" s="76" t="s">
        <v>527</v>
      </c>
      <c r="D14" s="76" t="s">
        <v>527</v>
      </c>
      <c r="E14" s="76" t="s">
        <v>527</v>
      </c>
      <c r="F14" s="76">
        <v>21790</v>
      </c>
      <c r="G14" s="76">
        <v>21161</v>
      </c>
      <c r="H14" s="76">
        <v>20981</v>
      </c>
      <c r="I14" s="76">
        <v>21090</v>
      </c>
      <c r="J14" s="76">
        <v>20336</v>
      </c>
      <c r="K14" s="76">
        <v>20247</v>
      </c>
      <c r="L14" s="76">
        <v>18832</v>
      </c>
      <c r="M14" s="76">
        <v>18818</v>
      </c>
      <c r="N14" s="76">
        <v>16802.168100000003</v>
      </c>
      <c r="O14" s="76">
        <v>17509.219211999996</v>
      </c>
      <c r="P14" s="76">
        <v>17873.721648999999</v>
      </c>
      <c r="Q14" s="76">
        <v>18683.797939</v>
      </c>
      <c r="R14" s="76">
        <v>18807.334752999999</v>
      </c>
      <c r="S14" s="76">
        <v>19582.868181999998</v>
      </c>
      <c r="T14" s="76">
        <v>19678.689117000002</v>
      </c>
      <c r="U14" s="76">
        <v>19178.851354999999</v>
      </c>
      <c r="V14" s="76">
        <v>18920.853862999997</v>
      </c>
      <c r="W14" s="76">
        <v>19424.922553999997</v>
      </c>
      <c r="X14" s="76">
        <v>20390.185932999997</v>
      </c>
      <c r="Y14" s="76">
        <v>20388.053</v>
      </c>
      <c r="Z14" s="76">
        <v>21198.098654000001</v>
      </c>
      <c r="AA14" s="76">
        <v>21099.988628999999</v>
      </c>
      <c r="AB14" s="76">
        <v>20569.726839999999</v>
      </c>
      <c r="AC14" s="76">
        <v>19905.426138999999</v>
      </c>
      <c r="AD14" s="76">
        <v>20129.730629000001</v>
      </c>
      <c r="AE14" s="76">
        <v>18926.876337000002</v>
      </c>
      <c r="AF14" s="76">
        <v>18964.660620999999</v>
      </c>
      <c r="AG14" s="76">
        <v>18506.425159999999</v>
      </c>
      <c r="AH14" s="76">
        <v>18149.823675</v>
      </c>
      <c r="AI14" s="76">
        <v>17075.697165000001</v>
      </c>
      <c r="AJ14" s="76">
        <v>16584.114250999999</v>
      </c>
      <c r="AK14" s="77">
        <v>16387.317525999999</v>
      </c>
      <c r="AL14" s="83"/>
    </row>
    <row r="15" spans="1:38" ht="16.5" customHeight="1">
      <c r="A15" s="9" t="s">
        <v>1125</v>
      </c>
      <c r="B15" s="76" t="s">
        <v>527</v>
      </c>
      <c r="C15" s="76" t="s">
        <v>527</v>
      </c>
      <c r="D15" s="76" t="s">
        <v>527</v>
      </c>
      <c r="E15" s="76" t="s">
        <v>527</v>
      </c>
      <c r="F15" s="76" t="s">
        <v>527</v>
      </c>
      <c r="G15" s="76" t="s">
        <v>527</v>
      </c>
      <c r="H15" s="76" t="s">
        <v>527</v>
      </c>
      <c r="I15" s="76" t="s">
        <v>527</v>
      </c>
      <c r="J15" s="76" t="s">
        <v>527</v>
      </c>
      <c r="K15" s="76" t="s">
        <v>527</v>
      </c>
      <c r="L15" s="76" t="s">
        <v>527</v>
      </c>
      <c r="M15" s="76" t="s">
        <v>527</v>
      </c>
      <c r="N15" s="76" t="s">
        <v>527</v>
      </c>
      <c r="O15" s="76" t="s">
        <v>527</v>
      </c>
      <c r="P15" s="76" t="s">
        <v>527</v>
      </c>
      <c r="Q15" s="76" t="s">
        <v>527</v>
      </c>
      <c r="R15" s="76" t="s">
        <v>527</v>
      </c>
      <c r="S15" s="76" t="s">
        <v>527</v>
      </c>
      <c r="T15" s="76" t="s">
        <v>527</v>
      </c>
      <c r="U15" s="76" t="s">
        <v>527</v>
      </c>
      <c r="V15" s="76" t="s">
        <v>527</v>
      </c>
      <c r="W15" s="76" t="s">
        <v>527</v>
      </c>
      <c r="X15" s="76" t="s">
        <v>527</v>
      </c>
      <c r="Y15" s="76" t="s">
        <v>527</v>
      </c>
      <c r="Z15" s="76" t="s">
        <v>527</v>
      </c>
      <c r="AA15" s="76" t="s">
        <v>527</v>
      </c>
      <c r="AB15" s="76" t="s">
        <v>527</v>
      </c>
      <c r="AC15" s="76">
        <v>653.14929600000005</v>
      </c>
      <c r="AD15" s="76">
        <v>1012.461811</v>
      </c>
      <c r="AE15" s="76">
        <v>2330.5266470000001</v>
      </c>
      <c r="AF15" s="76">
        <v>2464.2874219999999</v>
      </c>
      <c r="AG15" s="76">
        <v>1586.7355230000001</v>
      </c>
      <c r="AH15" s="76">
        <v>2261.1835350000001</v>
      </c>
      <c r="AI15" s="76">
        <v>2147.8257210000002</v>
      </c>
      <c r="AJ15" s="76">
        <v>2040.4712919999999</v>
      </c>
      <c r="AK15" s="77">
        <v>1979.8159760000001</v>
      </c>
      <c r="AL15" s="83"/>
    </row>
    <row r="16" spans="1:38" ht="16.5" customHeight="1">
      <c r="A16" s="9" t="s">
        <v>1126</v>
      </c>
      <c r="B16" s="76" t="s">
        <v>527</v>
      </c>
      <c r="C16" s="76" t="s">
        <v>527</v>
      </c>
      <c r="D16" s="76" t="s">
        <v>527</v>
      </c>
      <c r="E16" s="76" t="s">
        <v>527</v>
      </c>
      <c r="F16" s="76">
        <v>381</v>
      </c>
      <c r="G16" s="76">
        <v>350</v>
      </c>
      <c r="H16" s="76">
        <v>571</v>
      </c>
      <c r="I16" s="76">
        <v>662</v>
      </c>
      <c r="J16" s="76">
        <v>701</v>
      </c>
      <c r="K16" s="76">
        <v>705</v>
      </c>
      <c r="L16" s="76">
        <v>833</v>
      </c>
      <c r="M16" s="76">
        <v>860</v>
      </c>
      <c r="N16" s="76">
        <v>955.24509999999998</v>
      </c>
      <c r="O16" s="76">
        <v>1023.7081319999999</v>
      </c>
      <c r="P16" s="76">
        <v>1115.35194</v>
      </c>
      <c r="Q16" s="76">
        <v>1190.168551</v>
      </c>
      <c r="R16" s="76">
        <v>1339.431795</v>
      </c>
      <c r="S16" s="76">
        <v>1427.305259</v>
      </c>
      <c r="T16" s="76">
        <v>1431.6725369999999</v>
      </c>
      <c r="U16" s="76">
        <v>1476.0326319999997</v>
      </c>
      <c r="V16" s="76">
        <v>1576.197658</v>
      </c>
      <c r="W16" s="76">
        <v>1699.5838489999999</v>
      </c>
      <c r="X16" s="76">
        <v>1865.7201999999997</v>
      </c>
      <c r="Y16" s="76">
        <v>1930.2944</v>
      </c>
      <c r="Z16" s="76">
        <v>2081.062559</v>
      </c>
      <c r="AA16" s="76">
        <v>2196.117518</v>
      </c>
      <c r="AB16" s="76">
        <v>2172.7471529999998</v>
      </c>
      <c r="AC16" s="76">
        <v>2363.430715</v>
      </c>
      <c r="AD16" s="76">
        <v>2488.8479259999999</v>
      </c>
      <c r="AE16" s="76">
        <v>2564.6256589999998</v>
      </c>
      <c r="AF16" s="76">
        <v>2674.5207209999999</v>
      </c>
      <c r="AG16" s="76">
        <v>2678.1120999999998</v>
      </c>
      <c r="AH16" s="76">
        <v>2755.9249209999998</v>
      </c>
      <c r="AI16" s="76">
        <v>2776.0459599999999</v>
      </c>
      <c r="AJ16" s="76">
        <v>2728.4780609999998</v>
      </c>
      <c r="AK16" s="77">
        <v>2692.6561099999999</v>
      </c>
      <c r="AL16" s="83"/>
    </row>
    <row r="17" spans="1:38" ht="16.5" customHeight="1">
      <c r="A17" s="9" t="s">
        <v>530</v>
      </c>
      <c r="B17" s="76" t="s">
        <v>527</v>
      </c>
      <c r="C17" s="76" t="s">
        <v>527</v>
      </c>
      <c r="D17" s="76" t="s">
        <v>527</v>
      </c>
      <c r="E17" s="76" t="s">
        <v>527</v>
      </c>
      <c r="F17" s="76">
        <v>10558</v>
      </c>
      <c r="G17" s="76">
        <v>10427</v>
      </c>
      <c r="H17" s="76">
        <v>11475</v>
      </c>
      <c r="I17" s="76">
        <v>10528</v>
      </c>
      <c r="J17" s="76">
        <v>10737</v>
      </c>
      <c r="K17" s="76">
        <v>10231</v>
      </c>
      <c r="L17" s="76">
        <v>10668</v>
      </c>
      <c r="M17" s="76">
        <v>10559</v>
      </c>
      <c r="N17" s="76">
        <v>11530.220300000001</v>
      </c>
      <c r="O17" s="76">
        <v>12056.0676</v>
      </c>
      <c r="P17" s="76">
        <v>12284.382321999999</v>
      </c>
      <c r="Q17" s="76">
        <v>12902.056581000001</v>
      </c>
      <c r="R17" s="76">
        <v>13843.512074999999</v>
      </c>
      <c r="S17" s="76">
        <v>14178.091572000001</v>
      </c>
      <c r="T17" s="76">
        <v>13663.224326</v>
      </c>
      <c r="U17" s="76">
        <v>13606.195594000001</v>
      </c>
      <c r="V17" s="76">
        <v>14354.281087000001</v>
      </c>
      <c r="W17" s="76">
        <v>14417.698761</v>
      </c>
      <c r="X17" s="76">
        <v>14721.465516</v>
      </c>
      <c r="Y17" s="76">
        <v>16137.9522</v>
      </c>
      <c r="Z17" s="76">
        <v>16849.920437000001</v>
      </c>
      <c r="AA17" s="76">
        <v>16805.109970000001</v>
      </c>
      <c r="AB17" s="76">
        <v>16406.938677999999</v>
      </c>
      <c r="AC17" s="76">
        <v>17316.613255</v>
      </c>
      <c r="AD17" s="76">
        <v>17516.432841999998</v>
      </c>
      <c r="AE17" s="76">
        <v>18004.627035000001</v>
      </c>
      <c r="AF17" s="76">
        <v>18339.048674999998</v>
      </c>
      <c r="AG17" s="76">
        <v>18283.014310999999</v>
      </c>
      <c r="AH17" s="76">
        <v>18356.560739</v>
      </c>
      <c r="AI17" s="76">
        <v>17591.049738000002</v>
      </c>
      <c r="AJ17" s="76">
        <v>16914.100309000001</v>
      </c>
      <c r="AK17" s="77">
        <v>17365.828963</v>
      </c>
      <c r="AL17" s="85"/>
    </row>
    <row r="18" spans="1:38" ht="16.5" customHeight="1">
      <c r="A18" s="9" t="s">
        <v>1127</v>
      </c>
      <c r="B18" s="76" t="s">
        <v>527</v>
      </c>
      <c r="C18" s="76" t="s">
        <v>527</v>
      </c>
      <c r="D18" s="76" t="s">
        <v>527</v>
      </c>
      <c r="E18" s="76" t="s">
        <v>527</v>
      </c>
      <c r="F18" s="76">
        <v>219</v>
      </c>
      <c r="G18" s="76">
        <v>306</v>
      </c>
      <c r="H18" s="76">
        <v>193</v>
      </c>
      <c r="I18" s="76">
        <v>195</v>
      </c>
      <c r="J18" s="76">
        <v>199</v>
      </c>
      <c r="K18" s="76">
        <v>188</v>
      </c>
      <c r="L18" s="76">
        <v>187</v>
      </c>
      <c r="M18" s="76">
        <v>187</v>
      </c>
      <c r="N18" s="76">
        <v>184.16370000000001</v>
      </c>
      <c r="O18" s="76">
        <v>189.170345</v>
      </c>
      <c r="P18" s="76">
        <v>181.71669800000001</v>
      </c>
      <c r="Q18" s="76">
        <v>186.10567</v>
      </c>
      <c r="R18" s="76">
        <v>191.89107100000004</v>
      </c>
      <c r="S18" s="76">
        <v>186.99797199999998</v>
      </c>
      <c r="T18" s="76">
        <v>187.793553</v>
      </c>
      <c r="U18" s="76">
        <v>176.144657</v>
      </c>
      <c r="V18" s="76">
        <v>173.21470899999997</v>
      </c>
      <c r="W18" s="76">
        <v>172.98174700000001</v>
      </c>
      <c r="X18" s="76">
        <v>163.88912900000003</v>
      </c>
      <c r="Y18" s="76">
        <v>155.51650000000001</v>
      </c>
      <c r="Z18" s="76">
        <v>160.68531200000001</v>
      </c>
      <c r="AA18" s="76">
        <v>168.066937</v>
      </c>
      <c r="AB18" s="76">
        <v>158.87200799999999</v>
      </c>
      <c r="AC18" s="76">
        <v>160.306691</v>
      </c>
      <c r="AD18" s="76">
        <v>161.88904700000001</v>
      </c>
      <c r="AE18" s="76">
        <v>156.31329400000001</v>
      </c>
      <c r="AF18" s="76">
        <v>157.73160200000001</v>
      </c>
      <c r="AG18" s="76">
        <v>146.21782099999999</v>
      </c>
      <c r="AH18" s="76">
        <v>153.97867400000001</v>
      </c>
      <c r="AI18" s="76">
        <v>140.21642199999999</v>
      </c>
      <c r="AJ18" s="76">
        <v>126.282285</v>
      </c>
      <c r="AK18" s="77">
        <v>125.805218</v>
      </c>
      <c r="AL18" s="85"/>
    </row>
    <row r="19" spans="1:38" ht="16.5" customHeight="1">
      <c r="A19" s="9" t="s">
        <v>528</v>
      </c>
      <c r="B19" s="76">
        <v>4197</v>
      </c>
      <c r="C19" s="76">
        <v>4128</v>
      </c>
      <c r="D19" s="76">
        <v>4592</v>
      </c>
      <c r="E19" s="76">
        <v>4513</v>
      </c>
      <c r="F19" s="76">
        <v>6516</v>
      </c>
      <c r="G19" s="76">
        <v>6534</v>
      </c>
      <c r="H19" s="76">
        <v>7082</v>
      </c>
      <c r="I19" s="76">
        <v>7344</v>
      </c>
      <c r="J19" s="76">
        <v>7320</v>
      </c>
      <c r="K19" s="76">
        <v>6940</v>
      </c>
      <c r="L19" s="76">
        <v>7996</v>
      </c>
      <c r="M19" s="76">
        <v>8244</v>
      </c>
      <c r="N19" s="76">
        <v>8350.4012999999995</v>
      </c>
      <c r="O19" s="76">
        <v>8037.4858980000008</v>
      </c>
      <c r="P19" s="76">
        <v>8702.2589120000011</v>
      </c>
      <c r="Q19" s="76">
        <v>8764.0169889999997</v>
      </c>
      <c r="R19" s="76">
        <v>9399.8729629999998</v>
      </c>
      <c r="S19" s="76">
        <v>9543.5642550000011</v>
      </c>
      <c r="T19" s="76">
        <v>9499.8287029999992</v>
      </c>
      <c r="U19" s="76">
        <v>9555.383124</v>
      </c>
      <c r="V19" s="76">
        <v>9715.2788890000011</v>
      </c>
      <c r="W19" s="76">
        <v>9470.1332469999998</v>
      </c>
      <c r="X19" s="76">
        <v>10358.926487000002</v>
      </c>
      <c r="Y19" s="76">
        <v>11136.821900000001</v>
      </c>
      <c r="Z19" s="76">
        <v>11031.999811</v>
      </c>
      <c r="AA19" s="76">
        <v>11129.418953</v>
      </c>
      <c r="AB19" s="76">
        <v>10773.7353</v>
      </c>
      <c r="AC19" s="76">
        <v>11314.228574000001</v>
      </c>
      <c r="AD19" s="76">
        <v>11120.63185</v>
      </c>
      <c r="AE19" s="76">
        <v>11735.558829</v>
      </c>
      <c r="AF19" s="76">
        <v>11599.846942</v>
      </c>
      <c r="AG19" s="76">
        <v>11687.41799</v>
      </c>
      <c r="AH19" s="76">
        <v>11767.703304999999</v>
      </c>
      <c r="AI19" s="76">
        <v>12250.669639</v>
      </c>
      <c r="AJ19" s="76">
        <v>12609.891154999999</v>
      </c>
      <c r="AK19" s="77">
        <v>12707.307116</v>
      </c>
      <c r="AL19" s="83"/>
    </row>
    <row r="20" spans="1:38" ht="16.5" customHeight="1">
      <c r="A20" s="10" t="s">
        <v>1128</v>
      </c>
      <c r="B20" s="76" t="s">
        <v>527</v>
      </c>
      <c r="C20" s="76" t="s">
        <v>527</v>
      </c>
      <c r="D20" s="76" t="s">
        <v>527</v>
      </c>
      <c r="E20" s="76" t="s">
        <v>527</v>
      </c>
      <c r="F20" s="76" t="s">
        <v>527</v>
      </c>
      <c r="G20" s="76">
        <v>364</v>
      </c>
      <c r="H20" s="76">
        <v>431</v>
      </c>
      <c r="I20" s="76">
        <v>454</v>
      </c>
      <c r="J20" s="76">
        <v>495</v>
      </c>
      <c r="K20" s="76">
        <v>562</v>
      </c>
      <c r="L20" s="76">
        <v>577</v>
      </c>
      <c r="M20" s="76">
        <v>607</v>
      </c>
      <c r="N20" s="76">
        <v>390.9409</v>
      </c>
      <c r="O20" s="76">
        <v>531.07757100000003</v>
      </c>
      <c r="P20" s="76">
        <v>513.41098099999999</v>
      </c>
      <c r="Q20" s="76">
        <v>558.98629999999991</v>
      </c>
      <c r="R20" s="76">
        <v>587.65657799999997</v>
      </c>
      <c r="S20" s="76">
        <v>625.77712400000007</v>
      </c>
      <c r="T20" s="76">
        <v>650.98968500000001</v>
      </c>
      <c r="U20" s="76">
        <v>688.58305900000005</v>
      </c>
      <c r="V20" s="76">
        <v>703.84377199999994</v>
      </c>
      <c r="W20" s="76">
        <v>738.47902800000008</v>
      </c>
      <c r="X20" s="76">
        <v>753.30440099999998</v>
      </c>
      <c r="Y20" s="76">
        <v>777.72930000000008</v>
      </c>
      <c r="Z20" s="76">
        <v>843.926016</v>
      </c>
      <c r="AA20" s="76">
        <v>881.04851499999995</v>
      </c>
      <c r="AB20" s="76">
        <v>841.18544899999995</v>
      </c>
      <c r="AC20" s="76">
        <v>846.28385000000003</v>
      </c>
      <c r="AD20" s="76">
        <v>851.33871699999997</v>
      </c>
      <c r="AE20" s="76">
        <v>851.65238199999999</v>
      </c>
      <c r="AF20" s="76">
        <v>863.76945699999999</v>
      </c>
      <c r="AG20" s="76">
        <v>871.27002600000003</v>
      </c>
      <c r="AH20" s="76">
        <v>865.04832399999998</v>
      </c>
      <c r="AI20" s="76">
        <v>863.55728899999997</v>
      </c>
      <c r="AJ20" s="76">
        <v>851.11984399999994</v>
      </c>
      <c r="AK20" s="77">
        <v>838.53669000000002</v>
      </c>
      <c r="AL20" s="83"/>
    </row>
    <row r="21" spans="1:38" ht="16.5" customHeight="1">
      <c r="A21" s="9" t="s">
        <v>1129</v>
      </c>
      <c r="B21" s="76" t="s">
        <v>527</v>
      </c>
      <c r="C21" s="76" t="s">
        <v>527</v>
      </c>
      <c r="D21" s="76" t="s">
        <v>527</v>
      </c>
      <c r="E21" s="76" t="s">
        <v>527</v>
      </c>
      <c r="F21" s="76" t="s">
        <v>527</v>
      </c>
      <c r="G21" s="76" t="s">
        <v>527</v>
      </c>
      <c r="H21" s="76">
        <v>286</v>
      </c>
      <c r="I21" s="76">
        <v>282</v>
      </c>
      <c r="J21" s="76">
        <v>271</v>
      </c>
      <c r="K21" s="76">
        <v>260</v>
      </c>
      <c r="L21" s="76">
        <v>260</v>
      </c>
      <c r="M21" s="76">
        <v>260</v>
      </c>
      <c r="N21" s="76">
        <v>255.38840000000002</v>
      </c>
      <c r="O21" s="76">
        <v>254.21924200000004</v>
      </c>
      <c r="P21" s="76">
        <v>280.125878</v>
      </c>
      <c r="Q21" s="76">
        <v>294.71404899999999</v>
      </c>
      <c r="R21" s="76">
        <v>298.132858</v>
      </c>
      <c r="S21" s="76">
        <v>295.33117599999997</v>
      </c>
      <c r="T21" s="76">
        <v>301.363563</v>
      </c>
      <c r="U21" s="76">
        <v>366.84362800000002</v>
      </c>
      <c r="V21" s="76">
        <v>356.984306</v>
      </c>
      <c r="W21" s="76">
        <v>359.19848399999995</v>
      </c>
      <c r="X21" s="76">
        <v>359.85686900000002</v>
      </c>
      <c r="Y21" s="76">
        <v>380.78190000000001</v>
      </c>
      <c r="Z21" s="76">
        <v>390.45811700000002</v>
      </c>
      <c r="AA21" s="76">
        <v>364.67172900000003</v>
      </c>
      <c r="AB21" s="76">
        <v>389.20500600000003</v>
      </c>
      <c r="AC21" s="76">
        <v>389.38419099999999</v>
      </c>
      <c r="AD21" s="76">
        <v>402.115701</v>
      </c>
      <c r="AE21" s="76">
        <v>402.30593399999998</v>
      </c>
      <c r="AF21" s="76">
        <v>414.20945999999998</v>
      </c>
      <c r="AG21" s="76">
        <v>450.52650199999999</v>
      </c>
      <c r="AH21" s="76">
        <v>489.35633300000001</v>
      </c>
      <c r="AI21" s="76">
        <v>486.03749599999998</v>
      </c>
      <c r="AJ21" s="76">
        <v>519.78385800000001</v>
      </c>
      <c r="AK21" s="77">
        <v>546.56959700000004</v>
      </c>
      <c r="AL21" s="83"/>
    </row>
    <row r="22" spans="1:38" ht="16.5" customHeight="1">
      <c r="A22" s="9" t="s">
        <v>1130</v>
      </c>
      <c r="B22" s="76" t="s">
        <v>527</v>
      </c>
      <c r="C22" s="76" t="s">
        <v>527</v>
      </c>
      <c r="D22" s="76" t="s">
        <v>527</v>
      </c>
      <c r="E22" s="76" t="s">
        <v>527</v>
      </c>
      <c r="F22" s="76">
        <v>390</v>
      </c>
      <c r="G22" s="76">
        <v>439</v>
      </c>
      <c r="H22" s="76">
        <v>124</v>
      </c>
      <c r="I22" s="76">
        <v>148</v>
      </c>
      <c r="J22" s="76">
        <v>182</v>
      </c>
      <c r="K22" s="76">
        <v>251</v>
      </c>
      <c r="L22" s="76">
        <v>232</v>
      </c>
      <c r="M22" s="76">
        <v>273</v>
      </c>
      <c r="N22" s="76">
        <v>515.5963999999949</v>
      </c>
      <c r="O22" s="76">
        <v>579.27095199999894</v>
      </c>
      <c r="P22" s="76">
        <v>654.07030799999484</v>
      </c>
      <c r="Q22" s="76">
        <v>699.01640200000111</v>
      </c>
      <c r="R22" s="76">
        <v>632.40979800000787</v>
      </c>
      <c r="S22" s="76">
        <v>667.59748699999909</v>
      </c>
      <c r="T22" s="76">
        <v>682.52739499999007</v>
      </c>
      <c r="U22" s="76">
        <v>628.79707700001018</v>
      </c>
      <c r="V22" s="76">
        <v>745.12879600000451</v>
      </c>
      <c r="W22" s="76">
        <v>841.65538500000548</v>
      </c>
      <c r="X22" s="76">
        <v>890.82436499999312</v>
      </c>
      <c r="Y22" s="76">
        <v>966.1105000000025</v>
      </c>
      <c r="Z22" s="76">
        <v>1155.9272169999999</v>
      </c>
      <c r="AA22" s="76">
        <v>1253.9602890000001</v>
      </c>
      <c r="AB22" s="76">
        <v>1314.7709150000001</v>
      </c>
      <c r="AC22" s="76">
        <v>1379.3117219999999</v>
      </c>
      <c r="AD22" s="76">
        <v>1485.809925</v>
      </c>
      <c r="AE22" s="76">
        <v>1494.6165370000001</v>
      </c>
      <c r="AF22" s="76">
        <v>1534.0180089999999</v>
      </c>
      <c r="AG22" s="76">
        <v>1487.977903</v>
      </c>
      <c r="AH22" s="76">
        <v>1522.03243</v>
      </c>
      <c r="AI22" s="76">
        <v>1494.7848240000001</v>
      </c>
      <c r="AJ22" s="76">
        <v>1456.074891</v>
      </c>
      <c r="AK22" s="77">
        <v>1453.218335</v>
      </c>
      <c r="AL22" s="83"/>
    </row>
    <row r="23" spans="1:38" s="79" customFormat="1" ht="16.5" customHeight="1">
      <c r="A23" s="11" t="s">
        <v>1131</v>
      </c>
      <c r="B23" s="71">
        <v>17064</v>
      </c>
      <c r="C23" s="71">
        <v>13260</v>
      </c>
      <c r="D23" s="71">
        <v>6179</v>
      </c>
      <c r="E23" s="71">
        <v>3931</v>
      </c>
      <c r="F23" s="71">
        <v>4503</v>
      </c>
      <c r="G23" s="71">
        <v>4825</v>
      </c>
      <c r="H23" s="71">
        <v>6057</v>
      </c>
      <c r="I23" s="71">
        <v>6273</v>
      </c>
      <c r="J23" s="71">
        <v>6091</v>
      </c>
      <c r="K23" s="71">
        <v>6199</v>
      </c>
      <c r="L23" s="71">
        <v>5921</v>
      </c>
      <c r="M23" s="71">
        <v>5545</v>
      </c>
      <c r="N23" s="71">
        <v>5050</v>
      </c>
      <c r="O23" s="71">
        <v>5166</v>
      </c>
      <c r="P23" s="71">
        <v>5304</v>
      </c>
      <c r="Q23" s="71">
        <v>5330</v>
      </c>
      <c r="R23" s="71">
        <v>5573.9916949999997</v>
      </c>
      <c r="S23" s="71">
        <v>5571</v>
      </c>
      <c r="T23" s="71">
        <v>5313.8277230000003</v>
      </c>
      <c r="U23" s="71">
        <v>5679.9337930000002</v>
      </c>
      <c r="V23" s="71">
        <v>5510.88</v>
      </c>
      <c r="W23" s="71">
        <v>5381.3719999999994</v>
      </c>
      <c r="X23" s="71">
        <v>5409.8040000000001</v>
      </c>
      <c r="Y23" s="71">
        <v>5782.8180000000002</v>
      </c>
      <c r="Z23" s="71">
        <v>6178.5059999999994</v>
      </c>
      <c r="AA23" s="71">
        <v>5914.0330000000004</v>
      </c>
      <c r="AB23" s="71">
        <v>6419.7687269999997</v>
      </c>
      <c r="AC23" s="73">
        <v>6567.8390909999989</v>
      </c>
      <c r="AD23" s="73">
        <v>6803.8689760000007</v>
      </c>
      <c r="AE23" s="73">
        <v>6809.5782929999996</v>
      </c>
      <c r="AF23" s="73">
        <v>6674.6818009999997</v>
      </c>
      <c r="AG23" s="73">
        <v>6535.9028010000002</v>
      </c>
      <c r="AH23" s="73">
        <v>6520.4109099999996</v>
      </c>
      <c r="AI23" s="73">
        <v>6563.3325960000002</v>
      </c>
      <c r="AJ23" s="73">
        <v>6361.2704389999999</v>
      </c>
      <c r="AK23" s="73">
        <v>6419.8326479999996</v>
      </c>
    </row>
    <row r="24" spans="1:38" s="79" customFormat="1" ht="16.5" customHeight="1">
      <c r="A24" s="11" t="s">
        <v>1132</v>
      </c>
      <c r="B24" s="73" t="s">
        <v>532</v>
      </c>
      <c r="C24" s="73" t="s">
        <v>532</v>
      </c>
      <c r="D24" s="73" t="s">
        <v>532</v>
      </c>
      <c r="E24" s="73" t="s">
        <v>532</v>
      </c>
      <c r="F24" s="73" t="s">
        <v>532</v>
      </c>
      <c r="G24" s="73" t="s">
        <v>532</v>
      </c>
      <c r="H24" s="71">
        <v>11418</v>
      </c>
      <c r="I24" s="73" t="s">
        <v>532</v>
      </c>
      <c r="J24" s="73" t="s">
        <v>532</v>
      </c>
      <c r="K24" s="73" t="s">
        <v>532</v>
      </c>
      <c r="L24" s="73" t="s">
        <v>532</v>
      </c>
      <c r="M24" s="73">
        <v>10821</v>
      </c>
      <c r="N24" s="73" t="s">
        <v>532</v>
      </c>
      <c r="O24" s="73" t="s">
        <v>532</v>
      </c>
      <c r="P24" s="73" t="s">
        <v>532</v>
      </c>
      <c r="Q24" s="73" t="s">
        <v>532</v>
      </c>
      <c r="R24" s="73" t="s">
        <v>532</v>
      </c>
      <c r="S24" s="73">
        <v>24779</v>
      </c>
      <c r="T24" s="73" t="s">
        <v>532</v>
      </c>
      <c r="U24" s="73" t="s">
        <v>532</v>
      </c>
      <c r="V24" s="73" t="s">
        <v>532</v>
      </c>
      <c r="W24" s="73" t="s">
        <v>532</v>
      </c>
      <c r="X24" s="73" t="s">
        <v>532</v>
      </c>
      <c r="Y24" s="73" t="s">
        <v>532</v>
      </c>
      <c r="Z24" s="73" t="s">
        <v>532</v>
      </c>
      <c r="AA24" s="71">
        <v>27943</v>
      </c>
      <c r="AB24" s="73" t="s">
        <v>532</v>
      </c>
      <c r="AC24" s="73" t="s">
        <v>532</v>
      </c>
      <c r="AD24" s="73" t="s">
        <v>532</v>
      </c>
      <c r="AE24" s="73" t="s">
        <v>532</v>
      </c>
      <c r="AF24" s="73" t="s">
        <v>532</v>
      </c>
      <c r="AG24" s="73" t="s">
        <v>532</v>
      </c>
      <c r="AH24" s="73" t="s">
        <v>532</v>
      </c>
      <c r="AI24" s="73">
        <v>33651</v>
      </c>
      <c r="AJ24" s="73" t="s">
        <v>532</v>
      </c>
      <c r="AK24" s="73" t="s">
        <v>532</v>
      </c>
    </row>
    <row r="25" spans="1:38" s="79" customFormat="1" ht="16.5" customHeight="1" thickBot="1">
      <c r="A25" s="11" t="s">
        <v>1133</v>
      </c>
      <c r="B25" s="86" t="s">
        <v>532</v>
      </c>
      <c r="C25" s="86" t="s">
        <v>532</v>
      </c>
      <c r="D25" s="86" t="s">
        <v>532</v>
      </c>
      <c r="E25" s="86" t="s">
        <v>532</v>
      </c>
      <c r="F25" s="86" t="s">
        <v>532</v>
      </c>
      <c r="G25" s="86" t="s">
        <v>532</v>
      </c>
      <c r="H25" s="87">
        <v>3471</v>
      </c>
      <c r="I25" s="86" t="s">
        <v>532</v>
      </c>
      <c r="J25" s="86" t="s">
        <v>532</v>
      </c>
      <c r="K25" s="86" t="s">
        <v>532</v>
      </c>
      <c r="L25" s="86" t="s">
        <v>532</v>
      </c>
      <c r="M25" s="86">
        <v>4593</v>
      </c>
      <c r="N25" s="86" t="s">
        <v>532</v>
      </c>
      <c r="O25" s="86" t="s">
        <v>532</v>
      </c>
      <c r="P25" s="86" t="s">
        <v>532</v>
      </c>
      <c r="Q25" s="86" t="s">
        <v>532</v>
      </c>
      <c r="R25" s="86" t="s">
        <v>532</v>
      </c>
      <c r="S25" s="87">
        <v>6266</v>
      </c>
      <c r="T25" s="86" t="s">
        <v>532</v>
      </c>
      <c r="U25" s="86" t="s">
        <v>532</v>
      </c>
      <c r="V25" s="86" t="s">
        <v>532</v>
      </c>
      <c r="W25" s="86" t="s">
        <v>532</v>
      </c>
      <c r="X25" s="86" t="s">
        <v>532</v>
      </c>
      <c r="Y25" s="86" t="s">
        <v>532</v>
      </c>
      <c r="Z25" s="86" t="s">
        <v>532</v>
      </c>
      <c r="AA25" s="87">
        <v>8956</v>
      </c>
      <c r="AB25" s="86" t="s">
        <v>532</v>
      </c>
      <c r="AC25" s="86" t="s">
        <v>532</v>
      </c>
      <c r="AD25" s="86" t="s">
        <v>532</v>
      </c>
      <c r="AE25" s="86" t="s">
        <v>532</v>
      </c>
      <c r="AF25" s="86" t="s">
        <v>532</v>
      </c>
      <c r="AG25" s="86" t="s">
        <v>532</v>
      </c>
      <c r="AH25" s="86" t="s">
        <v>532</v>
      </c>
      <c r="AI25" s="86">
        <v>8499</v>
      </c>
      <c r="AJ25" s="86" t="s">
        <v>532</v>
      </c>
      <c r="AK25" s="86" t="s">
        <v>532</v>
      </c>
    </row>
    <row r="26" spans="1:38" s="89" customFormat="1" ht="12.75" customHeight="1">
      <c r="A26" s="88" t="s">
        <v>1134</v>
      </c>
      <c r="B26" s="88"/>
      <c r="C26" s="88"/>
      <c r="D26" s="88"/>
      <c r="E26" s="88"/>
      <c r="F26" s="88"/>
      <c r="G26" s="88"/>
      <c r="H26" s="88"/>
      <c r="I26" s="88"/>
      <c r="J26" s="88"/>
      <c r="K26" s="88"/>
      <c r="L26" s="88"/>
      <c r="M26" s="88"/>
      <c r="N26" s="88"/>
      <c r="O26" s="88"/>
      <c r="P26" s="88"/>
      <c r="Q26" s="88"/>
      <c r="R26" s="88"/>
      <c r="S26" s="88"/>
      <c r="T26" s="88"/>
      <c r="U26" s="88"/>
      <c r="V26" s="88"/>
      <c r="W26" s="88"/>
      <c r="X26" s="88"/>
      <c r="Y26" s="88"/>
      <c r="Z26" s="88"/>
    </row>
    <row r="27" spans="1:38" s="90" customFormat="1" ht="12.7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spans="1:38" s="89" customFormat="1" ht="38.25" customHeight="1">
      <c r="A28" s="91" t="s">
        <v>1135</v>
      </c>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38" s="89" customFormat="1" ht="12.75" customHeight="1">
      <c r="A29" s="91" t="s">
        <v>1136</v>
      </c>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38" s="89" customFormat="1" ht="12.75" customHeight="1">
      <c r="A30" s="91" t="s">
        <v>1137</v>
      </c>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38" s="89" customFormat="1" ht="25.5" customHeight="1">
      <c r="A31" s="91" t="s">
        <v>1138</v>
      </c>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38" s="89" customFormat="1" ht="12.75" customHeight="1">
      <c r="A32" s="91" t="s">
        <v>1139</v>
      </c>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s="89" customFormat="1" ht="12.75" customHeight="1">
      <c r="A33" s="91" t="s">
        <v>1140</v>
      </c>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s="89" customFormat="1" ht="12.75" customHeight="1">
      <c r="A34" s="91" t="s">
        <v>1141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spans="1:26" s="89" customFormat="1" ht="12.75" customHeight="1">
      <c r="A35" s="92" t="s">
        <v>1142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s="89" customFormat="1" ht="12.75" customHeight="1">
      <c r="A36" s="91" t="s">
        <v>1143</v>
      </c>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spans="1:26" s="89" customFormat="1" ht="25.5" customHeight="1">
      <c r="A37" s="91" t="s">
        <v>1144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s="89" customFormat="1" ht="12.75" customHeight="1"/>
    <row r="39" spans="1:26" s="89" customFormat="1" ht="12.75" customHeight="1">
      <c r="A39" s="93" t="s">
        <v>526</v>
      </c>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s="89" customFormat="1" ht="12.75" customHeight="1">
      <c r="A40" s="94" t="s">
        <v>1145</v>
      </c>
      <c r="B40" s="94"/>
      <c r="C40" s="94"/>
      <c r="D40" s="94"/>
      <c r="E40" s="94"/>
      <c r="F40" s="94"/>
      <c r="G40" s="94"/>
      <c r="H40" s="94"/>
      <c r="I40" s="94"/>
      <c r="J40" s="94"/>
      <c r="K40" s="94"/>
      <c r="L40" s="94"/>
      <c r="M40" s="94"/>
      <c r="N40" s="94"/>
      <c r="O40" s="94"/>
      <c r="P40" s="94"/>
      <c r="Q40" s="94"/>
      <c r="R40" s="94"/>
      <c r="S40" s="94"/>
      <c r="T40" s="94"/>
      <c r="U40" s="94"/>
      <c r="V40" s="94"/>
      <c r="W40" s="94"/>
      <c r="X40" s="94"/>
      <c r="Y40" s="94"/>
      <c r="Z40" s="94"/>
    </row>
    <row r="41" spans="1:26" s="89" customFormat="1" ht="38.25" customHeight="1">
      <c r="A41" s="94" t="s">
        <v>525</v>
      </c>
      <c r="B41" s="94"/>
      <c r="C41" s="94"/>
      <c r="D41" s="94"/>
      <c r="E41" s="94"/>
      <c r="F41" s="94"/>
      <c r="G41" s="94"/>
      <c r="H41" s="94"/>
      <c r="I41" s="94"/>
      <c r="J41" s="94"/>
      <c r="K41" s="94"/>
      <c r="L41" s="94"/>
      <c r="M41" s="94"/>
      <c r="N41" s="94"/>
      <c r="O41" s="94"/>
      <c r="P41" s="94"/>
      <c r="Q41" s="94"/>
      <c r="R41" s="94"/>
      <c r="S41" s="94"/>
      <c r="T41" s="94"/>
      <c r="U41" s="94"/>
      <c r="V41" s="94"/>
      <c r="W41" s="94"/>
      <c r="X41" s="94"/>
      <c r="Y41" s="94"/>
      <c r="Z41" s="94"/>
    </row>
    <row r="42" spans="1:26" s="89" customFormat="1" ht="25.5" customHeight="1">
      <c r="A42" s="94" t="s">
        <v>1146</v>
      </c>
      <c r="B42" s="94"/>
      <c r="C42" s="94"/>
      <c r="D42" s="94"/>
      <c r="E42" s="94"/>
      <c r="F42" s="94"/>
      <c r="G42" s="94"/>
      <c r="H42" s="94"/>
      <c r="I42" s="94"/>
      <c r="J42" s="94"/>
      <c r="K42" s="94"/>
      <c r="L42" s="94"/>
      <c r="M42" s="94"/>
      <c r="N42" s="94"/>
      <c r="O42" s="94"/>
      <c r="P42" s="94"/>
      <c r="Q42" s="94"/>
      <c r="R42" s="94"/>
      <c r="S42" s="94"/>
      <c r="T42" s="94"/>
      <c r="U42" s="94"/>
      <c r="V42" s="94"/>
      <c r="W42" s="94"/>
      <c r="X42" s="94"/>
      <c r="Y42" s="94"/>
      <c r="Z42" s="94"/>
    </row>
    <row r="43" spans="1:26" s="89" customFormat="1" ht="25.5" customHeight="1">
      <c r="A43" s="94" t="s">
        <v>1147</v>
      </c>
      <c r="B43" s="94"/>
      <c r="C43" s="94"/>
      <c r="D43" s="94"/>
      <c r="E43" s="94"/>
      <c r="F43" s="94"/>
      <c r="G43" s="94"/>
      <c r="H43" s="94"/>
      <c r="I43" s="94"/>
      <c r="J43" s="94"/>
      <c r="K43" s="94"/>
      <c r="L43" s="94"/>
      <c r="M43" s="94"/>
      <c r="N43" s="94"/>
      <c r="O43" s="94"/>
      <c r="P43" s="94"/>
      <c r="Q43" s="94"/>
      <c r="R43" s="94"/>
      <c r="S43" s="94"/>
      <c r="T43" s="94"/>
      <c r="U43" s="94"/>
      <c r="V43" s="94"/>
      <c r="W43" s="94"/>
      <c r="X43" s="94"/>
      <c r="Y43" s="94"/>
      <c r="Z43" s="94"/>
    </row>
    <row r="44" spans="1:26" s="89" customFormat="1" ht="12.75" customHeight="1">
      <c r="A44" s="94" t="s">
        <v>524</v>
      </c>
      <c r="B44" s="94"/>
      <c r="C44" s="94"/>
      <c r="D44" s="94"/>
      <c r="E44" s="94"/>
      <c r="F44" s="94"/>
      <c r="G44" s="94"/>
      <c r="H44" s="94"/>
      <c r="I44" s="94"/>
      <c r="J44" s="94"/>
      <c r="K44" s="94"/>
      <c r="L44" s="94"/>
      <c r="M44" s="94"/>
      <c r="N44" s="94"/>
      <c r="O44" s="94"/>
      <c r="P44" s="94"/>
      <c r="Q44" s="94"/>
      <c r="R44" s="94"/>
      <c r="S44" s="94"/>
      <c r="T44" s="94"/>
      <c r="U44" s="94"/>
      <c r="V44" s="94"/>
      <c r="W44" s="94"/>
      <c r="X44" s="94"/>
      <c r="Y44" s="94"/>
      <c r="Z44" s="94"/>
    </row>
    <row r="45" spans="1:26" s="89" customFormat="1" ht="24.8" customHeight="1">
      <c r="A45" s="94" t="s">
        <v>1148</v>
      </c>
      <c r="B45" s="94"/>
      <c r="C45" s="94"/>
      <c r="D45" s="94"/>
      <c r="E45" s="94"/>
      <c r="F45" s="94"/>
      <c r="G45" s="94"/>
      <c r="H45" s="94"/>
      <c r="I45" s="94"/>
      <c r="J45" s="94"/>
      <c r="K45" s="94"/>
      <c r="L45" s="94"/>
      <c r="M45" s="94"/>
      <c r="N45" s="94"/>
      <c r="O45" s="94"/>
      <c r="P45" s="94"/>
      <c r="Q45" s="94"/>
      <c r="R45" s="94"/>
      <c r="S45" s="94"/>
      <c r="T45" s="94"/>
      <c r="U45" s="94"/>
      <c r="V45" s="94"/>
      <c r="W45" s="94"/>
      <c r="X45" s="94"/>
      <c r="Y45" s="94"/>
      <c r="Z45" s="94"/>
    </row>
    <row r="46" spans="1:26" s="89" customFormat="1" ht="12.75" customHeight="1">
      <c r="A46" s="95" t="s">
        <v>1149</v>
      </c>
      <c r="B46" s="95"/>
      <c r="C46" s="95"/>
      <c r="D46" s="95"/>
      <c r="E46" s="95"/>
      <c r="F46" s="95"/>
      <c r="G46" s="95"/>
      <c r="H46" s="95"/>
      <c r="I46" s="95"/>
      <c r="J46" s="95"/>
      <c r="K46" s="95"/>
      <c r="L46" s="95"/>
      <c r="M46" s="95"/>
      <c r="N46" s="95"/>
      <c r="O46" s="95"/>
      <c r="P46" s="95"/>
      <c r="Q46" s="95"/>
      <c r="R46" s="95"/>
      <c r="S46" s="95"/>
      <c r="T46" s="95"/>
      <c r="U46" s="95"/>
      <c r="V46" s="95"/>
      <c r="W46" s="95"/>
      <c r="X46" s="95"/>
      <c r="Y46" s="95"/>
      <c r="Z46" s="95"/>
    </row>
    <row r="47" spans="1:26" s="89" customFormat="1" ht="12.75" customHeight="1">
      <c r="A47" s="96" t="s">
        <v>523</v>
      </c>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spans="1:26" s="89" customFormat="1" ht="12.75" customHeight="1">
      <c r="A48" s="94" t="s">
        <v>522</v>
      </c>
      <c r="B48" s="94"/>
      <c r="C48" s="94"/>
      <c r="D48" s="94"/>
      <c r="E48" s="94"/>
      <c r="F48" s="94"/>
      <c r="G48" s="94"/>
      <c r="H48" s="94"/>
      <c r="I48" s="94"/>
      <c r="J48" s="94"/>
      <c r="K48" s="94"/>
      <c r="L48" s="94"/>
      <c r="M48" s="94"/>
      <c r="N48" s="94"/>
      <c r="O48" s="94"/>
      <c r="P48" s="94"/>
      <c r="Q48" s="94"/>
      <c r="R48" s="94"/>
      <c r="S48" s="94"/>
      <c r="T48" s="94"/>
      <c r="U48" s="94"/>
      <c r="V48" s="94"/>
      <c r="W48" s="94"/>
      <c r="X48" s="94"/>
      <c r="Y48" s="94"/>
      <c r="Z48" s="94"/>
    </row>
    <row r="49" spans="1:26" s="89" customFormat="1" ht="12.75" customHeight="1">
      <c r="A49" s="94" t="s">
        <v>1150</v>
      </c>
      <c r="B49" s="94"/>
      <c r="C49" s="94"/>
      <c r="D49" s="94"/>
      <c r="E49" s="94"/>
      <c r="F49" s="94"/>
      <c r="G49" s="94"/>
      <c r="H49" s="94"/>
      <c r="I49" s="94"/>
      <c r="J49" s="94"/>
      <c r="K49" s="94"/>
      <c r="L49" s="94"/>
      <c r="M49" s="94"/>
      <c r="N49" s="94"/>
      <c r="O49" s="94"/>
      <c r="P49" s="94"/>
      <c r="Q49" s="94"/>
      <c r="R49" s="94"/>
      <c r="S49" s="94"/>
      <c r="T49" s="94"/>
      <c r="U49" s="94"/>
      <c r="V49" s="94"/>
      <c r="W49" s="94"/>
      <c r="X49" s="94"/>
      <c r="Y49" s="94"/>
      <c r="Z49" s="94"/>
    </row>
    <row r="50" spans="1:26" s="89" customFormat="1" ht="12.75" customHeight="1">
      <c r="A50" s="95"/>
      <c r="B50" s="95"/>
      <c r="C50" s="95"/>
      <c r="D50" s="95"/>
      <c r="E50" s="95"/>
      <c r="F50" s="95"/>
      <c r="G50" s="95"/>
      <c r="H50" s="95"/>
      <c r="I50" s="95"/>
      <c r="J50" s="95"/>
      <c r="K50" s="95"/>
      <c r="L50" s="95"/>
      <c r="M50" s="95"/>
      <c r="N50" s="95"/>
      <c r="O50" s="95"/>
      <c r="P50" s="95"/>
      <c r="Q50" s="95"/>
      <c r="R50" s="95"/>
      <c r="S50" s="95"/>
      <c r="T50" s="95"/>
      <c r="U50" s="95"/>
      <c r="V50" s="95"/>
      <c r="W50" s="95"/>
      <c r="X50" s="95"/>
      <c r="Y50" s="95"/>
      <c r="Z50" s="95"/>
    </row>
    <row r="51" spans="1:26" s="89" customFormat="1" ht="12.75" customHeight="1">
      <c r="A51" s="97" t="s">
        <v>521</v>
      </c>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spans="1:26" s="89" customFormat="1" ht="12.75" customHeight="1">
      <c r="A52" s="97" t="s">
        <v>520</v>
      </c>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spans="1:26" s="89" customFormat="1" ht="12.75" customHeight="1">
      <c r="A53" s="98" t="s">
        <v>1151</v>
      </c>
      <c r="B53" s="98"/>
      <c r="C53" s="98"/>
      <c r="D53" s="98"/>
      <c r="E53" s="98"/>
      <c r="F53" s="98"/>
      <c r="G53" s="98"/>
      <c r="H53" s="98"/>
      <c r="I53" s="98"/>
      <c r="J53" s="98"/>
      <c r="K53" s="98"/>
      <c r="L53" s="98"/>
      <c r="M53" s="98"/>
      <c r="N53" s="98"/>
      <c r="O53" s="98"/>
      <c r="P53" s="98"/>
      <c r="Q53" s="98"/>
      <c r="R53" s="98"/>
      <c r="S53" s="98"/>
      <c r="T53" s="98"/>
      <c r="U53" s="98"/>
      <c r="V53" s="98"/>
      <c r="W53" s="98"/>
      <c r="X53" s="98"/>
      <c r="Y53" s="98"/>
      <c r="Z53" s="98"/>
    </row>
    <row r="54" spans="1:26" s="89" customFormat="1" ht="12.75" customHeight="1">
      <c r="A54" s="99" t="s">
        <v>519</v>
      </c>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spans="1:26" s="89" customFormat="1" ht="12.75" customHeight="1">
      <c r="A55" s="99" t="s">
        <v>1152</v>
      </c>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spans="1:26" s="89" customFormat="1" ht="12.75" customHeight="1">
      <c r="A56" s="95" t="s">
        <v>1153</v>
      </c>
      <c r="B56" s="95"/>
      <c r="C56" s="95"/>
      <c r="D56" s="95"/>
      <c r="E56" s="95"/>
      <c r="F56" s="95"/>
      <c r="G56" s="95"/>
      <c r="H56" s="95"/>
      <c r="I56" s="95"/>
      <c r="J56" s="95"/>
      <c r="K56" s="95"/>
      <c r="L56" s="95"/>
      <c r="M56" s="95"/>
      <c r="N56" s="95"/>
      <c r="O56" s="95"/>
      <c r="P56" s="95"/>
      <c r="Q56" s="95"/>
      <c r="R56" s="95"/>
      <c r="S56" s="95"/>
      <c r="T56" s="95"/>
      <c r="U56" s="95"/>
      <c r="V56" s="95"/>
      <c r="W56" s="95"/>
      <c r="X56" s="95"/>
      <c r="Y56" s="95"/>
      <c r="Z56" s="95"/>
    </row>
    <row r="57" spans="1:26" s="89" customFormat="1" ht="12.75" customHeight="1">
      <c r="A57" s="95" t="s">
        <v>1154</v>
      </c>
      <c r="B57" s="95"/>
      <c r="C57" s="95"/>
      <c r="D57" s="95"/>
      <c r="E57" s="95"/>
      <c r="F57" s="95"/>
      <c r="G57" s="95"/>
      <c r="H57" s="95"/>
      <c r="I57" s="95"/>
      <c r="J57" s="95"/>
      <c r="K57" s="95"/>
      <c r="L57" s="95"/>
      <c r="M57" s="95"/>
      <c r="N57" s="95"/>
      <c r="O57" s="95"/>
      <c r="P57" s="95"/>
      <c r="Q57" s="95"/>
      <c r="R57" s="95"/>
      <c r="S57" s="95"/>
      <c r="T57" s="95"/>
      <c r="U57" s="95"/>
      <c r="V57" s="95"/>
      <c r="W57" s="95"/>
      <c r="X57" s="95"/>
      <c r="Y57" s="95"/>
      <c r="Z57" s="95"/>
    </row>
    <row r="58" spans="1:26" s="89" customFormat="1" ht="12.9" customHeight="1">
      <c r="A58" s="98" t="s">
        <v>1155</v>
      </c>
      <c r="B58" s="98"/>
      <c r="C58" s="98"/>
      <c r="D58" s="98"/>
      <c r="E58" s="98"/>
      <c r="F58" s="98"/>
      <c r="G58" s="98"/>
      <c r="H58" s="98"/>
      <c r="I58" s="98"/>
      <c r="J58" s="98"/>
      <c r="K58" s="98"/>
      <c r="L58" s="98"/>
      <c r="M58" s="98"/>
      <c r="N58" s="98"/>
      <c r="O58" s="98"/>
      <c r="P58" s="98"/>
      <c r="Q58" s="98"/>
      <c r="R58" s="98"/>
      <c r="S58" s="98"/>
      <c r="T58" s="98"/>
      <c r="U58" s="98"/>
      <c r="V58" s="98"/>
      <c r="W58" s="98"/>
      <c r="X58" s="98"/>
      <c r="Y58" s="98"/>
      <c r="Z58" s="98"/>
    </row>
    <row r="59" spans="1:26" s="89" customFormat="1" ht="12.9" customHeight="1">
      <c r="A59" s="95" t="s">
        <v>1156</v>
      </c>
      <c r="B59" s="95"/>
      <c r="C59" s="95"/>
      <c r="D59" s="95"/>
      <c r="E59" s="95"/>
      <c r="F59" s="95"/>
      <c r="G59" s="95"/>
      <c r="H59" s="95"/>
      <c r="I59" s="95"/>
      <c r="J59" s="95"/>
      <c r="K59" s="95"/>
      <c r="L59" s="95"/>
      <c r="M59" s="95"/>
      <c r="N59" s="95"/>
      <c r="O59" s="95"/>
      <c r="P59" s="95"/>
      <c r="Q59" s="95"/>
      <c r="R59" s="95"/>
      <c r="S59" s="95"/>
      <c r="T59" s="95"/>
      <c r="U59" s="95"/>
      <c r="V59" s="95"/>
      <c r="W59" s="95"/>
      <c r="X59" s="95"/>
      <c r="Y59" s="95"/>
      <c r="Z59" s="95"/>
    </row>
    <row r="60" spans="1:26" s="89" customFormat="1" ht="12.75" customHeight="1">
      <c r="A60" s="100" t="s">
        <v>518</v>
      </c>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row>
    <row r="61" spans="1:26" s="89" customFormat="1" ht="12.75" customHeight="1">
      <c r="A61" s="101" t="s">
        <v>1157</v>
      </c>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spans="1:26" s="89" customFormat="1" ht="12.75" customHeight="1">
      <c r="A62" s="95" t="s">
        <v>1158</v>
      </c>
      <c r="B62" s="95"/>
      <c r="C62" s="95"/>
      <c r="D62" s="95"/>
      <c r="E62" s="95"/>
      <c r="F62" s="95"/>
      <c r="G62" s="95"/>
      <c r="H62" s="95"/>
      <c r="I62" s="95"/>
      <c r="J62" s="95"/>
      <c r="K62" s="95"/>
      <c r="L62" s="95"/>
      <c r="M62" s="95"/>
      <c r="N62" s="95"/>
      <c r="O62" s="95"/>
      <c r="P62" s="95"/>
      <c r="Q62" s="95"/>
      <c r="R62" s="95"/>
      <c r="S62" s="95"/>
      <c r="T62" s="95"/>
      <c r="U62" s="95"/>
      <c r="V62" s="95"/>
      <c r="W62" s="95"/>
      <c r="X62" s="95"/>
      <c r="Y62" s="95"/>
      <c r="Z62" s="95"/>
    </row>
    <row r="63" spans="1:26" s="102" customFormat="1" ht="12.75" customHeight="1">
      <c r="A63" s="99" t="s">
        <v>1159</v>
      </c>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spans="1:26" s="102" customFormat="1" ht="12.75" customHeight="1">
      <c r="A64" s="101" t="s">
        <v>513</v>
      </c>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spans="1:26" s="89" customFormat="1" ht="12.75" customHeight="1">
      <c r="A65" s="95" t="s">
        <v>1160</v>
      </c>
      <c r="B65" s="95"/>
      <c r="C65" s="95"/>
      <c r="D65" s="95"/>
      <c r="E65" s="95"/>
      <c r="F65" s="95"/>
      <c r="G65" s="95"/>
      <c r="H65" s="95"/>
      <c r="I65" s="95"/>
      <c r="J65" s="95"/>
      <c r="K65" s="95"/>
      <c r="L65" s="95"/>
      <c r="M65" s="95"/>
      <c r="N65" s="95"/>
      <c r="O65" s="95"/>
      <c r="P65" s="95"/>
      <c r="Q65" s="95"/>
      <c r="R65" s="95"/>
      <c r="S65" s="95"/>
      <c r="T65" s="95"/>
      <c r="U65" s="95"/>
      <c r="V65" s="95"/>
      <c r="W65" s="95"/>
      <c r="X65" s="95"/>
      <c r="Y65" s="95"/>
      <c r="Z65" s="95"/>
    </row>
    <row r="66" spans="1:26" s="102" customFormat="1" ht="12.75" customHeight="1">
      <c r="A66" s="99" t="s">
        <v>1161</v>
      </c>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spans="1:26" s="102" customFormat="1" ht="12.75" customHeight="1">
      <c r="A67" s="100" t="s">
        <v>517</v>
      </c>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spans="1:26" s="102" customFormat="1" ht="12.75" customHeight="1">
      <c r="A68" s="101" t="s">
        <v>516</v>
      </c>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spans="1:26" s="102" customFormat="1" ht="12.75" customHeight="1">
      <c r="A69" s="99" t="s">
        <v>515</v>
      </c>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spans="1:26" s="89" customFormat="1" ht="12.75" customHeight="1">
      <c r="A70" s="99" t="s">
        <v>514</v>
      </c>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spans="1:26" s="89" customFormat="1" ht="12.75" customHeight="1">
      <c r="A71" s="99" t="s">
        <v>1162</v>
      </c>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spans="1:26" s="89" customFormat="1" ht="12.75" customHeight="1">
      <c r="A72" s="99" t="s">
        <v>1163</v>
      </c>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spans="1:26" s="89" customFormat="1" ht="12.75" customHeight="1">
      <c r="A73" s="101" t="s">
        <v>513</v>
      </c>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spans="1:26" s="102" customFormat="1" ht="12.75" customHeight="1">
      <c r="A74" s="99" t="s">
        <v>512</v>
      </c>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spans="1:26" s="89" customFormat="1" ht="12.75" customHeight="1">
      <c r="A75" s="99" t="s">
        <v>1164</v>
      </c>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spans="1:26" s="89" customFormat="1" ht="12.75" customHeight="1">
      <c r="A76" s="99" t="s">
        <v>1165</v>
      </c>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spans="1:26" s="89" customFormat="1" ht="12.75" customHeight="1">
      <c r="A77" s="100" t="s">
        <v>1166</v>
      </c>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spans="1:26" s="89" customFormat="1" ht="12.75" customHeight="1">
      <c r="A78" s="99" t="s">
        <v>511</v>
      </c>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spans="1:26" s="89" customFormat="1" ht="12.75" customHeight="1">
      <c r="A79" s="99" t="s">
        <v>510</v>
      </c>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spans="1:26" s="89" customFormat="1" ht="12.75" customHeight="1">
      <c r="A80" s="99" t="s">
        <v>1167</v>
      </c>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spans="1:26" ht="12.75" customHeight="1">
      <c r="A81" s="99" t="s">
        <v>1168</v>
      </c>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spans="1:26" ht="12.75" customHeight="1">
      <c r="A82" s="100" t="s">
        <v>1169</v>
      </c>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spans="1:26" ht="12.75" customHeight="1">
      <c r="A83" s="99" t="s">
        <v>1170</v>
      </c>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sheetData>
  <phoneticPr fontId="59" type="noConversion"/>
  <pageMargins left="0.25" right="0.25" top="0.25" bottom="0.25" header="0.3" footer="0.3"/>
  <pageSetup scale="42"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1"/>
  <sheetViews>
    <sheetView workbookViewId="0"/>
  </sheetViews>
  <sheetFormatPr defaultRowHeight="12.9"/>
  <cols>
    <col min="1" max="1" width="26.875" customWidth="1"/>
    <col min="2" max="2" width="16.75" customWidth="1"/>
    <col min="3" max="3" width="12.625" customWidth="1"/>
    <col min="4" max="4" width="14.125" customWidth="1"/>
    <col min="5" max="5" width="16.75" customWidth="1"/>
    <col min="6" max="6" width="16.25" customWidth="1"/>
    <col min="7" max="7" width="15.875" customWidth="1"/>
  </cols>
  <sheetData>
    <row r="1" spans="1:7">
      <c r="A1" s="1" t="s">
        <v>481</v>
      </c>
    </row>
    <row r="2" spans="1:7">
      <c r="A2" s="1"/>
    </row>
    <row r="3" spans="1:7" ht="64.55">
      <c r="A3" s="6" t="s">
        <v>482</v>
      </c>
      <c r="B3" s="6" t="s">
        <v>483</v>
      </c>
      <c r="C3" s="6" t="s">
        <v>484</v>
      </c>
      <c r="D3" s="6" t="s">
        <v>485</v>
      </c>
      <c r="E3" s="6" t="s">
        <v>486</v>
      </c>
      <c r="F3" s="6" t="s">
        <v>487</v>
      </c>
      <c r="G3" s="6" t="s">
        <v>488</v>
      </c>
    </row>
    <row r="4" spans="1:7">
      <c r="A4" t="s">
        <v>489</v>
      </c>
      <c r="B4" s="7">
        <v>21611</v>
      </c>
      <c r="C4" s="7">
        <v>244203</v>
      </c>
      <c r="D4" s="7">
        <v>3584</v>
      </c>
      <c r="E4">
        <v>11.3</v>
      </c>
      <c r="F4">
        <v>5.7</v>
      </c>
      <c r="G4">
        <v>2.4</v>
      </c>
    </row>
    <row r="5" spans="1:7">
      <c r="A5" t="s">
        <v>490</v>
      </c>
      <c r="B5" s="7">
        <v>10147</v>
      </c>
      <c r="C5" s="7">
        <v>121865</v>
      </c>
      <c r="D5" s="7">
        <v>2035</v>
      </c>
      <c r="E5">
        <v>12</v>
      </c>
      <c r="F5">
        <v>6</v>
      </c>
      <c r="G5">
        <v>2.7</v>
      </c>
    </row>
    <row r="6" spans="1:7">
      <c r="A6" t="s">
        <v>491</v>
      </c>
      <c r="B6">
        <v>735</v>
      </c>
      <c r="C6" s="7">
        <v>8137</v>
      </c>
      <c r="D6">
        <v>154</v>
      </c>
      <c r="E6">
        <v>11.1</v>
      </c>
      <c r="F6">
        <v>7.8</v>
      </c>
      <c r="G6">
        <v>2.4</v>
      </c>
    </row>
    <row r="7" spans="1:7">
      <c r="A7" t="s">
        <v>492</v>
      </c>
      <c r="B7">
        <v>854</v>
      </c>
      <c r="C7" s="7">
        <v>12694</v>
      </c>
      <c r="D7">
        <v>220</v>
      </c>
      <c r="E7">
        <v>14.9</v>
      </c>
      <c r="F7">
        <v>4.0999999999999996</v>
      </c>
      <c r="G7">
        <v>3.8</v>
      </c>
    </row>
    <row r="8" spans="1:7">
      <c r="A8" t="s">
        <v>493</v>
      </c>
      <c r="B8" s="7">
        <v>1704</v>
      </c>
      <c r="C8" s="7">
        <v>18728</v>
      </c>
      <c r="D8">
        <v>212</v>
      </c>
      <c r="E8">
        <v>11</v>
      </c>
      <c r="F8">
        <v>4.7</v>
      </c>
      <c r="G8">
        <v>2.2999999999999998</v>
      </c>
    </row>
    <row r="9" spans="1:7">
      <c r="A9" t="s">
        <v>494</v>
      </c>
      <c r="B9" s="7">
        <v>2508</v>
      </c>
      <c r="C9" s="7">
        <v>21580</v>
      </c>
      <c r="D9">
        <v>362</v>
      </c>
      <c r="E9">
        <v>8.6</v>
      </c>
      <c r="F9">
        <v>6.3</v>
      </c>
      <c r="G9">
        <v>2.2999999999999998</v>
      </c>
    </row>
    <row r="10" spans="1:7">
      <c r="A10" t="s">
        <v>495</v>
      </c>
      <c r="B10" s="7">
        <v>3916</v>
      </c>
      <c r="C10" s="7">
        <v>43741</v>
      </c>
      <c r="D10">
        <v>280</v>
      </c>
      <c r="E10">
        <v>11.2</v>
      </c>
      <c r="F10">
        <v>4.5999999999999996</v>
      </c>
      <c r="G10">
        <v>1.3</v>
      </c>
    </row>
    <row r="11" spans="1:7">
      <c r="A11" t="s">
        <v>496</v>
      </c>
      <c r="B11" s="7">
        <v>1747</v>
      </c>
      <c r="C11" s="7">
        <v>17458</v>
      </c>
      <c r="D11">
        <v>322</v>
      </c>
      <c r="E11">
        <v>10</v>
      </c>
      <c r="F11">
        <v>6.8</v>
      </c>
      <c r="G11">
        <v>2.4</v>
      </c>
    </row>
  </sheetData>
  <phoneticPr fontId="59" type="noConversion"/>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4"/>
  <sheetViews>
    <sheetView workbookViewId="0"/>
  </sheetViews>
  <sheetFormatPr defaultColWidth="9.125" defaultRowHeight="12.9"/>
  <cols>
    <col min="1" max="1" width="41.125" customWidth="1"/>
    <col min="2" max="6" width="10.375" style="13" customWidth="1"/>
  </cols>
  <sheetData>
    <row r="1" spans="1:6">
      <c r="A1" s="2" t="s">
        <v>3321</v>
      </c>
      <c r="B1" s="119"/>
      <c r="C1" s="119"/>
      <c r="D1" s="119"/>
      <c r="E1" s="119"/>
      <c r="F1" s="119"/>
    </row>
    <row r="2" spans="1:6">
      <c r="B2" s="120">
        <v>2010</v>
      </c>
      <c r="C2" s="120" t="s">
        <v>3322</v>
      </c>
      <c r="D2" s="120" t="s">
        <v>3323</v>
      </c>
      <c r="E2" s="120" t="s">
        <v>3324</v>
      </c>
      <c r="F2" s="120" t="s">
        <v>3325</v>
      </c>
    </row>
    <row r="3" spans="1:6">
      <c r="A3" t="s">
        <v>3326</v>
      </c>
      <c r="B3" s="13">
        <v>130</v>
      </c>
      <c r="C3" s="13">
        <v>130</v>
      </c>
      <c r="D3" s="13">
        <v>130</v>
      </c>
      <c r="E3" s="13">
        <v>130</v>
      </c>
      <c r="F3" s="13">
        <v>130</v>
      </c>
    </row>
    <row r="4" spans="1:6">
      <c r="A4" t="s">
        <v>3327</v>
      </c>
      <c r="B4" s="13">
        <v>110.8</v>
      </c>
      <c r="C4" s="13">
        <v>91.6</v>
      </c>
      <c r="D4" s="13">
        <v>85.6</v>
      </c>
      <c r="E4" s="13">
        <v>81</v>
      </c>
      <c r="F4" s="13">
        <v>71.2</v>
      </c>
    </row>
    <row r="5" spans="1:6">
      <c r="A5" t="s">
        <v>3328</v>
      </c>
      <c r="C5" s="13">
        <v>87.5</v>
      </c>
      <c r="D5" s="13">
        <v>90.2</v>
      </c>
      <c r="E5" s="13">
        <v>92.5</v>
      </c>
      <c r="F5" s="13">
        <v>94</v>
      </c>
    </row>
    <row r="6" spans="1:6">
      <c r="A6" t="s">
        <v>3329</v>
      </c>
      <c r="C6" s="13">
        <v>90.7</v>
      </c>
      <c r="D6" s="13">
        <v>91.6</v>
      </c>
      <c r="E6" s="13">
        <v>92.5</v>
      </c>
      <c r="F6" s="13">
        <v>93.5</v>
      </c>
    </row>
    <row r="7" spans="1:6">
      <c r="A7" t="s">
        <v>3330</v>
      </c>
      <c r="C7" s="13">
        <v>86.7</v>
      </c>
      <c r="D7" s="13">
        <v>87.8</v>
      </c>
      <c r="E7" s="13">
        <v>88</v>
      </c>
    </row>
    <row r="8" spans="1:6">
      <c r="A8" t="s">
        <v>3331</v>
      </c>
      <c r="B8" s="13">
        <v>152</v>
      </c>
      <c r="C8" s="13">
        <v>104.1</v>
      </c>
      <c r="D8" s="13">
        <v>98.2</v>
      </c>
      <c r="E8" s="13">
        <v>92.3</v>
      </c>
      <c r="F8" s="13">
        <v>84.6</v>
      </c>
    </row>
    <row r="9" spans="1:6">
      <c r="A9" t="s">
        <v>3332</v>
      </c>
      <c r="B9" s="13">
        <v>80</v>
      </c>
      <c r="C9" s="13">
        <v>88</v>
      </c>
      <c r="D9" s="13">
        <v>92</v>
      </c>
      <c r="E9" s="13">
        <v>90</v>
      </c>
      <c r="F9" s="13">
        <v>94</v>
      </c>
    </row>
    <row r="10" spans="1:6">
      <c r="A10" t="s">
        <v>3333</v>
      </c>
      <c r="B10" s="13">
        <v>37.6</v>
      </c>
      <c r="C10" s="13">
        <v>25.8</v>
      </c>
      <c r="D10" s="13">
        <v>21.7</v>
      </c>
      <c r="E10" s="13">
        <v>19.899999999999999</v>
      </c>
      <c r="F10" s="13">
        <v>15.9</v>
      </c>
    </row>
    <row r="11" spans="1:6">
      <c r="A11" t="s">
        <v>3334</v>
      </c>
      <c r="B11" s="13">
        <v>152</v>
      </c>
      <c r="C11" s="13">
        <v>195</v>
      </c>
      <c r="D11" s="13">
        <v>225</v>
      </c>
      <c r="E11" s="13">
        <v>250</v>
      </c>
      <c r="F11" s="13">
        <v>303</v>
      </c>
    </row>
    <row r="12" spans="1:6">
      <c r="A12" t="s">
        <v>3335</v>
      </c>
      <c r="B12" s="13">
        <v>22.1</v>
      </c>
      <c r="C12" s="13">
        <v>17.3</v>
      </c>
      <c r="D12" s="13">
        <v>15</v>
      </c>
      <c r="E12" s="13">
        <v>13.5</v>
      </c>
      <c r="F12" s="13">
        <v>11.1</v>
      </c>
    </row>
    <row r="13" spans="1:6">
      <c r="A13" t="s">
        <v>3336</v>
      </c>
      <c r="B13" s="13">
        <v>450</v>
      </c>
      <c r="C13" s="13">
        <v>250</v>
      </c>
      <c r="D13" s="13">
        <v>200</v>
      </c>
      <c r="E13" s="13">
        <v>160</v>
      </c>
      <c r="F13" s="13">
        <v>150</v>
      </c>
    </row>
    <row r="14" spans="1:6">
      <c r="A14" t="s">
        <v>3337</v>
      </c>
      <c r="B14" s="121">
        <v>15979</v>
      </c>
      <c r="C14" s="121">
        <v>5401</v>
      </c>
      <c r="D14" s="121">
        <v>4384</v>
      </c>
      <c r="E14" s="121">
        <v>3184</v>
      </c>
      <c r="F14" s="121">
        <v>2050</v>
      </c>
    </row>
    <row r="15" spans="1:6">
      <c r="A15" t="s">
        <v>3338</v>
      </c>
      <c r="B15" s="121">
        <v>15979</v>
      </c>
      <c r="C15" s="121">
        <v>2968</v>
      </c>
      <c r="D15" s="121">
        <v>2139</v>
      </c>
      <c r="E15" s="13" t="s">
        <v>3339</v>
      </c>
      <c r="F15" s="13" t="s">
        <v>3340</v>
      </c>
    </row>
    <row r="17" spans="1:4">
      <c r="A17" s="2" t="s">
        <v>3341</v>
      </c>
      <c r="B17" s="119"/>
      <c r="C17" s="119"/>
      <c r="D17" s="119"/>
    </row>
    <row r="18" spans="1:4">
      <c r="B18" s="13">
        <v>2010</v>
      </c>
      <c r="C18" s="13">
        <v>2030</v>
      </c>
      <c r="D18" s="13">
        <v>2050</v>
      </c>
    </row>
    <row r="19" spans="1:4">
      <c r="A19" t="s">
        <v>3334</v>
      </c>
      <c r="B19" s="13">
        <f>B11</f>
        <v>152</v>
      </c>
      <c r="C19" s="13">
        <f>C11</f>
        <v>195</v>
      </c>
      <c r="D19" s="13">
        <f>E11</f>
        <v>250</v>
      </c>
    </row>
    <row r="21" spans="1:4">
      <c r="B21" s="13">
        <v>2017</v>
      </c>
    </row>
    <row r="22" spans="1:4">
      <c r="A22" t="s">
        <v>3342</v>
      </c>
      <c r="B22" s="13">
        <f>TREND(B19:C19,B18:C18,B21)</f>
        <v>167.05000000000018</v>
      </c>
    </row>
    <row r="24" spans="1:4">
      <c r="A24" t="s">
        <v>3343</v>
      </c>
      <c r="B24" s="122">
        <f>(D19-B22)/B22</f>
        <v>0.49655791679137817</v>
      </c>
    </row>
  </sheetData>
  <phoneticPr fontId="59" type="noConversion"/>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7"/>
  <sheetViews>
    <sheetView workbookViewId="0">
      <selection activeCell="D4" sqref="D4"/>
    </sheetView>
  </sheetViews>
  <sheetFormatPr defaultRowHeight="12.9"/>
  <sheetData>
    <row r="1" spans="1:12">
      <c r="A1" t="s">
        <v>3371</v>
      </c>
      <c r="B1" t="s">
        <v>112</v>
      </c>
      <c r="C1" t="s">
        <v>113</v>
      </c>
      <c r="D1" t="s">
        <v>114</v>
      </c>
      <c r="E1" t="s">
        <v>115</v>
      </c>
      <c r="F1" t="s">
        <v>116</v>
      </c>
      <c r="G1" t="s">
        <v>853</v>
      </c>
      <c r="H1" t="s">
        <v>854</v>
      </c>
      <c r="K1" t="s">
        <v>3372</v>
      </c>
      <c r="L1">
        <f t="array" ref="L1:L7">TRANSPOSE(B3:H3)</f>
        <v>4.9537244564849614E-3</v>
      </c>
    </row>
    <row r="2" spans="1:12">
      <c r="A2" t="s">
        <v>861</v>
      </c>
      <c r="B2">
        <v>1.3034527706475435E-3</v>
      </c>
      <c r="C2">
        <v>3.2678701664683445E-4</v>
      </c>
      <c r="D2">
        <v>3.1652760292406873E-4</v>
      </c>
      <c r="E2">
        <v>3.9332496832109406E-4</v>
      </c>
      <c r="F2">
        <v>6.7451596682727188E-4</v>
      </c>
      <c r="G2">
        <v>2.7638078960570732E-4</v>
      </c>
      <c r="H2">
        <v>5.8732402773689196E-4</v>
      </c>
      <c r="L2">
        <v>1.5863194726031412E-3</v>
      </c>
    </row>
    <row r="3" spans="1:12">
      <c r="A3" t="s">
        <v>475</v>
      </c>
      <c r="B3">
        <f>'[5]SYFAFE-psgr'!B3</f>
        <v>4.9537244564849614E-3</v>
      </c>
      <c r="C3">
        <f>'[5]SYFAFE-psgr'!C3</f>
        <v>1.5863194726031412E-3</v>
      </c>
      <c r="D3">
        <f>'[5]SYFAFE-psgr'!D3</f>
        <v>1.7054998237447919E-3</v>
      </c>
      <c r="E3">
        <f>'[5]SYFAFE-psgr'!E3</f>
        <v>1.796023315213568E-3</v>
      </c>
      <c r="F3">
        <f>'[5]SYFAFE-psgr'!F3</f>
        <v>1.9852017948389375E-3</v>
      </c>
      <c r="G3">
        <f>'[5]SYFAFE-psgr'!G3</f>
        <v>8.9891436780844668E-4</v>
      </c>
      <c r="H3">
        <f>'[5]SYFAFE-psgr'!H3</f>
        <v>1.4651861068476647E-3</v>
      </c>
      <c r="L3">
        <v>1.7054998237447919E-3</v>
      </c>
    </row>
    <row r="4" spans="1:12">
      <c r="A4" t="s">
        <v>472</v>
      </c>
      <c r="B4">
        <f>'[5]SYFAFE-psgr'!B4</f>
        <v>1.7190044847429364E-3</v>
      </c>
      <c r="C4">
        <f>'[5]SYFAFE-psgr'!C4</f>
        <v>5.3493637793767233E-4</v>
      </c>
      <c r="D4">
        <f>'[5]SYFAFE-psgr'!D4</f>
        <v>5.3493637793767233E-4</v>
      </c>
      <c r="E4">
        <f>'[5]SYFAFE-psgr'!E4</f>
        <v>5.3493637793767233E-4</v>
      </c>
      <c r="F4">
        <f>'[5]SYFAFE-psgr'!F4</f>
        <v>0</v>
      </c>
      <c r="G4">
        <f>'[5]SYFAFE-psgr'!G4</f>
        <v>0</v>
      </c>
      <c r="H4">
        <f>'[5]SYFAFE-psgr'!H4</f>
        <v>1.6048091338130167E-3</v>
      </c>
      <c r="L4">
        <v>1.796023315213568E-3</v>
      </c>
    </row>
    <row r="5" spans="1:12">
      <c r="A5" t="s">
        <v>862</v>
      </c>
      <c r="B5">
        <v>1.2405209526886144E-3</v>
      </c>
      <c r="C5">
        <v>4.2438874697242065E-4</v>
      </c>
      <c r="D5">
        <v>4.2438874697242065E-4</v>
      </c>
      <c r="E5">
        <v>4.2438874697242065E-4</v>
      </c>
      <c r="F5">
        <v>0</v>
      </c>
      <c r="G5">
        <v>0</v>
      </c>
      <c r="H5">
        <v>1.2731662409172617E-3</v>
      </c>
      <c r="L5">
        <v>1.9852017948389375E-3</v>
      </c>
    </row>
    <row r="6" spans="1:12">
      <c r="A6" t="s">
        <v>863</v>
      </c>
      <c r="B6">
        <v>3.2293482418666772E-5</v>
      </c>
      <c r="C6">
        <v>0</v>
      </c>
      <c r="D6">
        <v>1.0049397002369564E-5</v>
      </c>
      <c r="E6">
        <v>1.0049397002369565E-5</v>
      </c>
      <c r="F6">
        <v>0</v>
      </c>
      <c r="G6">
        <v>0</v>
      </c>
      <c r="H6">
        <v>3.0148191007108693E-5</v>
      </c>
      <c r="L6">
        <v>8.9891436780844668E-4</v>
      </c>
    </row>
    <row r="7" spans="1:12">
      <c r="A7" t="s">
        <v>864</v>
      </c>
      <c r="B7">
        <v>3.5367364645723983E-3</v>
      </c>
      <c r="C7">
        <v>1.110710625237613E-3</v>
      </c>
      <c r="D7">
        <v>1.110710625237613E-3</v>
      </c>
      <c r="E7">
        <v>1.110710625237613E-3</v>
      </c>
      <c r="F7">
        <v>2.4450248368717451E-3</v>
      </c>
      <c r="G7">
        <v>8.6080073455915005E-4</v>
      </c>
      <c r="H7">
        <v>3.3321318757128385E-3</v>
      </c>
      <c r="L7">
        <v>1.4651861068476647E-3</v>
      </c>
    </row>
  </sheetData>
  <phoneticPr fontId="5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4"/>
  <sheetViews>
    <sheetView workbookViewId="0">
      <selection activeCell="B4" sqref="B4"/>
    </sheetView>
  </sheetViews>
  <sheetFormatPr defaultRowHeight="12.9"/>
  <cols>
    <col min="1" max="1" width="21.375" customWidth="1"/>
    <col min="2" max="2" width="21.875" customWidth="1"/>
    <col min="3" max="3" width="35.125" customWidth="1"/>
    <col min="4" max="4" width="20.25" customWidth="1"/>
    <col min="5" max="5" width="16.75" customWidth="1"/>
    <col min="6" max="8" width="20.625" customWidth="1"/>
  </cols>
  <sheetData>
    <row r="1" spans="1:8" ht="39.4" thickBot="1">
      <c r="A1" s="6" t="s">
        <v>1115</v>
      </c>
      <c r="B1" s="13" t="s">
        <v>112</v>
      </c>
      <c r="C1" s="13" t="s">
        <v>113</v>
      </c>
      <c r="D1" s="13" t="s">
        <v>114</v>
      </c>
      <c r="E1" s="13" t="s">
        <v>115</v>
      </c>
      <c r="F1" s="13" t="s">
        <v>116</v>
      </c>
      <c r="G1" s="13" t="s">
        <v>853</v>
      </c>
      <c r="H1" s="13" t="s">
        <v>854</v>
      </c>
    </row>
    <row r="2" spans="1:8" ht="13.6" thickBot="1">
      <c r="A2" t="s">
        <v>861</v>
      </c>
      <c r="B2" s="115">
        <v>1.2098850095054675E-4</v>
      </c>
      <c r="C2" s="115">
        <v>6.8530242152742244E-5</v>
      </c>
      <c r="D2" s="116">
        <v>1.043975093608511E-4</v>
      </c>
      <c r="E2" s="115">
        <v>7.3948395495852042E-5</v>
      </c>
      <c r="F2" s="115">
        <v>2.3149219108236567E-4</v>
      </c>
      <c r="G2" s="115">
        <v>4.0198415563294249E-5</v>
      </c>
      <c r="H2" s="115">
        <v>2.0735934964818689E-3</v>
      </c>
    </row>
    <row r="3" spans="1:8" ht="13.6" thickBot="1">
      <c r="A3" t="s">
        <v>475</v>
      </c>
      <c r="B3" s="115">
        <v>2.2211467051641521E-3</v>
      </c>
      <c r="C3" s="115">
        <v>4.7352548463232166E-4</v>
      </c>
      <c r="D3" s="115">
        <v>6.7839079634331792E-3</v>
      </c>
      <c r="E3" s="116">
        <v>6.9119783216062313E-4</v>
      </c>
      <c r="F3" s="115">
        <v>1.0867252882872924E-3</v>
      </c>
      <c r="G3" s="115">
        <v>2.9305916427068614E-3</v>
      </c>
      <c r="H3" s="115">
        <v>2.7605411165548288E-3</v>
      </c>
    </row>
    <row r="4" spans="1:8">
      <c r="A4" t="s">
        <v>472</v>
      </c>
      <c r="B4" s="115">
        <v>3.6524335252792104E-4</v>
      </c>
      <c r="C4" s="115">
        <v>1.136599455098666E-4</v>
      </c>
      <c r="D4" s="115">
        <v>1.136599455098666E-4</v>
      </c>
      <c r="E4" s="115">
        <v>1.136599455098666E-4</v>
      </c>
      <c r="F4">
        <v>0</v>
      </c>
      <c r="G4">
        <v>0</v>
      </c>
      <c r="H4" s="115">
        <v>3.4097983652959976E-4</v>
      </c>
    </row>
    <row r="5" spans="1:8">
      <c r="A5" t="s">
        <v>862</v>
      </c>
      <c r="B5" s="115">
        <v>1.1140743815291445E-2</v>
      </c>
      <c r="C5" s="115">
        <v>3.4668839999999999E-3</v>
      </c>
      <c r="D5" s="115">
        <v>3.4668839999999999E-3</v>
      </c>
      <c r="E5" s="115">
        <v>3.4668839999999999E-3</v>
      </c>
      <c r="F5">
        <v>0</v>
      </c>
      <c r="G5">
        <v>0</v>
      </c>
      <c r="H5" s="115">
        <v>1.0400651999999998E-2</v>
      </c>
    </row>
    <row r="6" spans="1:8">
      <c r="A6" t="s">
        <v>863</v>
      </c>
      <c r="B6" s="115">
        <v>1.5467626362604087E-2</v>
      </c>
      <c r="C6" s="115">
        <v>4.813365E-3</v>
      </c>
      <c r="D6" s="115">
        <v>4.813365E-3</v>
      </c>
      <c r="E6" s="115">
        <v>4.813365E-3</v>
      </c>
      <c r="F6">
        <v>0</v>
      </c>
      <c r="G6">
        <v>0</v>
      </c>
      <c r="H6" s="115">
        <v>1.4440094999999998E-2</v>
      </c>
    </row>
    <row r="7" spans="1:8">
      <c r="A7" t="s">
        <v>864</v>
      </c>
      <c r="B7">
        <v>0</v>
      </c>
      <c r="C7">
        <v>0</v>
      </c>
      <c r="D7">
        <v>0</v>
      </c>
      <c r="E7">
        <v>0</v>
      </c>
      <c r="F7">
        <v>0</v>
      </c>
      <c r="G7">
        <v>0</v>
      </c>
      <c r="H7">
        <v>0</v>
      </c>
    </row>
    <row r="8" spans="1:8">
      <c r="D8" s="4"/>
    </row>
    <row r="9" spans="1:8">
      <c r="D9" s="48"/>
    </row>
    <row r="10" spans="1:8">
      <c r="D10" s="4"/>
    </row>
    <row r="11" spans="1:8">
      <c r="C11" s="61"/>
      <c r="D11" s="48"/>
    </row>
    <row r="12" spans="1:8">
      <c r="D12" s="4"/>
    </row>
    <row r="13" spans="1:8">
      <c r="D13" s="48"/>
    </row>
    <row r="14" spans="1:8">
      <c r="D14" s="62"/>
    </row>
  </sheetData>
  <phoneticPr fontId="59"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K104"/>
  <sheetViews>
    <sheetView tabSelected="1" topLeftCell="A4" workbookViewId="0">
      <selection activeCell="B17" sqref="B17"/>
    </sheetView>
  </sheetViews>
  <sheetFormatPr defaultRowHeight="12.9"/>
  <cols>
    <col min="1" max="1" width="50.375" customWidth="1"/>
    <col min="2" max="2" width="20.125" bestFit="1" customWidth="1"/>
    <col min="3" max="3" width="11.75" bestFit="1" customWidth="1"/>
    <col min="4" max="4" width="21.25" customWidth="1"/>
    <col min="5" max="5" width="17.875" customWidth="1"/>
    <col min="6" max="33" width="11.75" bestFit="1" customWidth="1"/>
    <col min="34" max="36" width="10" bestFit="1" customWidth="1"/>
  </cols>
  <sheetData>
    <row r="1" spans="1:36">
      <c r="A1" s="2" t="s">
        <v>471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f>'AEO 7'!C$1</f>
        <v>2020</v>
      </c>
      <c r="C2">
        <f>'AEO 7'!D$1</f>
        <v>2021</v>
      </c>
      <c r="D2">
        <f>'AEO 7'!E$1</f>
        <v>2022</v>
      </c>
      <c r="E2">
        <f>'AEO 7'!F$1</f>
        <v>2023</v>
      </c>
      <c r="F2">
        <f>'AEO 7'!G$1</f>
        <v>2024</v>
      </c>
      <c r="G2">
        <f>'AEO 7'!H$1</f>
        <v>2025</v>
      </c>
      <c r="H2">
        <f>'AEO 7'!I$1</f>
        <v>2026</v>
      </c>
      <c r="I2">
        <f>'AEO 7'!J$1</f>
        <v>2027</v>
      </c>
      <c r="J2">
        <f>'AEO 7'!K$1</f>
        <v>2028</v>
      </c>
      <c r="K2">
        <f>'AEO 7'!L$1</f>
        <v>2029</v>
      </c>
      <c r="L2">
        <f>'AEO 7'!M$1</f>
        <v>2030</v>
      </c>
      <c r="M2">
        <f>'AEO 7'!N$1</f>
        <v>2031</v>
      </c>
      <c r="N2">
        <f>'AEO 7'!O$1</f>
        <v>2032</v>
      </c>
      <c r="O2">
        <f>'AEO 7'!P$1</f>
        <v>2033</v>
      </c>
      <c r="P2">
        <f>'AEO 7'!Q$1</f>
        <v>2034</v>
      </c>
      <c r="Q2">
        <f>'AEO 7'!R$1</f>
        <v>2035</v>
      </c>
      <c r="R2">
        <f>'AEO 7'!S$1</f>
        <v>2036</v>
      </c>
      <c r="S2">
        <f>'AEO 7'!T$1</f>
        <v>2037</v>
      </c>
      <c r="T2">
        <f>'AEO 7'!U$1</f>
        <v>2038</v>
      </c>
      <c r="U2">
        <f>'AEO 7'!V$1</f>
        <v>2039</v>
      </c>
      <c r="V2">
        <f>'AEO 7'!W$1</f>
        <v>2040</v>
      </c>
      <c r="W2">
        <f>'AEO 7'!X$1</f>
        <v>2041</v>
      </c>
      <c r="X2">
        <f>'AEO 7'!Y$1</f>
        <v>2042</v>
      </c>
      <c r="Y2">
        <f>'AEO 7'!Z$1</f>
        <v>2043</v>
      </c>
      <c r="Z2">
        <f>'AEO 7'!AA$1</f>
        <v>2044</v>
      </c>
      <c r="AA2">
        <f>'AEO 7'!AB$1</f>
        <v>2045</v>
      </c>
      <c r="AB2">
        <f>'AEO 7'!AC$1</f>
        <v>2046</v>
      </c>
      <c r="AC2">
        <f>'AEO 7'!AD$1</f>
        <v>2047</v>
      </c>
      <c r="AD2">
        <f>'AEO 7'!AE$1</f>
        <v>2048</v>
      </c>
      <c r="AE2">
        <f>'AEO 7'!AF$1</f>
        <v>2049</v>
      </c>
      <c r="AF2">
        <f>'AEO 7'!AG$1</f>
        <v>2050</v>
      </c>
    </row>
    <row r="3" spans="1:36">
      <c r="A3" t="s">
        <v>469</v>
      </c>
      <c r="B3" s="57">
        <f>(INDEX('AEO 48'!$E$70:$AL$70,MATCH('Calculations Etc'!B$2,'AEO 48'!$E$1:$AL$1,0))-INDEX('AEO 48'!$E$178:$AL$178,MATCH('Calculations Etc'!B$2,'AEO 48'!$E$1:$AL$1,0)))/INDEX('AEO 48'!$E$70:$AL$70,MATCH('Calculations Etc'!B$2,'AEO 48'!$E$1:$AL$1,0))</f>
        <v>0.45646238062495437</v>
      </c>
      <c r="C3" s="57">
        <f>(INDEX('AEO 48'!$E$70:$AL$70,MATCH('Calculations Etc'!C$2,'AEO 48'!$E$1:$AL$1,0))-INDEX('AEO 48'!$E$178:$AL$178,MATCH('Calculations Etc'!C$2,'AEO 48'!$E$1:$AL$1,0)))/INDEX('AEO 48'!$E$70:$AL$70,MATCH('Calculations Etc'!C$2,'AEO 48'!$E$1:$AL$1,0))</f>
        <v>0.80451859019570515</v>
      </c>
      <c r="D3">
        <f>(INDEX('AEO 48'!$E$70:$AL$70,MATCH('Calculations Etc'!D$2,'AEO 48'!$E$1:$AL$1,0))-INDEX('AEO 48'!$E$178:$AL$178,MATCH('Calculations Etc'!D$2,'AEO 48'!$E$1:$AL$1,0)))/INDEX('AEO 48'!$E$70:$AL$70,MATCH('Calculations Etc'!D$2,'AEO 48'!$E$1:$AL$1,0))</f>
        <v>0.82350819166817801</v>
      </c>
      <c r="E3">
        <f>(INDEX('AEO 48'!$E$70:$AL$70,MATCH('Calculations Etc'!E$2,'AEO 48'!$E$1:$AL$1,0))-INDEX('AEO 48'!$E$178:$AL$178,MATCH('Calculations Etc'!E$2,'AEO 48'!$E$1:$AL$1,0)))/INDEX('AEO 48'!$E$70:$AL$70,MATCH('Calculations Etc'!E$2,'AEO 48'!$E$1:$AL$1,0))</f>
        <v>0.83051191176702843</v>
      </c>
      <c r="F3">
        <f>(INDEX('AEO 48'!$E$70:$AL$70,MATCH('Calculations Etc'!F$2,'AEO 48'!$E$1:$AL$1,0))-INDEX('AEO 48'!$E$178:$AL$178,MATCH('Calculations Etc'!F$2,'AEO 48'!$E$1:$AL$1,0)))/INDEX('AEO 48'!$E$70:$AL$70,MATCH('Calculations Etc'!F$2,'AEO 48'!$E$1:$AL$1,0))</f>
        <v>0.82964599858463339</v>
      </c>
      <c r="G3">
        <f>(INDEX('AEO 48'!$E$70:$AL$70,MATCH('Calculations Etc'!G$2,'AEO 48'!$E$1:$AL$1,0))-INDEX('AEO 48'!$E$178:$AL$178,MATCH('Calculations Etc'!G$2,'AEO 48'!$E$1:$AL$1,0)))/INDEX('AEO 48'!$E$70:$AL$70,MATCH('Calculations Etc'!G$2,'AEO 48'!$E$1:$AL$1,0))</f>
        <v>0.83066130200264388</v>
      </c>
      <c r="H3">
        <f>(INDEX('AEO 48'!$E$70:$AL$70,MATCH('Calculations Etc'!H$2,'AEO 48'!$E$1:$AL$1,0))-INDEX('AEO 48'!$E$178:$AL$178,MATCH('Calculations Etc'!H$2,'AEO 48'!$E$1:$AL$1,0)))/INDEX('AEO 48'!$E$70:$AL$70,MATCH('Calculations Etc'!H$2,'AEO 48'!$E$1:$AL$1,0))</f>
        <v>0.83024458343973562</v>
      </c>
      <c r="I3">
        <f>(INDEX('AEO 48'!$E$70:$AL$70,MATCH('Calculations Etc'!I$2,'AEO 48'!$E$1:$AL$1,0))-INDEX('AEO 48'!$E$178:$AL$178,MATCH('Calculations Etc'!I$2,'AEO 48'!$E$1:$AL$1,0)))/INDEX('AEO 48'!$E$70:$AL$70,MATCH('Calculations Etc'!I$2,'AEO 48'!$E$1:$AL$1,0))</f>
        <v>0.82717388968807581</v>
      </c>
      <c r="J3">
        <f>(INDEX('AEO 48'!$E$70:$AL$70,MATCH('Calculations Etc'!J$2,'AEO 48'!$E$1:$AL$1,0))-INDEX('AEO 48'!$E$178:$AL$178,MATCH('Calculations Etc'!J$2,'AEO 48'!$E$1:$AL$1,0)))/INDEX('AEO 48'!$E$70:$AL$70,MATCH('Calculations Etc'!J$2,'AEO 48'!$E$1:$AL$1,0))</f>
        <v>0.82558588600548399</v>
      </c>
      <c r="K3">
        <f>(INDEX('AEO 48'!$E$70:$AL$70,MATCH('Calculations Etc'!K$2,'AEO 48'!$E$1:$AL$1,0))-INDEX('AEO 48'!$E$178:$AL$178,MATCH('Calculations Etc'!K$2,'AEO 48'!$E$1:$AL$1,0)))/INDEX('AEO 48'!$E$70:$AL$70,MATCH('Calculations Etc'!K$2,'AEO 48'!$E$1:$AL$1,0))</f>
        <v>0.82280853108035013</v>
      </c>
      <c r="L3">
        <f>(INDEX('AEO 48'!$E$70:$AL$70,MATCH('Calculations Etc'!L$2,'AEO 48'!$E$1:$AL$1,0))-INDEX('AEO 48'!$E$178:$AL$178,MATCH('Calculations Etc'!L$2,'AEO 48'!$E$1:$AL$1,0)))/INDEX('AEO 48'!$E$70:$AL$70,MATCH('Calculations Etc'!L$2,'AEO 48'!$E$1:$AL$1,0))</f>
        <v>0.82068082397903597</v>
      </c>
      <c r="M3">
        <f>(INDEX('AEO 48'!$E$70:$AL$70,MATCH('Calculations Etc'!M$2,'AEO 48'!$E$1:$AL$1,0))-INDEX('AEO 48'!$E$178:$AL$178,MATCH('Calculations Etc'!M$2,'AEO 48'!$E$1:$AL$1,0)))/INDEX('AEO 48'!$E$70:$AL$70,MATCH('Calculations Etc'!M$2,'AEO 48'!$E$1:$AL$1,0))</f>
        <v>0.81877068858058866</v>
      </c>
      <c r="N3">
        <f>(INDEX('AEO 48'!$E$70:$AL$70,MATCH('Calculations Etc'!N$2,'AEO 48'!$E$1:$AL$1,0))-INDEX('AEO 48'!$E$178:$AL$178,MATCH('Calculations Etc'!N$2,'AEO 48'!$E$1:$AL$1,0)))/INDEX('AEO 48'!$E$70:$AL$70,MATCH('Calculations Etc'!N$2,'AEO 48'!$E$1:$AL$1,0))</f>
        <v>0.81724414176213445</v>
      </c>
      <c r="O3">
        <f>(INDEX('AEO 48'!$E$70:$AL$70,MATCH('Calculations Etc'!O$2,'AEO 48'!$E$1:$AL$1,0))-INDEX('AEO 48'!$E$178:$AL$178,MATCH('Calculations Etc'!O$2,'AEO 48'!$E$1:$AL$1,0)))/INDEX('AEO 48'!$E$70:$AL$70,MATCH('Calculations Etc'!O$2,'AEO 48'!$E$1:$AL$1,0))</f>
        <v>0.81577368537994743</v>
      </c>
      <c r="P3">
        <f>(INDEX('AEO 48'!$E$70:$AL$70,MATCH('Calculations Etc'!P$2,'AEO 48'!$E$1:$AL$1,0))-INDEX('AEO 48'!$E$178:$AL$178,MATCH('Calculations Etc'!P$2,'AEO 48'!$E$1:$AL$1,0)))/INDEX('AEO 48'!$E$70:$AL$70,MATCH('Calculations Etc'!P$2,'AEO 48'!$E$1:$AL$1,0))</f>
        <v>0.81453005123984989</v>
      </c>
      <c r="Q3">
        <f>(INDEX('AEO 48'!$E$70:$AL$70,MATCH('Calculations Etc'!Q$2,'AEO 48'!$E$1:$AL$1,0))-INDEX('AEO 48'!$E$178:$AL$178,MATCH('Calculations Etc'!Q$2,'AEO 48'!$E$1:$AL$1,0)))/INDEX('AEO 48'!$E$70:$AL$70,MATCH('Calculations Etc'!Q$2,'AEO 48'!$E$1:$AL$1,0))</f>
        <v>0.81347784679670865</v>
      </c>
      <c r="R3">
        <f>(INDEX('AEO 48'!$E$70:$AL$70,MATCH('Calculations Etc'!R$2,'AEO 48'!$E$1:$AL$1,0))-INDEX('AEO 48'!$E$178:$AL$178,MATCH('Calculations Etc'!R$2,'AEO 48'!$E$1:$AL$1,0)))/INDEX('AEO 48'!$E$70:$AL$70,MATCH('Calculations Etc'!R$2,'AEO 48'!$E$1:$AL$1,0))</f>
        <v>0.81226134880511536</v>
      </c>
      <c r="S3">
        <f>(INDEX('AEO 48'!$E$70:$AL$70,MATCH('Calculations Etc'!S$2,'AEO 48'!$E$1:$AL$1,0))-INDEX('AEO 48'!$E$178:$AL$178,MATCH('Calculations Etc'!S$2,'AEO 48'!$E$1:$AL$1,0)))/INDEX('AEO 48'!$E$70:$AL$70,MATCH('Calculations Etc'!S$2,'AEO 48'!$E$1:$AL$1,0))</f>
        <v>0.81089861828833454</v>
      </c>
      <c r="T3">
        <f>(INDEX('AEO 48'!$E$70:$AL$70,MATCH('Calculations Etc'!T$2,'AEO 48'!$E$1:$AL$1,0))-INDEX('AEO 48'!$E$178:$AL$178,MATCH('Calculations Etc'!T$2,'AEO 48'!$E$1:$AL$1,0)))/INDEX('AEO 48'!$E$70:$AL$70,MATCH('Calculations Etc'!T$2,'AEO 48'!$E$1:$AL$1,0))</f>
        <v>0.80960928872549065</v>
      </c>
      <c r="U3">
        <f>(INDEX('AEO 48'!$E$70:$AL$70,MATCH('Calculations Etc'!U$2,'AEO 48'!$E$1:$AL$1,0))-INDEX('AEO 48'!$E$178:$AL$178,MATCH('Calculations Etc'!U$2,'AEO 48'!$E$1:$AL$1,0)))/INDEX('AEO 48'!$E$70:$AL$70,MATCH('Calculations Etc'!U$2,'AEO 48'!$E$1:$AL$1,0))</f>
        <v>0.80854339979797762</v>
      </c>
      <c r="V3">
        <f>(INDEX('AEO 48'!$E$70:$AL$70,MATCH('Calculations Etc'!V$2,'AEO 48'!$E$1:$AL$1,0))-INDEX('AEO 48'!$E$178:$AL$178,MATCH('Calculations Etc'!V$2,'AEO 48'!$E$1:$AL$1,0)))/INDEX('AEO 48'!$E$70:$AL$70,MATCH('Calculations Etc'!V$2,'AEO 48'!$E$1:$AL$1,0))</f>
        <v>0.80769921912658138</v>
      </c>
      <c r="W3">
        <f>(INDEX('AEO 48'!$E$70:$AL$70,MATCH('Calculations Etc'!W$2,'AEO 48'!$E$1:$AL$1,0))-INDEX('AEO 48'!$E$178:$AL$178,MATCH('Calculations Etc'!W$2,'AEO 48'!$E$1:$AL$1,0)))/INDEX('AEO 48'!$E$70:$AL$70,MATCH('Calculations Etc'!W$2,'AEO 48'!$E$1:$AL$1,0))</f>
        <v>0.80683145066899897</v>
      </c>
      <c r="X3">
        <f>(INDEX('AEO 48'!$E$70:$AL$70,MATCH('Calculations Etc'!X$2,'AEO 48'!$E$1:$AL$1,0))-INDEX('AEO 48'!$E$178:$AL$178,MATCH('Calculations Etc'!X$2,'AEO 48'!$E$1:$AL$1,0)))/INDEX('AEO 48'!$E$70:$AL$70,MATCH('Calculations Etc'!X$2,'AEO 48'!$E$1:$AL$1,0))</f>
        <v>0.80595770656789423</v>
      </c>
      <c r="Y3">
        <f>(INDEX('AEO 48'!$E$70:$AL$70,MATCH('Calculations Etc'!Y$2,'AEO 48'!$E$1:$AL$1,0))-INDEX('AEO 48'!$E$178:$AL$178,MATCH('Calculations Etc'!Y$2,'AEO 48'!$E$1:$AL$1,0)))/INDEX('AEO 48'!$E$70:$AL$70,MATCH('Calculations Etc'!Y$2,'AEO 48'!$E$1:$AL$1,0))</f>
        <v>0.80506417041865486</v>
      </c>
      <c r="Z3">
        <f>(INDEX('AEO 48'!$E$70:$AL$70,MATCH('Calculations Etc'!Z$2,'AEO 48'!$E$1:$AL$1,0))-INDEX('AEO 48'!$E$178:$AL$178,MATCH('Calculations Etc'!Z$2,'AEO 48'!$E$1:$AL$1,0)))/INDEX('AEO 48'!$E$70:$AL$70,MATCH('Calculations Etc'!Z$2,'AEO 48'!$E$1:$AL$1,0))</f>
        <v>0.80411986046228401</v>
      </c>
      <c r="AA3">
        <f>(INDEX('AEO 48'!$E$70:$AL$70,MATCH('Calculations Etc'!AA$2,'AEO 48'!$E$1:$AL$1,0))-INDEX('AEO 48'!$E$178:$AL$178,MATCH('Calculations Etc'!AA$2,'AEO 48'!$E$1:$AL$1,0)))/INDEX('AEO 48'!$E$70:$AL$70,MATCH('Calculations Etc'!AA$2,'AEO 48'!$E$1:$AL$1,0))</f>
        <v>0.80330423223188197</v>
      </c>
      <c r="AB3">
        <f>(INDEX('AEO 48'!$E$70:$AL$70,MATCH('Calculations Etc'!AB$2,'AEO 48'!$E$1:$AL$1,0))-INDEX('AEO 48'!$E$178:$AL$178,MATCH('Calculations Etc'!AB$2,'AEO 48'!$E$1:$AL$1,0)))/INDEX('AEO 48'!$E$70:$AL$70,MATCH('Calculations Etc'!AB$2,'AEO 48'!$E$1:$AL$1,0))</f>
        <v>0.80236267284546015</v>
      </c>
      <c r="AC3">
        <f>(INDEX('AEO 48'!$E$70:$AL$70,MATCH('Calculations Etc'!AC$2,'AEO 48'!$E$1:$AL$1,0))-INDEX('AEO 48'!$E$178:$AL$178,MATCH('Calculations Etc'!AC$2,'AEO 48'!$E$1:$AL$1,0)))/INDEX('AEO 48'!$E$70:$AL$70,MATCH('Calculations Etc'!AC$2,'AEO 48'!$E$1:$AL$1,0))</f>
        <v>0.80128033440027124</v>
      </c>
      <c r="AD3">
        <f>(INDEX('AEO 48'!$E$70:$AL$70,MATCH('Calculations Etc'!AD$2,'AEO 48'!$E$1:$AL$1,0))-INDEX('AEO 48'!$E$178:$AL$178,MATCH('Calculations Etc'!AD$2,'AEO 48'!$E$1:$AL$1,0)))/INDEX('AEO 48'!$E$70:$AL$70,MATCH('Calculations Etc'!AD$2,'AEO 48'!$E$1:$AL$1,0))</f>
        <v>0.80042119195248607</v>
      </c>
      <c r="AE3">
        <f>(INDEX('AEO 48'!$E$70:$AL$70,MATCH('Calculations Etc'!AE$2,'AEO 48'!$E$1:$AL$1,0))-INDEX('AEO 48'!$E$178:$AL$178,MATCH('Calculations Etc'!AE$2,'AEO 48'!$E$1:$AL$1,0)))/INDEX('AEO 48'!$E$70:$AL$70,MATCH('Calculations Etc'!AE$2,'AEO 48'!$E$1:$AL$1,0))</f>
        <v>0.79956023935946874</v>
      </c>
      <c r="AF3">
        <f>(INDEX('AEO 48'!$E$70:$AL$70,MATCH('Calculations Etc'!AF$2,'AEO 48'!$E$1:$AL$1,0))-INDEX('AEO 48'!$E$178:$AL$178,MATCH('Calculations Etc'!AF$2,'AEO 48'!$E$1:$AL$1,0)))/INDEX('AEO 48'!$E$70:$AL$70,MATCH('Calculations Etc'!AF$2,'AEO 48'!$E$1:$AL$1,0))</f>
        <v>0.79872579413914413</v>
      </c>
    </row>
    <row r="4" spans="1:36">
      <c r="A4" t="s">
        <v>470</v>
      </c>
      <c r="B4" s="113">
        <f>INDEX('AEO 48'!$178:$178,MATCH(B$2,'AEO 48'!$1:$1,0))/INDEX('AEO 48'!$70:$70,MATCH(B$2,'AEO 48'!$1:$1,0))</f>
        <v>0.54353761937504563</v>
      </c>
      <c r="C4" s="113">
        <f>INDEX('AEO 48'!$178:$178,MATCH(C$2,'AEO 48'!$1:$1,0))/INDEX('AEO 48'!$70:$70,MATCH(C$2,'AEO 48'!$1:$1,0))</f>
        <v>0.19548140980429482</v>
      </c>
      <c r="D4">
        <f>INDEX('AEO 48'!$178:$178,MATCH(D$2,'AEO 48'!$1:$1,0))/INDEX('AEO 48'!$70:$70,MATCH(D$2,'AEO 48'!$1:$1,0))</f>
        <v>0.17649180833182201</v>
      </c>
      <c r="E4">
        <f>INDEX('AEO 48'!$178:$178,MATCH(E$2,'AEO 48'!$1:$1,0))/INDEX('AEO 48'!$70:$70,MATCH(E$2,'AEO 48'!$1:$1,0))</f>
        <v>0.16948808823297154</v>
      </c>
      <c r="F4">
        <f>INDEX('AEO 48'!$178:$178,MATCH(F$2,'AEO 48'!$1:$1,0))/INDEX('AEO 48'!$70:$70,MATCH(F$2,'AEO 48'!$1:$1,0))</f>
        <v>0.17035400141536666</v>
      </c>
      <c r="G4">
        <f>INDEX('AEO 48'!$178:$178,MATCH(G$2,'AEO 48'!$1:$1,0))/INDEX('AEO 48'!$70:$70,MATCH(G$2,'AEO 48'!$1:$1,0))</f>
        <v>0.16933869799735615</v>
      </c>
      <c r="H4">
        <f>INDEX('AEO 48'!$178:$178,MATCH(H$2,'AEO 48'!$1:$1,0))/INDEX('AEO 48'!$70:$70,MATCH(H$2,'AEO 48'!$1:$1,0))</f>
        <v>0.16975541656026447</v>
      </c>
      <c r="I4">
        <f>INDEX('AEO 48'!$178:$178,MATCH(I$2,'AEO 48'!$1:$1,0))/INDEX('AEO 48'!$70:$70,MATCH(I$2,'AEO 48'!$1:$1,0))</f>
        <v>0.17282611031192421</v>
      </c>
      <c r="J4">
        <f>INDEX('AEO 48'!$178:$178,MATCH(J$2,'AEO 48'!$1:$1,0))/INDEX('AEO 48'!$70:$70,MATCH(J$2,'AEO 48'!$1:$1,0))</f>
        <v>0.17441411399451595</v>
      </c>
      <c r="K4">
        <f>INDEX('AEO 48'!$178:$178,MATCH(K$2,'AEO 48'!$1:$1,0))/INDEX('AEO 48'!$70:$70,MATCH(K$2,'AEO 48'!$1:$1,0))</f>
        <v>0.17719146891964979</v>
      </c>
      <c r="L4">
        <f>INDEX('AEO 48'!$178:$178,MATCH(L$2,'AEO 48'!$1:$1,0))/INDEX('AEO 48'!$70:$70,MATCH(L$2,'AEO 48'!$1:$1,0))</f>
        <v>0.17931917602096412</v>
      </c>
      <c r="M4">
        <f>INDEX('AEO 48'!$178:$178,MATCH(M$2,'AEO 48'!$1:$1,0))/INDEX('AEO 48'!$70:$70,MATCH(M$2,'AEO 48'!$1:$1,0))</f>
        <v>0.18122931141941132</v>
      </c>
      <c r="N4">
        <f>INDEX('AEO 48'!$178:$178,MATCH(N$2,'AEO 48'!$1:$1,0))/INDEX('AEO 48'!$70:$70,MATCH(N$2,'AEO 48'!$1:$1,0))</f>
        <v>0.18275585823786555</v>
      </c>
      <c r="O4">
        <f>INDEX('AEO 48'!$178:$178,MATCH(O$2,'AEO 48'!$1:$1,0))/INDEX('AEO 48'!$70:$70,MATCH(O$2,'AEO 48'!$1:$1,0))</f>
        <v>0.18422631462005259</v>
      </c>
      <c r="P4">
        <f>INDEX('AEO 48'!$178:$178,MATCH(P$2,'AEO 48'!$1:$1,0))/INDEX('AEO 48'!$70:$70,MATCH(P$2,'AEO 48'!$1:$1,0))</f>
        <v>0.18546994876015016</v>
      </c>
      <c r="Q4">
        <f>INDEX('AEO 48'!$178:$178,MATCH(Q$2,'AEO 48'!$1:$1,0))/INDEX('AEO 48'!$70:$70,MATCH(Q$2,'AEO 48'!$1:$1,0))</f>
        <v>0.1865221532032913</v>
      </c>
      <c r="R4">
        <f>INDEX('AEO 48'!$178:$178,MATCH(R$2,'AEO 48'!$1:$1,0))/INDEX('AEO 48'!$70:$70,MATCH(R$2,'AEO 48'!$1:$1,0))</f>
        <v>0.18773865119488459</v>
      </c>
      <c r="S4">
        <f>INDEX('AEO 48'!$178:$178,MATCH(S$2,'AEO 48'!$1:$1,0))/INDEX('AEO 48'!$70:$70,MATCH(S$2,'AEO 48'!$1:$1,0))</f>
        <v>0.18910138171166541</v>
      </c>
      <c r="T4">
        <f>INDEX('AEO 48'!$178:$178,MATCH(T$2,'AEO 48'!$1:$1,0))/INDEX('AEO 48'!$70:$70,MATCH(T$2,'AEO 48'!$1:$1,0))</f>
        <v>0.19039071127450938</v>
      </c>
      <c r="U4">
        <f>INDEX('AEO 48'!$178:$178,MATCH(U$2,'AEO 48'!$1:$1,0))/INDEX('AEO 48'!$70:$70,MATCH(U$2,'AEO 48'!$1:$1,0))</f>
        <v>0.19145660020202246</v>
      </c>
      <c r="V4">
        <f>INDEX('AEO 48'!$178:$178,MATCH(V$2,'AEO 48'!$1:$1,0))/INDEX('AEO 48'!$70:$70,MATCH(V$2,'AEO 48'!$1:$1,0))</f>
        <v>0.19230078087341868</v>
      </c>
      <c r="W4">
        <f>INDEX('AEO 48'!$178:$178,MATCH(W$2,'AEO 48'!$1:$1,0))/INDEX('AEO 48'!$70:$70,MATCH(W$2,'AEO 48'!$1:$1,0))</f>
        <v>0.19316854933100105</v>
      </c>
      <c r="X4">
        <f>INDEX('AEO 48'!$178:$178,MATCH(X$2,'AEO 48'!$1:$1,0))/INDEX('AEO 48'!$70:$70,MATCH(X$2,'AEO 48'!$1:$1,0))</f>
        <v>0.19404229343210577</v>
      </c>
      <c r="Y4">
        <f>INDEX('AEO 48'!$178:$178,MATCH(Y$2,'AEO 48'!$1:$1,0))/INDEX('AEO 48'!$70:$70,MATCH(Y$2,'AEO 48'!$1:$1,0))</f>
        <v>0.19493582958134512</v>
      </c>
      <c r="Z4">
        <f>INDEX('AEO 48'!$178:$178,MATCH(Z$2,'AEO 48'!$1:$1,0))/INDEX('AEO 48'!$70:$70,MATCH(Z$2,'AEO 48'!$1:$1,0))</f>
        <v>0.19588013953771591</v>
      </c>
      <c r="AA4">
        <f>INDEX('AEO 48'!$178:$178,MATCH(AA$2,'AEO 48'!$1:$1,0))/INDEX('AEO 48'!$70:$70,MATCH(AA$2,'AEO 48'!$1:$1,0))</f>
        <v>0.19669576776811792</v>
      </c>
      <c r="AB4">
        <f>INDEX('AEO 48'!$178:$178,MATCH(AB$2,'AEO 48'!$1:$1,0))/INDEX('AEO 48'!$70:$70,MATCH(AB$2,'AEO 48'!$1:$1,0))</f>
        <v>0.19763732715453985</v>
      </c>
      <c r="AC4">
        <f>INDEX('AEO 48'!$178:$178,MATCH(AC$2,'AEO 48'!$1:$1,0))/INDEX('AEO 48'!$70:$70,MATCH(AC$2,'AEO 48'!$1:$1,0))</f>
        <v>0.19871966559972876</v>
      </c>
      <c r="AD4">
        <f>INDEX('AEO 48'!$178:$178,MATCH(AD$2,'AEO 48'!$1:$1,0))/INDEX('AEO 48'!$70:$70,MATCH(AD$2,'AEO 48'!$1:$1,0))</f>
        <v>0.19957880804751388</v>
      </c>
      <c r="AE4">
        <f>INDEX('AEO 48'!$178:$178,MATCH(AE$2,'AEO 48'!$1:$1,0))/INDEX('AEO 48'!$70:$70,MATCH(AE$2,'AEO 48'!$1:$1,0))</f>
        <v>0.20043976064053126</v>
      </c>
      <c r="AF4">
        <f>INDEX('AEO 48'!$178:$178,MATCH(AF$2,'AEO 48'!$1:$1,0))/INDEX('AEO 48'!$70:$70,MATCH(AF$2,'AEO 48'!$1:$1,0))</f>
        <v>0.20127420586085587</v>
      </c>
    </row>
    <row r="5" spans="1:36">
      <c r="B5">
        <f>SUM(B3:B4)</f>
        <v>1</v>
      </c>
      <c r="C5">
        <f t="shared" ref="C5:AF5" si="0">SUM(C3:C4)</f>
        <v>1</v>
      </c>
      <c r="D5">
        <f t="shared" si="0"/>
        <v>1</v>
      </c>
      <c r="E5">
        <f t="shared" si="0"/>
        <v>1</v>
      </c>
      <c r="F5">
        <f t="shared" si="0"/>
        <v>1</v>
      </c>
      <c r="G5">
        <f t="shared" si="0"/>
        <v>1</v>
      </c>
      <c r="H5">
        <f t="shared" si="0"/>
        <v>1</v>
      </c>
      <c r="I5">
        <f t="shared" si="0"/>
        <v>1</v>
      </c>
      <c r="J5">
        <f t="shared" si="0"/>
        <v>1</v>
      </c>
      <c r="K5">
        <f t="shared" si="0"/>
        <v>0.99999999999999989</v>
      </c>
      <c r="L5">
        <f t="shared" si="0"/>
        <v>1</v>
      </c>
      <c r="M5">
        <f t="shared" si="0"/>
        <v>1</v>
      </c>
      <c r="N5">
        <f t="shared" si="0"/>
        <v>1</v>
      </c>
      <c r="O5">
        <f t="shared" si="0"/>
        <v>1</v>
      </c>
      <c r="P5">
        <f t="shared" si="0"/>
        <v>1</v>
      </c>
      <c r="Q5">
        <f t="shared" si="0"/>
        <v>1</v>
      </c>
      <c r="R5">
        <f t="shared" si="0"/>
        <v>1</v>
      </c>
      <c r="S5">
        <f t="shared" si="0"/>
        <v>1</v>
      </c>
      <c r="T5">
        <f t="shared" si="0"/>
        <v>1</v>
      </c>
      <c r="U5">
        <f t="shared" si="0"/>
        <v>1</v>
      </c>
      <c r="V5">
        <f t="shared" si="0"/>
        <v>1</v>
      </c>
      <c r="W5">
        <f t="shared" si="0"/>
        <v>1</v>
      </c>
      <c r="X5">
        <f t="shared" si="0"/>
        <v>1</v>
      </c>
      <c r="Y5">
        <f t="shared" si="0"/>
        <v>1</v>
      </c>
      <c r="Z5">
        <f t="shared" si="0"/>
        <v>0.99999999999999989</v>
      </c>
      <c r="AA5">
        <f t="shared" si="0"/>
        <v>0.99999999999999989</v>
      </c>
      <c r="AB5">
        <f t="shared" si="0"/>
        <v>1</v>
      </c>
      <c r="AC5">
        <f t="shared" si="0"/>
        <v>1</v>
      </c>
      <c r="AD5">
        <f t="shared" si="0"/>
        <v>1</v>
      </c>
      <c r="AE5">
        <f t="shared" si="0"/>
        <v>1</v>
      </c>
      <c r="AF5">
        <f t="shared" si="0"/>
        <v>1</v>
      </c>
    </row>
    <row r="6" spans="1:36">
      <c r="A6" s="2" t="s">
        <v>476</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B2</f>
        <v>2020</v>
      </c>
      <c r="C7">
        <f t="shared" ref="C7:AF7" si="1">C2</f>
        <v>2021</v>
      </c>
      <c r="D7">
        <f t="shared" si="1"/>
        <v>2022</v>
      </c>
      <c r="E7">
        <f t="shared" si="1"/>
        <v>2023</v>
      </c>
      <c r="F7">
        <f t="shared" si="1"/>
        <v>2024</v>
      </c>
      <c r="G7">
        <f t="shared" si="1"/>
        <v>2025</v>
      </c>
      <c r="H7">
        <f t="shared" si="1"/>
        <v>2026</v>
      </c>
      <c r="I7">
        <f t="shared" si="1"/>
        <v>2027</v>
      </c>
      <c r="J7">
        <f t="shared" si="1"/>
        <v>2028</v>
      </c>
      <c r="K7">
        <f t="shared" si="1"/>
        <v>2029</v>
      </c>
      <c r="L7">
        <f t="shared" si="1"/>
        <v>2030</v>
      </c>
      <c r="M7">
        <f t="shared" si="1"/>
        <v>2031</v>
      </c>
      <c r="N7">
        <f t="shared" si="1"/>
        <v>2032</v>
      </c>
      <c r="O7">
        <f t="shared" si="1"/>
        <v>2033</v>
      </c>
      <c r="P7">
        <f t="shared" si="1"/>
        <v>2034</v>
      </c>
      <c r="Q7">
        <f t="shared" si="1"/>
        <v>2035</v>
      </c>
      <c r="R7">
        <f t="shared" si="1"/>
        <v>2036</v>
      </c>
      <c r="S7">
        <f t="shared" si="1"/>
        <v>2037</v>
      </c>
      <c r="T7">
        <f t="shared" si="1"/>
        <v>2038</v>
      </c>
      <c r="U7">
        <f t="shared" si="1"/>
        <v>2039</v>
      </c>
      <c r="V7">
        <f t="shared" si="1"/>
        <v>2040</v>
      </c>
      <c r="W7">
        <f t="shared" si="1"/>
        <v>2041</v>
      </c>
      <c r="X7">
        <f t="shared" si="1"/>
        <v>2042</v>
      </c>
      <c r="Y7">
        <f t="shared" si="1"/>
        <v>2043</v>
      </c>
      <c r="Z7">
        <f t="shared" si="1"/>
        <v>2044</v>
      </c>
      <c r="AA7">
        <f t="shared" si="1"/>
        <v>2045</v>
      </c>
      <c r="AB7">
        <f t="shared" si="1"/>
        <v>2046</v>
      </c>
      <c r="AC7">
        <f t="shared" si="1"/>
        <v>2047</v>
      </c>
      <c r="AD7">
        <f t="shared" si="1"/>
        <v>2048</v>
      </c>
      <c r="AE7">
        <f t="shared" si="1"/>
        <v>2049</v>
      </c>
      <c r="AF7">
        <f t="shared" si="1"/>
        <v>2050</v>
      </c>
    </row>
    <row r="8" spans="1:36">
      <c r="A8" t="s">
        <v>472</v>
      </c>
      <c r="B8" s="36">
        <f>INDEX('AEO 47'!$E$170:$AL$170,MATCH('Calculations Etc'!B$2,'AEO 47'!$E$1:$AL$1,0))/INDEX('AEO 47'!$E$175:$AL$175,MATCH('Calculations Etc'!B$2,'AEO 47'!$E$1:$AL$1,0))</f>
        <v>1.0267589376257868</v>
      </c>
      <c r="C8">
        <f>INDEX('AEO 47'!$E$170:$AL$170,MATCH('Calculations Etc'!C$2,'AEO 47'!$E$1:$AL$1,0))/INDEX('AEO 47'!$E$175:$AL$175,MATCH('Calculations Etc'!C$2,'AEO 47'!$E$1:$AL$1,0))</f>
        <v>1.0566226518577373</v>
      </c>
      <c r="D8">
        <f>INDEX('AEO 47'!$E$170:$AL$170,MATCH('Calculations Etc'!D$2,'AEO 47'!$E$1:$AL$1,0))/INDEX('AEO 47'!$E$175:$AL$175,MATCH('Calculations Etc'!D$2,'AEO 47'!$E$1:$AL$1,0))</f>
        <v>1.0726760422544461</v>
      </c>
      <c r="E8">
        <f>INDEX('AEO 47'!$E$170:$AL$170,MATCH('Calculations Etc'!E$2,'AEO 47'!$E$1:$AL$1,0))/INDEX('AEO 47'!$E$175:$AL$175,MATCH('Calculations Etc'!E$2,'AEO 47'!$E$1:$AL$1,0))</f>
        <v>1.080032575194942</v>
      </c>
      <c r="F8">
        <f>INDEX('AEO 47'!$E$170:$AL$170,MATCH('Calculations Etc'!F$2,'AEO 47'!$E$1:$AL$1,0))/INDEX('AEO 47'!$E$175:$AL$175,MATCH('Calculations Etc'!F$2,'AEO 47'!$E$1:$AL$1,0))</f>
        <v>1.0807966841291061</v>
      </c>
      <c r="G8">
        <f>INDEX('AEO 47'!$E$170:$AL$170,MATCH('Calculations Etc'!G$2,'AEO 47'!$E$1:$AL$1,0))/INDEX('AEO 47'!$E$175:$AL$175,MATCH('Calculations Etc'!G$2,'AEO 47'!$E$1:$AL$1,0))</f>
        <v>1.0803786226963543</v>
      </c>
      <c r="H8">
        <f>INDEX('AEO 47'!$E$170:$AL$170,MATCH('Calculations Etc'!H$2,'AEO 47'!$E$1:$AL$1,0))/INDEX('AEO 47'!$E$175:$AL$175,MATCH('Calculations Etc'!H$2,'AEO 47'!$E$1:$AL$1,0))</f>
        <v>1.0801477744476284</v>
      </c>
      <c r="I8">
        <f>INDEX('AEO 47'!$E$170:$AL$170,MATCH('Calculations Etc'!I$2,'AEO 47'!$E$1:$AL$1,0))/INDEX('AEO 47'!$E$175:$AL$175,MATCH('Calculations Etc'!I$2,'AEO 47'!$E$1:$AL$1,0))</f>
        <v>1.0801863726728571</v>
      </c>
      <c r="J8">
        <f>INDEX('AEO 47'!$E$170:$AL$170,MATCH('Calculations Etc'!J$2,'AEO 47'!$E$1:$AL$1,0))/INDEX('AEO 47'!$E$175:$AL$175,MATCH('Calculations Etc'!J$2,'AEO 47'!$E$1:$AL$1,0))</f>
        <v>1.0801703043350759</v>
      </c>
      <c r="K8">
        <f>INDEX('AEO 47'!$E$170:$AL$170,MATCH('Calculations Etc'!K$2,'AEO 47'!$E$1:$AL$1,0))/INDEX('AEO 47'!$E$175:$AL$175,MATCH('Calculations Etc'!K$2,'AEO 47'!$E$1:$AL$1,0))</f>
        <v>1.0803006689634698</v>
      </c>
      <c r="L8">
        <f>INDEX('AEO 47'!$E$170:$AL$170,MATCH('Calculations Etc'!L$2,'AEO 47'!$E$1:$AL$1,0))/INDEX('AEO 47'!$E$175:$AL$175,MATCH('Calculations Etc'!L$2,'AEO 47'!$E$1:$AL$1,0))</f>
        <v>1.0800974058005088</v>
      </c>
      <c r="M8">
        <f>INDEX('AEO 47'!$E$170:$AL$170,MATCH('Calculations Etc'!M$2,'AEO 47'!$E$1:$AL$1,0))/INDEX('AEO 47'!$E$175:$AL$175,MATCH('Calculations Etc'!M$2,'AEO 47'!$E$1:$AL$1,0))</f>
        <v>1.0796479552201315</v>
      </c>
      <c r="N8">
        <f>INDEX('AEO 47'!$E$170:$AL$170,MATCH('Calculations Etc'!N$2,'AEO 47'!$E$1:$AL$1,0))/INDEX('AEO 47'!$E$175:$AL$175,MATCH('Calculations Etc'!N$2,'AEO 47'!$E$1:$AL$1,0))</f>
        <v>1.0788233839061232</v>
      </c>
      <c r="O8">
        <f>INDEX('AEO 47'!$E$170:$AL$170,MATCH('Calculations Etc'!O$2,'AEO 47'!$E$1:$AL$1,0))/INDEX('AEO 47'!$E$175:$AL$175,MATCH('Calculations Etc'!O$2,'AEO 47'!$E$1:$AL$1,0))</f>
        <v>1.0776572777055966</v>
      </c>
      <c r="P8">
        <f>INDEX('AEO 47'!$E$170:$AL$170,MATCH('Calculations Etc'!P$2,'AEO 47'!$E$1:$AL$1,0))/INDEX('AEO 47'!$E$175:$AL$175,MATCH('Calculations Etc'!P$2,'AEO 47'!$E$1:$AL$1,0))</f>
        <v>1.076380949111378</v>
      </c>
      <c r="Q8">
        <f>INDEX('AEO 47'!$E$170:$AL$170,MATCH('Calculations Etc'!Q$2,'AEO 47'!$E$1:$AL$1,0))/INDEX('AEO 47'!$E$175:$AL$175,MATCH('Calculations Etc'!Q$2,'AEO 47'!$E$1:$AL$1,0))</f>
        <v>1.0748618309569336</v>
      </c>
      <c r="R8">
        <f>INDEX('AEO 47'!$E$170:$AL$170,MATCH('Calculations Etc'!R$2,'AEO 47'!$E$1:$AL$1,0))/INDEX('AEO 47'!$E$175:$AL$175,MATCH('Calculations Etc'!R$2,'AEO 47'!$E$1:$AL$1,0))</f>
        <v>1.0734124867562602</v>
      </c>
      <c r="S8">
        <f>INDEX('AEO 47'!$E$170:$AL$170,MATCH('Calculations Etc'!S$2,'AEO 47'!$E$1:$AL$1,0))/INDEX('AEO 47'!$E$175:$AL$175,MATCH('Calculations Etc'!S$2,'AEO 47'!$E$1:$AL$1,0))</f>
        <v>1.0720164120332718</v>
      </c>
      <c r="T8">
        <f>INDEX('AEO 47'!$E$170:$AL$170,MATCH('Calculations Etc'!T$2,'AEO 47'!$E$1:$AL$1,0))/INDEX('AEO 47'!$E$175:$AL$175,MATCH('Calculations Etc'!T$2,'AEO 47'!$E$1:$AL$1,0))</f>
        <v>1.0707930711041553</v>
      </c>
      <c r="U8">
        <f>INDEX('AEO 47'!$E$170:$AL$170,MATCH('Calculations Etc'!U$2,'AEO 47'!$E$1:$AL$1,0))/INDEX('AEO 47'!$E$175:$AL$175,MATCH('Calculations Etc'!U$2,'AEO 47'!$E$1:$AL$1,0))</f>
        <v>1.069887456744699</v>
      </c>
      <c r="V8">
        <f>INDEX('AEO 47'!$E$170:$AL$170,MATCH('Calculations Etc'!V$2,'AEO 47'!$E$1:$AL$1,0))/INDEX('AEO 47'!$E$175:$AL$175,MATCH('Calculations Etc'!V$2,'AEO 47'!$E$1:$AL$1,0))</f>
        <v>1.0691757565982958</v>
      </c>
      <c r="W8">
        <f>INDEX('AEO 47'!$E$170:$AL$170,MATCH('Calculations Etc'!W$2,'AEO 47'!$E$1:$AL$1,0))/INDEX('AEO 47'!$E$175:$AL$175,MATCH('Calculations Etc'!W$2,'AEO 47'!$E$1:$AL$1,0))</f>
        <v>1.0685676746579558</v>
      </c>
      <c r="X8">
        <f>INDEX('AEO 47'!$E$170:$AL$170,MATCH('Calculations Etc'!X$2,'AEO 47'!$E$1:$AL$1,0))/INDEX('AEO 47'!$E$175:$AL$175,MATCH('Calculations Etc'!X$2,'AEO 47'!$E$1:$AL$1,0))</f>
        <v>1.0680013267815363</v>
      </c>
      <c r="Y8">
        <f>INDEX('AEO 47'!$E$170:$AL$170,MATCH('Calculations Etc'!Y$2,'AEO 47'!$E$1:$AL$1,0))/INDEX('AEO 47'!$E$175:$AL$175,MATCH('Calculations Etc'!Y$2,'AEO 47'!$E$1:$AL$1,0))</f>
        <v>1.0673990407710821</v>
      </c>
      <c r="Z8">
        <f>INDEX('AEO 47'!$E$170:$AL$170,MATCH('Calculations Etc'!Z$2,'AEO 47'!$E$1:$AL$1,0))/INDEX('AEO 47'!$E$175:$AL$175,MATCH('Calculations Etc'!Z$2,'AEO 47'!$E$1:$AL$1,0))</f>
        <v>1.0670790658864524</v>
      </c>
      <c r="AA8">
        <f>INDEX('AEO 47'!$E$170:$AL$170,MATCH('Calculations Etc'!AA$2,'AEO 47'!$E$1:$AL$1,0))/INDEX('AEO 47'!$E$175:$AL$175,MATCH('Calculations Etc'!AA$2,'AEO 47'!$E$1:$AL$1,0))</f>
        <v>1.0670327238047188</v>
      </c>
      <c r="AB8">
        <f>INDEX('AEO 47'!$E$170:$AL$170,MATCH('Calculations Etc'!AB$2,'AEO 47'!$E$1:$AL$1,0))/INDEX('AEO 47'!$E$175:$AL$175,MATCH('Calculations Etc'!AB$2,'AEO 47'!$E$1:$AL$1,0))</f>
        <v>1.06715660210925</v>
      </c>
      <c r="AC8">
        <f>INDEX('AEO 47'!$E$170:$AL$170,MATCH('Calculations Etc'!AC$2,'AEO 47'!$E$1:$AL$1,0))/INDEX('AEO 47'!$E$175:$AL$175,MATCH('Calculations Etc'!AC$2,'AEO 47'!$E$1:$AL$1,0))</f>
        <v>1.0674450504798578</v>
      </c>
      <c r="AD8">
        <f>INDEX('AEO 47'!$E$170:$AL$170,MATCH('Calculations Etc'!AD$2,'AEO 47'!$E$1:$AL$1,0))/INDEX('AEO 47'!$E$175:$AL$175,MATCH('Calculations Etc'!AD$2,'AEO 47'!$E$1:$AL$1,0))</f>
        <v>1.0675325681941918</v>
      </c>
      <c r="AE8">
        <f>INDEX('AEO 47'!$E$170:$AL$170,MATCH('Calculations Etc'!AE$2,'AEO 47'!$E$1:$AL$1,0))/INDEX('AEO 47'!$E$175:$AL$175,MATCH('Calculations Etc'!AE$2,'AEO 47'!$E$1:$AL$1,0))</f>
        <v>1.0677374953366006</v>
      </c>
      <c r="AF8">
        <f>INDEX('AEO 47'!$E$170:$AL$170,MATCH('Calculations Etc'!AF$2,'AEO 47'!$E$1:$AL$1,0))/INDEX('AEO 47'!$E$175:$AL$175,MATCH('Calculations Etc'!AF$2,'AEO 47'!$E$1:$AL$1,0))</f>
        <v>1.0680294218651734</v>
      </c>
    </row>
    <row r="9" spans="1:36">
      <c r="A9" t="s">
        <v>598</v>
      </c>
      <c r="B9">
        <f>INDEX('AEO 49'!$202:$202,MATCH('Calculations Etc'!B$2,'AEO 49'!$1:$1,0))/INDEX('AEO 49'!$131:$131,MATCH('Calculations Etc'!B$2,'AEO 49'!$1:$1,0))</f>
        <v>1.0500638212832756</v>
      </c>
      <c r="C9">
        <f>INDEX('AEO 49'!$202:$202,MATCH('Calculations Etc'!C$2,'AEO 49'!$1:$1,0))/INDEX('AEO 49'!$131:$131,MATCH('Calculations Etc'!C$2,'AEO 49'!$1:$1,0))</f>
        <v>1.0593922591475193</v>
      </c>
      <c r="D9">
        <f>INDEX('AEO 49'!$202:$202,MATCH('Calculations Etc'!D$2,'AEO 49'!$1:$1,0))/INDEX('AEO 49'!$131:$131,MATCH('Calculations Etc'!D$2,'AEO 49'!$1:$1,0))</f>
        <v>1.055273588491612</v>
      </c>
      <c r="E9">
        <f>INDEX('AEO 49'!$202:$202,MATCH('Calculations Etc'!E$2,'AEO 49'!$1:$1,0))/INDEX('AEO 49'!$131:$131,MATCH('Calculations Etc'!E$2,'AEO 49'!$1:$1,0))</f>
        <v>1.0598405656839316</v>
      </c>
      <c r="F9">
        <f>INDEX('AEO 49'!$202:$202,MATCH('Calculations Etc'!F$2,'AEO 49'!$1:$1,0))/INDEX('AEO 49'!$131:$131,MATCH('Calculations Etc'!F$2,'AEO 49'!$1:$1,0))</f>
        <v>1.0720519339174091</v>
      </c>
      <c r="G9">
        <f>INDEX('AEO 49'!$202:$202,MATCH('Calculations Etc'!G$2,'AEO 49'!$1:$1,0))/INDEX('AEO 49'!$131:$131,MATCH('Calculations Etc'!G$2,'AEO 49'!$1:$1,0))</f>
        <v>1.0870789809585106</v>
      </c>
      <c r="H9">
        <f>INDEX('AEO 49'!$202:$202,MATCH('Calculations Etc'!H$2,'AEO 49'!$1:$1,0))/INDEX('AEO 49'!$131:$131,MATCH('Calculations Etc'!H$2,'AEO 49'!$1:$1,0))</f>
        <v>1.1026064527430068</v>
      </c>
      <c r="I9">
        <f>INDEX('AEO 49'!$202:$202,MATCH('Calculations Etc'!I$2,'AEO 49'!$1:$1,0))/INDEX('AEO 49'!$131:$131,MATCH('Calculations Etc'!I$2,'AEO 49'!$1:$1,0))</f>
        <v>1.1198731054782076</v>
      </c>
      <c r="J9">
        <f>INDEX('AEO 49'!$202:$202,MATCH('Calculations Etc'!J$2,'AEO 49'!$1:$1,0))/INDEX('AEO 49'!$131:$131,MATCH('Calculations Etc'!J$2,'AEO 49'!$1:$1,0))</f>
        <v>1.1218489479307785</v>
      </c>
      <c r="K9">
        <f>INDEX('AEO 49'!$202:$202,MATCH('Calculations Etc'!K$2,'AEO 49'!$1:$1,0))/INDEX('AEO 49'!$131:$131,MATCH('Calculations Etc'!K$2,'AEO 49'!$1:$1,0))</f>
        <v>1.1279514295135296</v>
      </c>
      <c r="L9">
        <f>INDEX('AEO 49'!$202:$202,MATCH('Calculations Etc'!L$2,'AEO 49'!$1:$1,0))/INDEX('AEO 49'!$131:$131,MATCH('Calculations Etc'!L$2,'AEO 49'!$1:$1,0))</f>
        <v>1.1283726764032007</v>
      </c>
      <c r="M9">
        <f>INDEX('AEO 49'!$202:$202,MATCH('Calculations Etc'!M$2,'AEO 49'!$1:$1,0))/INDEX('AEO 49'!$131:$131,MATCH('Calculations Etc'!M$2,'AEO 49'!$1:$1,0))</f>
        <v>1.1261203459152576</v>
      </c>
      <c r="N9">
        <f>INDEX('AEO 49'!$202:$202,MATCH('Calculations Etc'!N$2,'AEO 49'!$1:$1,0))/INDEX('AEO 49'!$131:$131,MATCH('Calculations Etc'!N$2,'AEO 49'!$1:$1,0))</f>
        <v>1.1166039177170293</v>
      </c>
      <c r="O9">
        <f>INDEX('AEO 49'!$202:$202,MATCH('Calculations Etc'!O$2,'AEO 49'!$1:$1,0))/INDEX('AEO 49'!$131:$131,MATCH('Calculations Etc'!O$2,'AEO 49'!$1:$1,0))</f>
        <v>1.1011107053022853</v>
      </c>
      <c r="P9">
        <f>INDEX('AEO 49'!$202:$202,MATCH('Calculations Etc'!P$2,'AEO 49'!$1:$1,0))/INDEX('AEO 49'!$131:$131,MATCH('Calculations Etc'!P$2,'AEO 49'!$1:$1,0))</f>
        <v>1.0875110717646859</v>
      </c>
      <c r="Q9">
        <f>INDEX('AEO 49'!$202:$202,MATCH('Calculations Etc'!Q$2,'AEO 49'!$1:$1,0))/INDEX('AEO 49'!$131:$131,MATCH('Calculations Etc'!Q$2,'AEO 49'!$1:$1,0))</f>
        <v>1.0745895895708351</v>
      </c>
      <c r="R9">
        <f>INDEX('AEO 49'!$202:$202,MATCH('Calculations Etc'!R$2,'AEO 49'!$1:$1,0))/INDEX('AEO 49'!$131:$131,MATCH('Calculations Etc'!R$2,'AEO 49'!$1:$1,0))</f>
        <v>1.0628059054583676</v>
      </c>
      <c r="S9">
        <f>INDEX('AEO 49'!$202:$202,MATCH('Calculations Etc'!S$2,'AEO 49'!$1:$1,0))/INDEX('AEO 49'!$131:$131,MATCH('Calculations Etc'!S$2,'AEO 49'!$1:$1,0))</f>
        <v>1.0532608552647895</v>
      </c>
      <c r="T9">
        <f>INDEX('AEO 49'!$202:$202,MATCH('Calculations Etc'!T$2,'AEO 49'!$1:$1,0))/INDEX('AEO 49'!$131:$131,MATCH('Calculations Etc'!T$2,'AEO 49'!$1:$1,0))</f>
        <v>1.0458209852303599</v>
      </c>
      <c r="U9">
        <f>INDEX('AEO 49'!$202:$202,MATCH('Calculations Etc'!U$2,'AEO 49'!$1:$1,0))/INDEX('AEO 49'!$131:$131,MATCH('Calculations Etc'!U$2,'AEO 49'!$1:$1,0))</f>
        <v>1.0373868366369192</v>
      </c>
      <c r="V9">
        <f>INDEX('AEO 49'!$202:$202,MATCH('Calculations Etc'!V$2,'AEO 49'!$1:$1,0))/INDEX('AEO 49'!$131:$131,MATCH('Calculations Etc'!V$2,'AEO 49'!$1:$1,0))</f>
        <v>1.0291690215826339</v>
      </c>
      <c r="W9">
        <f>INDEX('AEO 49'!$202:$202,MATCH('Calculations Etc'!W$2,'AEO 49'!$1:$1,0))/INDEX('AEO 49'!$131:$131,MATCH('Calculations Etc'!W$2,'AEO 49'!$1:$1,0))</f>
        <v>1.0229229297301126</v>
      </c>
      <c r="X9">
        <f>INDEX('AEO 49'!$202:$202,MATCH('Calculations Etc'!X$2,'AEO 49'!$1:$1,0))/INDEX('AEO 49'!$131:$131,MATCH('Calculations Etc'!X$2,'AEO 49'!$1:$1,0))</f>
        <v>1.0186349516301247</v>
      </c>
      <c r="Y9">
        <f>INDEX('AEO 49'!$202:$202,MATCH('Calculations Etc'!Y$2,'AEO 49'!$1:$1,0))/INDEX('AEO 49'!$131:$131,MATCH('Calculations Etc'!Y$2,'AEO 49'!$1:$1,0))</f>
        <v>1.0149193628782565</v>
      </c>
      <c r="Z9">
        <f>INDEX('AEO 49'!$202:$202,MATCH('Calculations Etc'!Z$2,'AEO 49'!$1:$1,0))/INDEX('AEO 49'!$131:$131,MATCH('Calculations Etc'!Z$2,'AEO 49'!$1:$1,0))</f>
        <v>1.0124311900473977</v>
      </c>
      <c r="AA9">
        <f>INDEX('AEO 49'!$202:$202,MATCH('Calculations Etc'!AA$2,'AEO 49'!$1:$1,0))/INDEX('AEO 49'!$131:$131,MATCH('Calculations Etc'!AA$2,'AEO 49'!$1:$1,0))</f>
        <v>1.0108032830038116</v>
      </c>
      <c r="AB9">
        <f>INDEX('AEO 49'!$202:$202,MATCH('Calculations Etc'!AB$2,'AEO 49'!$1:$1,0))/INDEX('AEO 49'!$131:$131,MATCH('Calculations Etc'!AB$2,'AEO 49'!$1:$1,0))</f>
        <v>1.0083650321161761</v>
      </c>
      <c r="AC9">
        <f>INDEX('AEO 49'!$202:$202,MATCH('Calculations Etc'!AC$2,'AEO 49'!$1:$1,0))/INDEX('AEO 49'!$131:$131,MATCH('Calculations Etc'!AC$2,'AEO 49'!$1:$1,0))</f>
        <v>1.0075344892777718</v>
      </c>
      <c r="AD9">
        <f>INDEX('AEO 49'!$202:$202,MATCH('Calculations Etc'!AD$2,'AEO 49'!$1:$1,0))/INDEX('AEO 49'!$131:$131,MATCH('Calculations Etc'!AD$2,'AEO 49'!$1:$1,0))</f>
        <v>1.0068776572893245</v>
      </c>
      <c r="AE9">
        <f>INDEX('AEO 49'!$202:$202,MATCH('Calculations Etc'!AE$2,'AEO 49'!$1:$1,0))/INDEX('AEO 49'!$131:$131,MATCH('Calculations Etc'!AE$2,'AEO 49'!$1:$1,0))</f>
        <v>1.004062394919603</v>
      </c>
      <c r="AF9">
        <f>INDEX('AEO 49'!$202:$202,MATCH('Calculations Etc'!AF$2,'AEO 49'!$1:$1,0))/INDEX('AEO 49'!$131:$131,MATCH('Calculations Etc'!AF$2,'AEO 49'!$1:$1,0))</f>
        <v>1.0019605166207237</v>
      </c>
    </row>
    <row r="11" spans="1:36">
      <c r="A11" s="2" t="s">
        <v>857</v>
      </c>
      <c r="B11" s="2"/>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1"/>
    </row>
    <row r="12" spans="1:36">
      <c r="B12">
        <f>B2</f>
        <v>2020</v>
      </c>
      <c r="C12">
        <v>2021</v>
      </c>
      <c r="D12">
        <f t="shared" ref="D12" si="2">D2</f>
        <v>2022</v>
      </c>
      <c r="E12">
        <v>2022</v>
      </c>
      <c r="F12">
        <f t="shared" ref="F12" si="3">F2</f>
        <v>2024</v>
      </c>
      <c r="G12">
        <v>2023</v>
      </c>
      <c r="H12">
        <f t="shared" ref="H12" si="4">H2</f>
        <v>2026</v>
      </c>
      <c r="I12">
        <v>2024</v>
      </c>
      <c r="J12">
        <f t="shared" ref="J12" si="5">J2</f>
        <v>2028</v>
      </c>
      <c r="K12">
        <v>2025</v>
      </c>
      <c r="L12">
        <f t="shared" ref="L12" si="6">L2</f>
        <v>2030</v>
      </c>
      <c r="M12">
        <v>2026</v>
      </c>
      <c r="N12">
        <f t="shared" ref="N12" si="7">N2</f>
        <v>2032</v>
      </c>
      <c r="O12">
        <v>2027</v>
      </c>
      <c r="P12">
        <f t="shared" ref="P12" si="8">P2</f>
        <v>2034</v>
      </c>
      <c r="Q12">
        <v>2028</v>
      </c>
      <c r="R12">
        <f t="shared" ref="R12" si="9">R2</f>
        <v>2036</v>
      </c>
      <c r="S12">
        <v>2029</v>
      </c>
      <c r="T12">
        <f t="shared" ref="T12" si="10">T2</f>
        <v>2038</v>
      </c>
      <c r="U12">
        <v>2030</v>
      </c>
      <c r="V12">
        <f t="shared" ref="V12" si="11">V2</f>
        <v>2040</v>
      </c>
      <c r="W12">
        <v>2031</v>
      </c>
      <c r="X12">
        <f t="shared" ref="X12" si="12">X2</f>
        <v>2042</v>
      </c>
      <c r="Y12">
        <v>2032</v>
      </c>
      <c r="Z12">
        <f t="shared" ref="Z12" si="13">Z2</f>
        <v>2044</v>
      </c>
      <c r="AA12">
        <v>2033</v>
      </c>
      <c r="AB12">
        <f t="shared" ref="AB12" si="14">AB2</f>
        <v>2046</v>
      </c>
      <c r="AC12">
        <v>2034</v>
      </c>
      <c r="AD12">
        <f t="shared" ref="AD12" si="15">AD2</f>
        <v>2048</v>
      </c>
      <c r="AE12">
        <v>2035</v>
      </c>
      <c r="AF12">
        <f t="shared" ref="AF12" si="16">AF2</f>
        <v>2050</v>
      </c>
    </row>
    <row r="13" spans="1:36">
      <c r="A13" t="s">
        <v>858</v>
      </c>
      <c r="B13" cm="1">
        <f t="array" ref="B13">(INDEX('AEO 7'!$22:$22,MATCH(B2,'AEO 7'!$1:$1,0))*10^9)/(INDEX('AEO 7'!$58:$58,,MATCH(B2,'AEO 7'!$1:$1,0))*10^15)</f>
        <v>8.7638862145128277E-4</v>
      </c>
      <c r="C13" cm="1">
        <f t="array" ref="C13">(INDEX('AEO 7'!$22:$22,MATCH(C2,'AEO 7'!$1:$1,0))*10^9)/(INDEX('AEO 7'!$58:$58,,MATCH(C2,'AEO 7'!$1:$1,0))*10^15)</f>
        <v>8.6858289366033401E-4</v>
      </c>
      <c r="D13" cm="1">
        <f t="array" ref="D13">(INDEX('AEO 7'!$22:$22,MATCH(D2,'AEO 7'!$1:$1,0))*10^9)/(INDEX('AEO 7'!$58:$58,,MATCH(D2,'AEO 7'!$1:$1,0))*10^15)</f>
        <v>8.6877437432266249E-4</v>
      </c>
      <c r="E13" cm="1">
        <f t="array" ref="E13">(INDEX('AEO 7'!$22:$22,MATCH(E2,'AEO 7'!$1:$1,0))*10^9)/(INDEX('AEO 7'!$58:$58,,MATCH(E2,'AEO 7'!$1:$1,0))*10^15)</f>
        <v>8.7093458730761733E-4</v>
      </c>
      <c r="F13" cm="1">
        <f t="array" ref="F13">(INDEX('AEO 7'!$22:$22,MATCH(F2,'AEO 7'!$1:$1,0))*10^9)/(INDEX('AEO 7'!$58:$58,,MATCH(F2,'AEO 7'!$1:$1,0))*10^15)</f>
        <v>8.736463756778552E-4</v>
      </c>
      <c r="G13" cm="1">
        <f t="array" ref="G13">(INDEX('AEO 7'!$22:$22,MATCH(G2,'AEO 7'!$1:$1,0))*10^9)/(INDEX('AEO 7'!$58:$58,,MATCH(G2,'AEO 7'!$1:$1,0))*10^15)</f>
        <v>8.7735221110251792E-4</v>
      </c>
      <c r="H13" cm="1">
        <f t="array" ref="H13">(INDEX('AEO 7'!$22:$22,MATCH(H2,'AEO 7'!$1:$1,0))*10^9)/(INDEX('AEO 7'!$58:$58,,MATCH(H2,'AEO 7'!$1:$1,0))*10^15)</f>
        <v>8.8073902997118413E-4</v>
      </c>
      <c r="I13" cm="1">
        <f t="array" ref="I13">(INDEX('AEO 7'!$22:$22,MATCH(I2,'AEO 7'!$1:$1,0))*10^9)/(INDEX('AEO 7'!$58:$58,,MATCH(I2,'AEO 7'!$1:$1,0))*10^15)</f>
        <v>8.8339079190982771E-4</v>
      </c>
      <c r="J13" cm="1">
        <f t="array" ref="J13">(INDEX('AEO 7'!$22:$22,MATCH(J2,'AEO 7'!$1:$1,0))*10^9)/(INDEX('AEO 7'!$58:$58,,MATCH(J2,'AEO 7'!$1:$1,0))*10^15)</f>
        <v>8.8949252263659186E-4</v>
      </c>
      <c r="K13" cm="1">
        <f t="array" ref="K13">(INDEX('AEO 7'!$22:$22,MATCH(K2,'AEO 7'!$1:$1,0))*10^9)/(INDEX('AEO 7'!$58:$58,,MATCH(K2,'AEO 7'!$1:$1,0))*10^15)</f>
        <v>8.9464835150599158E-4</v>
      </c>
      <c r="L13" cm="1">
        <f t="array" ref="L13">(INDEX('AEO 7'!$22:$22,MATCH(L2,'AEO 7'!$1:$1,0))*10^9)/(INDEX('AEO 7'!$58:$58,,MATCH(L2,'AEO 7'!$1:$1,0))*10^15)</f>
        <v>8.973424598838829E-4</v>
      </c>
      <c r="M13" cm="1">
        <f t="array" ref="M13">(INDEX('AEO 7'!$22:$22,MATCH(M2,'AEO 7'!$1:$1,0))*10^9)/(INDEX('AEO 7'!$58:$58,,MATCH(M2,'AEO 7'!$1:$1,0))*10^15)</f>
        <v>9.0212622002573651E-4</v>
      </c>
      <c r="N13" cm="1">
        <f t="array" ref="N13">(INDEX('AEO 7'!$22:$22,MATCH(N2,'AEO 7'!$1:$1,0))*10^9)/(INDEX('AEO 7'!$58:$58,,MATCH(N2,'AEO 7'!$1:$1,0))*10^15)</f>
        <v>9.0526711058628933E-4</v>
      </c>
      <c r="O13" cm="1">
        <f t="array" ref="O13">(INDEX('AEO 7'!$22:$22,MATCH(O2,'AEO 7'!$1:$1,0))*10^9)/(INDEX('AEO 7'!$58:$58,,MATCH(O2,'AEO 7'!$1:$1,0))*10^15)</f>
        <v>9.0834532435354919E-4</v>
      </c>
      <c r="P13" cm="1">
        <f t="array" ref="P13">(INDEX('AEO 7'!$22:$22,MATCH(P2,'AEO 7'!$1:$1,0))*10^9)/(INDEX('AEO 7'!$58:$58,,MATCH(P2,'AEO 7'!$1:$1,0))*10^15)</f>
        <v>9.1088507423963392E-4</v>
      </c>
      <c r="Q13" cm="1">
        <f t="array" ref="Q13">(INDEX('AEO 7'!$22:$22,MATCH(Q2,'AEO 7'!$1:$1,0))*10^9)/(INDEX('AEO 7'!$58:$58,,MATCH(Q2,'AEO 7'!$1:$1,0))*10^15)</f>
        <v>9.1469488608285192E-4</v>
      </c>
      <c r="R13" cm="1">
        <f t="array" ref="R13">(INDEX('AEO 7'!$22:$22,MATCH(R2,'AEO 7'!$1:$1,0))*10^9)/(INDEX('AEO 7'!$58:$58,,MATCH(R2,'AEO 7'!$1:$1,0))*10^15)</f>
        <v>9.1742988466540179E-4</v>
      </c>
      <c r="S13" cm="1">
        <f t="array" ref="S13">(INDEX('AEO 7'!$22:$22,MATCH(S2,'AEO 7'!$1:$1,0))*10^9)/(INDEX('AEO 7'!$58:$58,,MATCH(S2,'AEO 7'!$1:$1,0))*10^15)</f>
        <v>9.1979706310358516E-4</v>
      </c>
      <c r="T13" cm="1">
        <f t="array" ref="T13">(INDEX('AEO 7'!$22:$22,MATCH(T2,'AEO 7'!$1:$1,0))*10^9)/(INDEX('AEO 7'!$58:$58,,MATCH(T2,'AEO 7'!$1:$1,0))*10^15)</f>
        <v>9.2232841836233169E-4</v>
      </c>
      <c r="U13" cm="1">
        <f t="array" ref="U13">(INDEX('AEO 7'!$22:$22,MATCH(U2,'AEO 7'!$1:$1,0))*10^9)/(INDEX('AEO 7'!$58:$58,,MATCH(U2,'AEO 7'!$1:$1,0))*10^15)</f>
        <v>9.2542898153305628E-4</v>
      </c>
      <c r="V13" cm="1">
        <f t="array" ref="V13">(INDEX('AEO 7'!$22:$22,MATCH(V2,'AEO 7'!$1:$1,0))*10^9)/(INDEX('AEO 7'!$58:$58,,MATCH(V2,'AEO 7'!$1:$1,0))*10^15)</f>
        <v>9.280444612359502E-4</v>
      </c>
      <c r="W13" cm="1">
        <f t="array" ref="W13">(INDEX('AEO 7'!$22:$22,MATCH(W2,'AEO 7'!$1:$1,0))*10^9)/(INDEX('AEO 7'!$58:$58,,MATCH(W2,'AEO 7'!$1:$1,0))*10^15)</f>
        <v>9.311671890877151E-4</v>
      </c>
      <c r="X13" cm="1">
        <f t="array" ref="X13">(INDEX('AEO 7'!$22:$22,MATCH(X2,'AEO 7'!$1:$1,0))*10^9)/(INDEX('AEO 7'!$58:$58,,MATCH(X2,'AEO 7'!$1:$1,0))*10^15)</f>
        <v>9.3441961609233137E-4</v>
      </c>
      <c r="Y13" cm="1">
        <f t="array" ref="Y13">(INDEX('AEO 7'!$22:$22,MATCH(Y2,'AEO 7'!$1:$1,0))*10^9)/(INDEX('AEO 7'!$58:$58,,MATCH(Y2,'AEO 7'!$1:$1,0))*10^15)</f>
        <v>9.376490052737177E-4</v>
      </c>
      <c r="Z13" cm="1">
        <f t="array" ref="Z13">(INDEX('AEO 7'!$22:$22,MATCH(Z2,'AEO 7'!$1:$1,0))*10^9)/(INDEX('AEO 7'!$58:$58,,MATCH(Z2,'AEO 7'!$1:$1,0))*10^15)</f>
        <v>9.408107292685578E-4</v>
      </c>
      <c r="AA13" cm="1">
        <f t="array" ref="AA13">(INDEX('AEO 7'!$22:$22,MATCH(AA2,'AEO 7'!$1:$1,0))*10^9)/(INDEX('AEO 7'!$58:$58,,MATCH(AA2,'AEO 7'!$1:$1,0))*10^15)</f>
        <v>9.4402193862419092E-4</v>
      </c>
      <c r="AB13" cm="1">
        <f t="array" ref="AB13">(INDEX('AEO 7'!$22:$22,MATCH(AB2,'AEO 7'!$1:$1,0))*10^9)/(INDEX('AEO 7'!$58:$58,,MATCH(AB2,'AEO 7'!$1:$1,0))*10^15)</f>
        <v>9.4751187609984149E-4</v>
      </c>
      <c r="AC13" cm="1">
        <f t="array" ref="AC13">(INDEX('AEO 7'!$22:$22,MATCH(AC2,'AEO 7'!$1:$1,0))*10^9)/(INDEX('AEO 7'!$58:$58,,MATCH(AC2,'AEO 7'!$1:$1,0))*10^15)</f>
        <v>9.5068608282059051E-4</v>
      </c>
      <c r="AD13" cm="1">
        <f t="array" ref="AD13">(INDEX('AEO 7'!$22:$22,MATCH(AD2,'AEO 7'!$1:$1,0))*10^9)/(INDEX('AEO 7'!$58:$58,,MATCH(AD2,'AEO 7'!$1:$1,0))*10^15)</f>
        <v>9.5426655440848456E-4</v>
      </c>
      <c r="AE13" cm="1">
        <f t="array" ref="AE13">(INDEX('AEO 7'!$22:$22,MATCH(AE2,'AEO 7'!$1:$1,0))*10^9)/(INDEX('AEO 7'!$58:$58,,MATCH(AE2,'AEO 7'!$1:$1,0))*10^15)</f>
        <v>9.5698177977524121E-4</v>
      </c>
      <c r="AF13" cm="1">
        <f t="array" ref="AF13">(INDEX('AEO 7'!$22:$22,MATCH(AF2,'AEO 7'!$1:$1,0))*10^9)/(INDEX('AEO 7'!$58:$58,,MATCH(AF2,'AEO 7'!$1:$1,0))*10^15)</f>
        <v>9.5946977568148097E-4</v>
      </c>
    </row>
    <row r="15" spans="1:36">
      <c r="A15" s="2" t="s">
        <v>599</v>
      </c>
      <c r="B15" s="3"/>
      <c r="D15" s="2" t="s">
        <v>610</v>
      </c>
    </row>
    <row r="16" spans="1:36">
      <c r="A16" t="s">
        <v>604</v>
      </c>
      <c r="B16" s="12">
        <v>0.68595041322314043</v>
      </c>
      <c r="D16" s="8" t="s">
        <v>600</v>
      </c>
    </row>
    <row r="17" spans="1:5">
      <c r="A17" t="s">
        <v>475</v>
      </c>
      <c r="B17" s="12">
        <v>0.68881036513545346</v>
      </c>
    </row>
    <row r="19" spans="1:5">
      <c r="A19" s="2" t="s">
        <v>601</v>
      </c>
      <c r="B19" s="3"/>
      <c r="D19" s="2" t="s">
        <v>610</v>
      </c>
    </row>
    <row r="20" spans="1:5">
      <c r="A20" t="s">
        <v>602</v>
      </c>
      <c r="B20">
        <v>0.55000000000000004</v>
      </c>
      <c r="D20" s="8" t="s">
        <v>603</v>
      </c>
    </row>
    <row r="22" spans="1:5">
      <c r="A22" s="2" t="s">
        <v>612</v>
      </c>
      <c r="B22" s="3"/>
      <c r="D22" s="2" t="s">
        <v>610</v>
      </c>
    </row>
    <row r="23" spans="1:5">
      <c r="A23" t="s">
        <v>595</v>
      </c>
      <c r="B23">
        <v>1.67</v>
      </c>
      <c r="D23" s="8" t="s">
        <v>605</v>
      </c>
    </row>
    <row r="24" spans="1:5">
      <c r="A24" t="s">
        <v>596</v>
      </c>
      <c r="B24">
        <v>1</v>
      </c>
    </row>
    <row r="25" spans="1:5">
      <c r="A25" t="s">
        <v>598</v>
      </c>
      <c r="B25">
        <v>16</v>
      </c>
    </row>
    <row r="26" spans="1:5">
      <c r="A26" t="s">
        <v>508</v>
      </c>
      <c r="B26">
        <v>48.656731685074099</v>
      </c>
    </row>
    <row r="28" spans="1:5">
      <c r="A28" s="2" t="s">
        <v>606</v>
      </c>
      <c r="B28" s="3"/>
      <c r="D28" s="2" t="s">
        <v>610</v>
      </c>
    </row>
    <row r="29" spans="1:5">
      <c r="A29" t="s">
        <v>607</v>
      </c>
      <c r="B29">
        <v>120476</v>
      </c>
      <c r="D29" t="s">
        <v>473</v>
      </c>
      <c r="E29" t="s">
        <v>611</v>
      </c>
    </row>
    <row r="30" spans="1:5">
      <c r="A30" t="s">
        <v>608</v>
      </c>
      <c r="B30">
        <v>137452</v>
      </c>
      <c r="D30" s="5">
        <v>2017</v>
      </c>
      <c r="E30" t="s">
        <v>609</v>
      </c>
    </row>
    <row r="32" spans="1:5">
      <c r="A32" s="2" t="s">
        <v>842</v>
      </c>
      <c r="B32" s="3"/>
      <c r="D32" s="2" t="s">
        <v>610</v>
      </c>
    </row>
    <row r="33" spans="1:33">
      <c r="A33" t="s">
        <v>843</v>
      </c>
      <c r="B33" s="16">
        <v>0.2</v>
      </c>
      <c r="D33" s="8" t="s">
        <v>844</v>
      </c>
    </row>
    <row r="34" spans="1:33">
      <c r="A34" t="s">
        <v>845</v>
      </c>
      <c r="B34" s="16">
        <v>0.6</v>
      </c>
      <c r="D34" s="8" t="s">
        <v>846</v>
      </c>
    </row>
    <row r="35" spans="1:33">
      <c r="A35" t="s">
        <v>847</v>
      </c>
      <c r="B35">
        <f>B34/B33</f>
        <v>2.9999999999999996</v>
      </c>
    </row>
    <row r="37" spans="1:33">
      <c r="A37" s="2" t="s">
        <v>848</v>
      </c>
      <c r="B37" s="2"/>
      <c r="D37" s="2" t="s">
        <v>610</v>
      </c>
    </row>
    <row r="38" spans="1:33">
      <c r="A38" t="s">
        <v>849</v>
      </c>
      <c r="B38" s="17">
        <v>0.22500000000000001</v>
      </c>
      <c r="D38" s="18" t="s">
        <v>850</v>
      </c>
    </row>
    <row r="39" spans="1:33">
      <c r="A39" t="s">
        <v>851</v>
      </c>
      <c r="B39">
        <f>1-B38</f>
        <v>0.77500000000000002</v>
      </c>
      <c r="D39" s="18" t="s">
        <v>852</v>
      </c>
    </row>
    <row r="41" spans="1:33">
      <c r="A41" s="2" t="s">
        <v>976</v>
      </c>
    </row>
    <row r="42" spans="1:33" s="1" customFormat="1">
      <c r="A42" s="37" t="s">
        <v>977</v>
      </c>
      <c r="B42" s="1">
        <v>2020</v>
      </c>
      <c r="C42" s="1">
        <v>2021</v>
      </c>
      <c r="D42" s="1">
        <v>2022</v>
      </c>
      <c r="E42" s="1">
        <v>2023</v>
      </c>
      <c r="F42" s="1">
        <v>2024</v>
      </c>
      <c r="G42" s="1">
        <v>2025</v>
      </c>
      <c r="H42" s="1">
        <v>2026</v>
      </c>
      <c r="I42" s="1">
        <v>2027</v>
      </c>
      <c r="J42" s="1">
        <v>2028</v>
      </c>
      <c r="K42" s="1">
        <v>2029</v>
      </c>
      <c r="L42" s="1">
        <v>2030</v>
      </c>
      <c r="M42" s="1">
        <v>2031</v>
      </c>
      <c r="N42" s="1">
        <v>2032</v>
      </c>
      <c r="O42" s="1">
        <v>2033</v>
      </c>
      <c r="P42" s="1">
        <v>2034</v>
      </c>
      <c r="Q42" s="1">
        <v>2035</v>
      </c>
      <c r="R42" s="1">
        <v>2036</v>
      </c>
      <c r="S42" s="1">
        <v>2037</v>
      </c>
      <c r="T42" s="1">
        <v>2038</v>
      </c>
      <c r="U42" s="1">
        <v>2039</v>
      </c>
      <c r="V42" s="1">
        <v>2040</v>
      </c>
      <c r="W42" s="1">
        <v>2041</v>
      </c>
      <c r="X42" s="1">
        <v>2042</v>
      </c>
      <c r="Y42" s="1">
        <v>2043</v>
      </c>
      <c r="Z42" s="1">
        <v>2044</v>
      </c>
      <c r="AA42" s="1">
        <v>2045</v>
      </c>
      <c r="AB42" s="1">
        <v>2046</v>
      </c>
      <c r="AC42" s="1">
        <v>2047</v>
      </c>
      <c r="AD42" s="1">
        <v>2048</v>
      </c>
      <c r="AE42" s="1">
        <v>2049</v>
      </c>
      <c r="AF42" s="1">
        <v>2050</v>
      </c>
    </row>
    <row r="43" spans="1:33" s="1" customFormat="1">
      <c r="A43" s="44" t="s">
        <v>979</v>
      </c>
    </row>
    <row r="44" spans="1:33">
      <c r="A44" t="s">
        <v>912</v>
      </c>
      <c r="B44" s="41">
        <f>INDEX('AEO 38'!$F$17:$AK$76,MATCH($A44,'AEO 38'!$B$17:$B$76,0),MATCH(B$42,'AEO 38'!$F$1:$AK$1,0))</f>
        <v>4430.5400390000004</v>
      </c>
      <c r="C44" s="41">
        <f>INDEX('AEO 38'!$F$17:$AK$76,MATCH($A44,'AEO 38'!$B$17:$B$76,0),MATCH(C$42,'AEO 38'!$F$1:$AK$1,0))</f>
        <v>4768.9262699999999</v>
      </c>
      <c r="D44" s="41">
        <f>INDEX('AEO 38'!$F$17:$AK$76,MATCH($A44,'AEO 38'!$B$17:$B$76,0),MATCH(D$42,'AEO 38'!$F$1:$AK$1,0))</f>
        <v>5242.6860349999997</v>
      </c>
      <c r="E44" s="41">
        <f>INDEX('AEO 38'!$F$17:$AK$76,MATCH($A44,'AEO 38'!$B$17:$B$76,0),MATCH(E$42,'AEO 38'!$F$1:$AK$1,0))</f>
        <v>5277.4257809999999</v>
      </c>
      <c r="F44" s="41">
        <f>INDEX('AEO 38'!$F$17:$AK$76,MATCH($A44,'AEO 38'!$B$17:$B$76,0),MATCH(F$42,'AEO 38'!$F$1:$AK$1,0))</f>
        <v>5332.482422</v>
      </c>
      <c r="G44" s="41">
        <f>INDEX('AEO 38'!$F$17:$AK$76,MATCH($A44,'AEO 38'!$B$17:$B$76,0),MATCH(G$42,'AEO 38'!$F$1:$AK$1,0))</f>
        <v>5366.3647460000002</v>
      </c>
      <c r="H44" s="41">
        <f>INDEX('AEO 38'!$F$17:$AK$76,MATCH($A44,'AEO 38'!$B$17:$B$76,0),MATCH(H$42,'AEO 38'!$F$1:$AK$1,0))</f>
        <v>5276.0283200000003</v>
      </c>
      <c r="I44" s="41">
        <f>INDEX('AEO 38'!$F$17:$AK$76,MATCH($A44,'AEO 38'!$B$17:$B$76,0),MATCH(I$42,'AEO 38'!$F$1:$AK$1,0))</f>
        <v>5157.7226559999999</v>
      </c>
      <c r="J44" s="41">
        <f>INDEX('AEO 38'!$F$17:$AK$76,MATCH($A44,'AEO 38'!$B$17:$B$76,0),MATCH(J$42,'AEO 38'!$F$1:$AK$1,0))</f>
        <v>5160.4291990000002</v>
      </c>
      <c r="K44" s="41">
        <f>INDEX('AEO 38'!$F$17:$AK$76,MATCH($A44,'AEO 38'!$B$17:$B$76,0),MATCH(K$42,'AEO 38'!$F$1:$AK$1,0))</f>
        <v>5150.4785160000001</v>
      </c>
      <c r="L44" s="41">
        <f>INDEX('AEO 38'!$F$17:$AK$76,MATCH($A44,'AEO 38'!$B$17:$B$76,0),MATCH(L$42,'AEO 38'!$F$1:$AK$1,0))</f>
        <v>5149.1210940000001</v>
      </c>
      <c r="M44" s="41">
        <f>INDEX('AEO 38'!$F$17:$AK$76,MATCH($A44,'AEO 38'!$B$17:$B$76,0),MATCH(M$42,'AEO 38'!$F$1:$AK$1,0))</f>
        <v>5129.0278319999998</v>
      </c>
      <c r="N44" s="41">
        <f>INDEX('AEO 38'!$F$17:$AK$76,MATCH($A44,'AEO 38'!$B$17:$B$76,0),MATCH(N$42,'AEO 38'!$F$1:$AK$1,0))</f>
        <v>5123.6499020000001</v>
      </c>
      <c r="O44" s="41">
        <f>INDEX('AEO 38'!$F$17:$AK$76,MATCH($A44,'AEO 38'!$B$17:$B$76,0),MATCH(O$42,'AEO 38'!$F$1:$AK$1,0))</f>
        <v>5107.1650390000004</v>
      </c>
      <c r="P44" s="41">
        <f>INDEX('AEO 38'!$F$17:$AK$76,MATCH($A44,'AEO 38'!$B$17:$B$76,0),MATCH(P$42,'AEO 38'!$F$1:$AK$1,0))</f>
        <v>5106.6157229999999</v>
      </c>
      <c r="Q44" s="41">
        <f>INDEX('AEO 38'!$F$17:$AK$76,MATCH($A44,'AEO 38'!$B$17:$B$76,0),MATCH(Q$42,'AEO 38'!$F$1:$AK$1,0))</f>
        <v>5067.029297</v>
      </c>
      <c r="R44" s="41">
        <f>INDEX('AEO 38'!$F$17:$AK$76,MATCH($A44,'AEO 38'!$B$17:$B$76,0),MATCH(R$42,'AEO 38'!$F$1:$AK$1,0))</f>
        <v>4988.6606449999999</v>
      </c>
      <c r="S44" s="41">
        <f>INDEX('AEO 38'!$F$17:$AK$76,MATCH($A44,'AEO 38'!$B$17:$B$76,0),MATCH(S$42,'AEO 38'!$F$1:$AK$1,0))</f>
        <v>4915.4423829999996</v>
      </c>
      <c r="T44" s="41">
        <f>INDEX('AEO 38'!$F$17:$AK$76,MATCH($A44,'AEO 38'!$B$17:$B$76,0),MATCH(T$42,'AEO 38'!$F$1:$AK$1,0))</f>
        <v>4879.7421880000002</v>
      </c>
      <c r="U44" s="41">
        <f>INDEX('AEO 38'!$F$17:$AK$76,MATCH($A44,'AEO 38'!$B$17:$B$76,0),MATCH(U$42,'AEO 38'!$F$1:$AK$1,0))</f>
        <v>4824.8183589999999</v>
      </c>
      <c r="V44" s="41">
        <f>INDEX('AEO 38'!$F$17:$AK$76,MATCH($A44,'AEO 38'!$B$17:$B$76,0),MATCH(V$42,'AEO 38'!$F$1:$AK$1,0))</f>
        <v>4767.015625</v>
      </c>
      <c r="W44" s="41">
        <f>INDEX('AEO 38'!$F$17:$AK$76,MATCH($A44,'AEO 38'!$B$17:$B$76,0),MATCH(W$42,'AEO 38'!$F$1:$AK$1,0))</f>
        <v>4718.7866210000002</v>
      </c>
      <c r="X44" s="41">
        <f>INDEX('AEO 38'!$F$17:$AK$76,MATCH($A44,'AEO 38'!$B$17:$B$76,0),MATCH(X$42,'AEO 38'!$F$1:$AK$1,0))</f>
        <v>4672.1494140000004</v>
      </c>
      <c r="Y44" s="41">
        <f>INDEX('AEO 38'!$F$17:$AK$76,MATCH($A44,'AEO 38'!$B$17:$B$76,0),MATCH(Y$42,'AEO 38'!$F$1:$AK$1,0))</f>
        <v>4616.1040039999998</v>
      </c>
      <c r="Z44" s="41">
        <f>INDEX('AEO 38'!$F$17:$AK$76,MATCH($A44,'AEO 38'!$B$17:$B$76,0),MATCH(Z$42,'AEO 38'!$F$1:$AK$1,0))</f>
        <v>4570.1870120000003</v>
      </c>
      <c r="AA44" s="41">
        <f>INDEX('AEO 38'!$F$17:$AK$76,MATCH($A44,'AEO 38'!$B$17:$B$76,0),MATCH(AA$42,'AEO 38'!$F$1:$AK$1,0))</f>
        <v>4571.701172</v>
      </c>
      <c r="AB44" s="41">
        <f>INDEX('AEO 38'!$F$17:$AK$76,MATCH($A44,'AEO 38'!$B$17:$B$76,0),MATCH(AB$42,'AEO 38'!$F$1:$AK$1,0))</f>
        <v>4505.4287109999996</v>
      </c>
      <c r="AC44" s="41">
        <f>INDEX('AEO 38'!$F$17:$AK$76,MATCH($A44,'AEO 38'!$B$17:$B$76,0),MATCH(AC$42,'AEO 38'!$F$1:$AK$1,0))</f>
        <v>4434.6743159999996</v>
      </c>
      <c r="AD44" s="41">
        <f>INDEX('AEO 38'!$F$17:$AK$76,MATCH($A44,'AEO 38'!$B$17:$B$76,0),MATCH(AD$42,'AEO 38'!$F$1:$AK$1,0))</f>
        <v>4405.3608400000003</v>
      </c>
      <c r="AE44" s="41">
        <f>INDEX('AEO 38'!$F$17:$AK$76,MATCH($A44,'AEO 38'!$B$17:$B$76,0),MATCH(AE$42,'AEO 38'!$F$1:$AK$1,0))</f>
        <v>4332.6879879999997</v>
      </c>
      <c r="AF44" s="41">
        <f>INDEX('AEO 38'!$F$17:$AK$76,MATCH($A44,'AEO 38'!$B$17:$B$76,0),MATCH(AF$42,'AEO 38'!$F$1:$AK$1,0))</f>
        <v>4252.9243159999996</v>
      </c>
      <c r="AG44" s="41"/>
    </row>
    <row r="45" spans="1:33">
      <c r="A45" t="s">
        <v>934</v>
      </c>
      <c r="B45" s="41">
        <f>INDEX('AEO 38'!$F$17:$AK$76,MATCH($A45,'AEO 38'!$B$17:$B$76,0),MATCH(B$42,'AEO 38'!$F$1:$AK$1,0))</f>
        <v>6511.5112300000001</v>
      </c>
      <c r="C45" s="41">
        <f>INDEX('AEO 38'!$F$17:$AK$76,MATCH($A45,'AEO 38'!$B$17:$B$76,0),MATCH(C$42,'AEO 38'!$F$1:$AK$1,0))</f>
        <v>7292.9345700000003</v>
      </c>
      <c r="D45" s="41">
        <f>INDEX('AEO 38'!$F$17:$AK$76,MATCH($A45,'AEO 38'!$B$17:$B$76,0),MATCH(D$42,'AEO 38'!$F$1:$AK$1,0))</f>
        <v>7525.9262699999999</v>
      </c>
      <c r="E45" s="41">
        <f>INDEX('AEO 38'!$F$17:$AK$76,MATCH($A45,'AEO 38'!$B$17:$B$76,0),MATCH(E$42,'AEO 38'!$F$1:$AK$1,0))</f>
        <v>7716.5991210000002</v>
      </c>
      <c r="F45" s="41">
        <f>INDEX('AEO 38'!$F$17:$AK$76,MATCH($A45,'AEO 38'!$B$17:$B$76,0),MATCH(F$42,'AEO 38'!$F$1:$AK$1,0))</f>
        <v>8010.6342770000001</v>
      </c>
      <c r="G45" s="41">
        <f>INDEX('AEO 38'!$F$17:$AK$76,MATCH($A45,'AEO 38'!$B$17:$B$76,0),MATCH(G$42,'AEO 38'!$F$1:$AK$1,0))</f>
        <v>8217.6806639999995</v>
      </c>
      <c r="H45" s="41">
        <f>INDEX('AEO 38'!$F$17:$AK$76,MATCH($A45,'AEO 38'!$B$17:$B$76,0),MATCH(H$42,'AEO 38'!$F$1:$AK$1,0))</f>
        <v>8112.4086909999996</v>
      </c>
      <c r="I45" s="41">
        <f>INDEX('AEO 38'!$F$17:$AK$76,MATCH($A45,'AEO 38'!$B$17:$B$76,0),MATCH(I$42,'AEO 38'!$F$1:$AK$1,0))</f>
        <v>7927.6225590000004</v>
      </c>
      <c r="J45" s="41">
        <f>INDEX('AEO 38'!$F$17:$AK$76,MATCH($A45,'AEO 38'!$B$17:$B$76,0),MATCH(J$42,'AEO 38'!$F$1:$AK$1,0))</f>
        <v>7939.861328</v>
      </c>
      <c r="K45" s="41">
        <f>INDEX('AEO 38'!$F$17:$AK$76,MATCH($A45,'AEO 38'!$B$17:$B$76,0),MATCH(K$42,'AEO 38'!$F$1:$AK$1,0))</f>
        <v>7908.939453</v>
      </c>
      <c r="L45" s="41">
        <f>INDEX('AEO 38'!$F$17:$AK$76,MATCH($A45,'AEO 38'!$B$17:$B$76,0),MATCH(L$42,'AEO 38'!$F$1:$AK$1,0))</f>
        <v>7718.6572269999997</v>
      </c>
      <c r="M45" s="41">
        <f>INDEX('AEO 38'!$F$17:$AK$76,MATCH($A45,'AEO 38'!$B$17:$B$76,0),MATCH(M$42,'AEO 38'!$F$1:$AK$1,0))</f>
        <v>7683.6752930000002</v>
      </c>
      <c r="N45" s="41">
        <f>INDEX('AEO 38'!$F$17:$AK$76,MATCH($A45,'AEO 38'!$B$17:$B$76,0),MATCH(N$42,'AEO 38'!$F$1:$AK$1,0))</f>
        <v>7655.0903319999998</v>
      </c>
      <c r="O45" s="41">
        <f>INDEX('AEO 38'!$F$17:$AK$76,MATCH($A45,'AEO 38'!$B$17:$B$76,0),MATCH(O$42,'AEO 38'!$F$1:$AK$1,0))</f>
        <v>7618.3012699999999</v>
      </c>
      <c r="P45" s="41">
        <f>INDEX('AEO 38'!$F$17:$AK$76,MATCH($A45,'AEO 38'!$B$17:$B$76,0),MATCH(P$42,'AEO 38'!$F$1:$AK$1,0))</f>
        <v>7564.6049800000001</v>
      </c>
      <c r="Q45" s="41">
        <f>INDEX('AEO 38'!$F$17:$AK$76,MATCH($A45,'AEO 38'!$B$17:$B$76,0),MATCH(Q$42,'AEO 38'!$F$1:$AK$1,0))</f>
        <v>7588.0214839999999</v>
      </c>
      <c r="R45" s="41">
        <f>INDEX('AEO 38'!$F$17:$AK$76,MATCH($A45,'AEO 38'!$B$17:$B$76,0),MATCH(R$42,'AEO 38'!$F$1:$AK$1,0))</f>
        <v>7548.6801759999998</v>
      </c>
      <c r="S45" s="41">
        <f>INDEX('AEO 38'!$F$17:$AK$76,MATCH($A45,'AEO 38'!$B$17:$B$76,0),MATCH(S$42,'AEO 38'!$F$1:$AK$1,0))</f>
        <v>7479.4257809999999</v>
      </c>
      <c r="T45" s="41">
        <f>INDEX('AEO 38'!$F$17:$AK$76,MATCH($A45,'AEO 38'!$B$17:$B$76,0),MATCH(T$42,'AEO 38'!$F$1:$AK$1,0))</f>
        <v>7456.2070309999999</v>
      </c>
      <c r="U45" s="41">
        <f>INDEX('AEO 38'!$F$17:$AK$76,MATCH($A45,'AEO 38'!$B$17:$B$76,0),MATCH(U$42,'AEO 38'!$F$1:$AK$1,0))</f>
        <v>7444.9130859999996</v>
      </c>
      <c r="V45" s="41">
        <f>INDEX('AEO 38'!$F$17:$AK$76,MATCH($A45,'AEO 38'!$B$17:$B$76,0),MATCH(V$42,'AEO 38'!$F$1:$AK$1,0))</f>
        <v>7408.1596680000002</v>
      </c>
      <c r="W45" s="41">
        <f>INDEX('AEO 38'!$F$17:$AK$76,MATCH($A45,'AEO 38'!$B$17:$B$76,0),MATCH(W$42,'AEO 38'!$F$1:$AK$1,0))</f>
        <v>7379.0336909999996</v>
      </c>
      <c r="X45" s="41">
        <f>INDEX('AEO 38'!$F$17:$AK$76,MATCH($A45,'AEO 38'!$B$17:$B$76,0),MATCH(X$42,'AEO 38'!$F$1:$AK$1,0))</f>
        <v>7367.5815430000002</v>
      </c>
      <c r="Y45" s="41">
        <f>INDEX('AEO 38'!$F$17:$AK$76,MATCH($A45,'AEO 38'!$B$17:$B$76,0),MATCH(Y$42,'AEO 38'!$F$1:$AK$1,0))</f>
        <v>7330.8530270000001</v>
      </c>
      <c r="Z45" s="41">
        <f>INDEX('AEO 38'!$F$17:$AK$76,MATCH($A45,'AEO 38'!$B$17:$B$76,0),MATCH(Z$42,'AEO 38'!$F$1:$AK$1,0))</f>
        <v>7297.3505859999996</v>
      </c>
      <c r="AA45" s="41">
        <f>INDEX('AEO 38'!$F$17:$AK$76,MATCH($A45,'AEO 38'!$B$17:$B$76,0),MATCH(AA$42,'AEO 38'!$F$1:$AK$1,0))</f>
        <v>7318.8364259999998</v>
      </c>
      <c r="AB45" s="41">
        <f>INDEX('AEO 38'!$F$17:$AK$76,MATCH($A45,'AEO 38'!$B$17:$B$76,0),MATCH(AB$42,'AEO 38'!$F$1:$AK$1,0))</f>
        <v>7272.265625</v>
      </c>
      <c r="AC45" s="41">
        <f>INDEX('AEO 38'!$F$17:$AK$76,MATCH($A45,'AEO 38'!$B$17:$B$76,0),MATCH(AC$42,'AEO 38'!$F$1:$AK$1,0))</f>
        <v>7213.9648440000001</v>
      </c>
      <c r="AD45" s="41">
        <f>INDEX('AEO 38'!$F$17:$AK$76,MATCH($A45,'AEO 38'!$B$17:$B$76,0),MATCH(AD$42,'AEO 38'!$F$1:$AK$1,0))</f>
        <v>7236.2163090000004</v>
      </c>
      <c r="AE45" s="41">
        <f>INDEX('AEO 38'!$F$17:$AK$76,MATCH($A45,'AEO 38'!$B$17:$B$76,0),MATCH(AE$42,'AEO 38'!$F$1:$AK$1,0))</f>
        <v>7160.7158200000003</v>
      </c>
      <c r="AF45" s="41">
        <f>INDEX('AEO 38'!$F$17:$AK$76,MATCH($A45,'AEO 38'!$B$17:$B$76,0),MATCH(AF$42,'AEO 38'!$F$1:$AK$1,0))</f>
        <v>7073.6337890000004</v>
      </c>
      <c r="AG45" s="41"/>
    </row>
    <row r="46" spans="1:33" s="40" customFormat="1">
      <c r="A46" s="39" t="s">
        <v>577</v>
      </c>
      <c r="B46" s="42">
        <f>SUM(B44:B45)</f>
        <v>10942.051269</v>
      </c>
      <c r="C46" s="42">
        <f t="shared" ref="C46:AF46" si="17">SUM(C44:C45)</f>
        <v>12061.860840000001</v>
      </c>
      <c r="D46" s="42">
        <f t="shared" si="17"/>
        <v>12768.612304999999</v>
      </c>
      <c r="E46" s="42">
        <f t="shared" si="17"/>
        <v>12994.024902000001</v>
      </c>
      <c r="F46" s="42">
        <f t="shared" si="17"/>
        <v>13343.116699</v>
      </c>
      <c r="G46" s="42">
        <f t="shared" si="17"/>
        <v>13584.045409999999</v>
      </c>
      <c r="H46" s="42">
        <f t="shared" si="17"/>
        <v>13388.437011</v>
      </c>
      <c r="I46" s="42">
        <f t="shared" si="17"/>
        <v>13085.345215000001</v>
      </c>
      <c r="J46" s="42">
        <f t="shared" si="17"/>
        <v>13100.290527000001</v>
      </c>
      <c r="K46" s="42">
        <f t="shared" si="17"/>
        <v>13059.417969</v>
      </c>
      <c r="L46" s="42">
        <f t="shared" si="17"/>
        <v>12867.778321</v>
      </c>
      <c r="M46" s="42">
        <f t="shared" si="17"/>
        <v>12812.703125</v>
      </c>
      <c r="N46" s="42">
        <f t="shared" si="17"/>
        <v>12778.740234000001</v>
      </c>
      <c r="O46" s="42">
        <f t="shared" si="17"/>
        <v>12725.466308999999</v>
      </c>
      <c r="P46" s="42">
        <f t="shared" si="17"/>
        <v>12671.220702999999</v>
      </c>
      <c r="Q46" s="42">
        <f t="shared" si="17"/>
        <v>12655.050781</v>
      </c>
      <c r="R46" s="42">
        <f t="shared" si="17"/>
        <v>12537.340821</v>
      </c>
      <c r="S46" s="42">
        <f t="shared" si="17"/>
        <v>12394.868164</v>
      </c>
      <c r="T46" s="42">
        <f t="shared" si="17"/>
        <v>12335.949219</v>
      </c>
      <c r="U46" s="42">
        <f t="shared" si="17"/>
        <v>12269.731444999999</v>
      </c>
      <c r="V46" s="42">
        <f t="shared" si="17"/>
        <v>12175.175293</v>
      </c>
      <c r="W46" s="42">
        <f t="shared" si="17"/>
        <v>12097.820312</v>
      </c>
      <c r="X46" s="42">
        <f t="shared" si="17"/>
        <v>12039.730957</v>
      </c>
      <c r="Y46" s="42">
        <f t="shared" si="17"/>
        <v>11946.957031</v>
      </c>
      <c r="Z46" s="42">
        <f t="shared" si="17"/>
        <v>11867.537597999999</v>
      </c>
      <c r="AA46" s="42">
        <f t="shared" si="17"/>
        <v>11890.537597999999</v>
      </c>
      <c r="AB46" s="42">
        <f t="shared" si="17"/>
        <v>11777.694336</v>
      </c>
      <c r="AC46" s="42">
        <f t="shared" si="17"/>
        <v>11648.639159999999</v>
      </c>
      <c r="AD46" s="42">
        <f t="shared" si="17"/>
        <v>11641.577149000001</v>
      </c>
      <c r="AE46" s="42">
        <f t="shared" si="17"/>
        <v>11493.403807999999</v>
      </c>
      <c r="AF46" s="42">
        <f t="shared" si="17"/>
        <v>11326.558105</v>
      </c>
      <c r="AG46" s="42"/>
    </row>
    <row r="47" spans="1:33">
      <c r="A47" s="37" t="s">
        <v>978</v>
      </c>
      <c r="B47" s="1">
        <f>B42</f>
        <v>2020</v>
      </c>
      <c r="C47" s="1">
        <f t="shared" ref="C47:AF47" si="18">C42</f>
        <v>2021</v>
      </c>
      <c r="D47" s="1">
        <f t="shared" si="18"/>
        <v>2022</v>
      </c>
      <c r="E47" s="1">
        <f t="shared" si="18"/>
        <v>2023</v>
      </c>
      <c r="F47" s="1">
        <f t="shared" si="18"/>
        <v>2024</v>
      </c>
      <c r="G47" s="1">
        <f t="shared" si="18"/>
        <v>2025</v>
      </c>
      <c r="H47" s="1">
        <f t="shared" si="18"/>
        <v>2026</v>
      </c>
      <c r="I47" s="1">
        <f t="shared" si="18"/>
        <v>2027</v>
      </c>
      <c r="J47" s="1">
        <f t="shared" si="18"/>
        <v>2028</v>
      </c>
      <c r="K47" s="1">
        <f t="shared" si="18"/>
        <v>2029</v>
      </c>
      <c r="L47" s="1">
        <f t="shared" si="18"/>
        <v>2030</v>
      </c>
      <c r="M47" s="1">
        <f t="shared" si="18"/>
        <v>2031</v>
      </c>
      <c r="N47" s="1">
        <f t="shared" si="18"/>
        <v>2032</v>
      </c>
      <c r="O47" s="1">
        <f t="shared" si="18"/>
        <v>2033</v>
      </c>
      <c r="P47" s="1">
        <f t="shared" si="18"/>
        <v>2034</v>
      </c>
      <c r="Q47" s="1">
        <f t="shared" si="18"/>
        <v>2035</v>
      </c>
      <c r="R47" s="1">
        <f t="shared" si="18"/>
        <v>2036</v>
      </c>
      <c r="S47" s="1">
        <f t="shared" si="18"/>
        <v>2037</v>
      </c>
      <c r="T47" s="1">
        <f t="shared" si="18"/>
        <v>2038</v>
      </c>
      <c r="U47" s="1">
        <f t="shared" si="18"/>
        <v>2039</v>
      </c>
      <c r="V47" s="1">
        <f t="shared" si="18"/>
        <v>2040</v>
      </c>
      <c r="W47" s="1">
        <f t="shared" si="18"/>
        <v>2041</v>
      </c>
      <c r="X47" s="1">
        <f t="shared" si="18"/>
        <v>2042</v>
      </c>
      <c r="Y47" s="1">
        <f t="shared" si="18"/>
        <v>2043</v>
      </c>
      <c r="Z47" s="1">
        <f t="shared" si="18"/>
        <v>2044</v>
      </c>
      <c r="AA47" s="1">
        <f t="shared" si="18"/>
        <v>2045</v>
      </c>
      <c r="AB47" s="1">
        <f t="shared" si="18"/>
        <v>2046</v>
      </c>
      <c r="AC47" s="1">
        <f t="shared" si="18"/>
        <v>2047</v>
      </c>
      <c r="AD47" s="1">
        <f t="shared" si="18"/>
        <v>2048</v>
      </c>
      <c r="AE47" s="1">
        <f t="shared" si="18"/>
        <v>2049</v>
      </c>
      <c r="AF47" s="1">
        <f t="shared" si="18"/>
        <v>2050</v>
      </c>
      <c r="AG47" s="1"/>
    </row>
    <row r="48" spans="1:33">
      <c r="A48" s="44" t="s">
        <v>869</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7">
      <c r="A49" t="s">
        <v>870</v>
      </c>
      <c r="B49" s="43">
        <f>INDEX('AEO 40'!$F$17:$AK$60,MATCH($A49,'AEO 40'!$B$17:$B$60,0),MATCH(B$42,'AEO 40'!$F$1:$AK$1,0))</f>
        <v>41.799618000000002</v>
      </c>
      <c r="C49" s="43">
        <f>INDEX('AEO 40'!$F$17:$AK$60,MATCH($A49,'AEO 40'!$B$17:$B$60,0),MATCH(C$42,'AEO 40'!$F$1:$AK$1,0))</f>
        <v>43.725628</v>
      </c>
      <c r="D49" s="43">
        <f>INDEX('AEO 40'!$F$17:$AK$60,MATCH($A49,'AEO 40'!$B$17:$B$60,0),MATCH(D$42,'AEO 40'!$F$1:$AK$1,0))</f>
        <v>44.206856000000002</v>
      </c>
      <c r="E49" s="43">
        <f>INDEX('AEO 40'!$F$17:$AK$60,MATCH($A49,'AEO 40'!$B$17:$B$60,0),MATCH(E$42,'AEO 40'!$F$1:$AK$1,0))</f>
        <v>44.834556999999997</v>
      </c>
      <c r="F49" s="43">
        <f>INDEX('AEO 40'!$F$17:$AK$60,MATCH($A49,'AEO 40'!$B$17:$B$60,0),MATCH(F$42,'AEO 40'!$F$1:$AK$1,0))</f>
        <v>45.396872999999999</v>
      </c>
      <c r="G49" s="43">
        <f>INDEX('AEO 40'!$F$17:$AK$60,MATCH($A49,'AEO 40'!$B$17:$B$60,0),MATCH(G$42,'AEO 40'!$F$1:$AK$1,0))</f>
        <v>45.904418999999997</v>
      </c>
      <c r="H49" s="43">
        <f>INDEX('AEO 40'!$F$17:$AK$60,MATCH($A49,'AEO 40'!$B$17:$B$60,0),MATCH(H$42,'AEO 40'!$F$1:$AK$1,0))</f>
        <v>46.549140999999999</v>
      </c>
      <c r="I49" s="43">
        <f>INDEX('AEO 40'!$F$17:$AK$60,MATCH($A49,'AEO 40'!$B$17:$B$60,0),MATCH(I$42,'AEO 40'!$F$1:$AK$1,0))</f>
        <v>46.557521999999999</v>
      </c>
      <c r="J49" s="43">
        <f>INDEX('AEO 40'!$F$17:$AK$60,MATCH($A49,'AEO 40'!$B$17:$B$60,0),MATCH(J$42,'AEO 40'!$F$1:$AK$1,0))</f>
        <v>46.492728999999997</v>
      </c>
      <c r="K49" s="43">
        <f>INDEX('AEO 40'!$F$17:$AK$60,MATCH($A49,'AEO 40'!$B$17:$B$60,0),MATCH(K$42,'AEO 40'!$F$1:$AK$1,0))</f>
        <v>46.427345000000003</v>
      </c>
      <c r="L49" s="43">
        <f>INDEX('AEO 40'!$F$17:$AK$60,MATCH($A49,'AEO 40'!$B$17:$B$60,0),MATCH(L$42,'AEO 40'!$F$1:$AK$1,0))</f>
        <v>46.381999999999998</v>
      </c>
      <c r="M49" s="43">
        <f>INDEX('AEO 40'!$F$17:$AK$60,MATCH($A49,'AEO 40'!$B$17:$B$60,0),MATCH(M$42,'AEO 40'!$F$1:$AK$1,0))</f>
        <v>46.339816999999996</v>
      </c>
      <c r="N49" s="43">
        <f>INDEX('AEO 40'!$F$17:$AK$60,MATCH($A49,'AEO 40'!$B$17:$B$60,0),MATCH(N$42,'AEO 40'!$F$1:$AK$1,0))</f>
        <v>46.277225000000001</v>
      </c>
      <c r="O49" s="43">
        <f>INDEX('AEO 40'!$F$17:$AK$60,MATCH($A49,'AEO 40'!$B$17:$B$60,0),MATCH(O$42,'AEO 40'!$F$1:$AK$1,0))</f>
        <v>46.229134000000002</v>
      </c>
      <c r="P49" s="43">
        <f>INDEX('AEO 40'!$F$17:$AK$60,MATCH($A49,'AEO 40'!$B$17:$B$60,0),MATCH(P$42,'AEO 40'!$F$1:$AK$1,0))</f>
        <v>46.176754000000003</v>
      </c>
      <c r="Q49" s="43">
        <f>INDEX('AEO 40'!$F$17:$AK$60,MATCH($A49,'AEO 40'!$B$17:$B$60,0),MATCH(Q$42,'AEO 40'!$F$1:$AK$1,0))</f>
        <v>46.111888999999998</v>
      </c>
      <c r="R49" s="43">
        <f>INDEX('AEO 40'!$F$17:$AK$60,MATCH($A49,'AEO 40'!$B$17:$B$60,0),MATCH(R$42,'AEO 40'!$F$1:$AK$1,0))</f>
        <v>46.038218999999998</v>
      </c>
      <c r="S49" s="43">
        <f>INDEX('AEO 40'!$F$17:$AK$60,MATCH($A49,'AEO 40'!$B$17:$B$60,0),MATCH(S$42,'AEO 40'!$F$1:$AK$1,0))</f>
        <v>45.977187999999998</v>
      </c>
      <c r="T49" s="43">
        <f>INDEX('AEO 40'!$F$17:$AK$60,MATCH($A49,'AEO 40'!$B$17:$B$60,0),MATCH(T$42,'AEO 40'!$F$1:$AK$1,0))</f>
        <v>45.919724000000002</v>
      </c>
      <c r="U49" s="43">
        <f>INDEX('AEO 40'!$F$17:$AK$60,MATCH($A49,'AEO 40'!$B$17:$B$60,0),MATCH(U$42,'AEO 40'!$F$1:$AK$1,0))</f>
        <v>45.853873999999998</v>
      </c>
      <c r="V49" s="43">
        <f>INDEX('AEO 40'!$F$17:$AK$60,MATCH($A49,'AEO 40'!$B$17:$B$60,0),MATCH(V$42,'AEO 40'!$F$1:$AK$1,0))</f>
        <v>45.786766</v>
      </c>
      <c r="W49" s="43">
        <f>INDEX('AEO 40'!$F$17:$AK$60,MATCH($A49,'AEO 40'!$B$17:$B$60,0),MATCH(W$42,'AEO 40'!$F$1:$AK$1,0))</f>
        <v>45.726635000000002</v>
      </c>
      <c r="X49" s="43">
        <f>INDEX('AEO 40'!$F$17:$AK$60,MATCH($A49,'AEO 40'!$B$17:$B$60,0),MATCH(X$42,'AEO 40'!$F$1:$AK$1,0))</f>
        <v>45.664349000000001</v>
      </c>
      <c r="Y49" s="43">
        <f>INDEX('AEO 40'!$F$17:$AK$60,MATCH($A49,'AEO 40'!$B$17:$B$60,0),MATCH(Y$42,'AEO 40'!$F$1:$AK$1,0))</f>
        <v>45.600501999999999</v>
      </c>
      <c r="Z49" s="43">
        <f>INDEX('AEO 40'!$F$17:$AK$60,MATCH($A49,'AEO 40'!$B$17:$B$60,0),MATCH(Z$42,'AEO 40'!$F$1:$AK$1,0))</f>
        <v>45.544719999999998</v>
      </c>
      <c r="AA49" s="43">
        <f>INDEX('AEO 40'!$F$17:$AK$60,MATCH($A49,'AEO 40'!$B$17:$B$60,0),MATCH(AA$42,'AEO 40'!$F$1:$AK$1,0))</f>
        <v>45.488106000000002</v>
      </c>
      <c r="AB49" s="43">
        <f>INDEX('AEO 40'!$F$17:$AK$60,MATCH($A49,'AEO 40'!$B$17:$B$60,0),MATCH(AB$42,'AEO 40'!$F$1:$AK$1,0))</f>
        <v>45.432502999999997</v>
      </c>
      <c r="AC49" s="43">
        <f>INDEX('AEO 40'!$F$17:$AK$60,MATCH($A49,'AEO 40'!$B$17:$B$60,0),MATCH(AC$42,'AEO 40'!$F$1:$AK$1,0))</f>
        <v>45.378571000000001</v>
      </c>
      <c r="AD49" s="43">
        <f>INDEX('AEO 40'!$F$17:$AK$60,MATCH($A49,'AEO 40'!$B$17:$B$60,0),MATCH(AD$42,'AEO 40'!$F$1:$AK$1,0))</f>
        <v>45.317413000000002</v>
      </c>
      <c r="AE49" s="43">
        <f>INDEX('AEO 40'!$F$17:$AK$60,MATCH($A49,'AEO 40'!$B$17:$B$60,0),MATCH(AE$42,'AEO 40'!$F$1:$AK$1,0))</f>
        <v>45.261752999999999</v>
      </c>
      <c r="AF49" s="43">
        <f>INDEX('AEO 40'!$F$17:$AK$60,MATCH($A49,'AEO 40'!$B$17:$B$60,0),MATCH(AF$42,'AEO 40'!$F$1:$AK$1,0))</f>
        <v>45.207706000000002</v>
      </c>
      <c r="AG49" s="43"/>
    </row>
    <row r="50" spans="1:37">
      <c r="A50" t="s">
        <v>887</v>
      </c>
      <c r="B50" s="43">
        <f>INDEX('AEO 40'!$F$17:$AK$60,MATCH($A50,'AEO 40'!$B$17:$B$60,0),MATCH(B$42,'AEO 40'!$F$1:$AK$1,0))</f>
        <v>30.781351000000001</v>
      </c>
      <c r="C50" s="43">
        <f>INDEX('AEO 40'!$F$17:$AK$60,MATCH($A50,'AEO 40'!$B$17:$B$60,0),MATCH(C$42,'AEO 40'!$F$1:$AK$1,0))</f>
        <v>31.734869</v>
      </c>
      <c r="D50" s="43">
        <f>INDEX('AEO 40'!$F$17:$AK$60,MATCH($A50,'AEO 40'!$B$17:$B$60,0),MATCH(D$42,'AEO 40'!$F$1:$AK$1,0))</f>
        <v>32.215733</v>
      </c>
      <c r="E50" s="43">
        <f>INDEX('AEO 40'!$F$17:$AK$60,MATCH($A50,'AEO 40'!$B$17:$B$60,0),MATCH(E$42,'AEO 40'!$F$1:$AK$1,0))</f>
        <v>32.607708000000002</v>
      </c>
      <c r="F50" s="43">
        <f>INDEX('AEO 40'!$F$17:$AK$60,MATCH($A50,'AEO 40'!$B$17:$B$60,0),MATCH(F$42,'AEO 40'!$F$1:$AK$1,0))</f>
        <v>32.887383</v>
      </c>
      <c r="G50" s="43">
        <f>INDEX('AEO 40'!$F$17:$AK$60,MATCH($A50,'AEO 40'!$B$17:$B$60,0),MATCH(G$42,'AEO 40'!$F$1:$AK$1,0))</f>
        <v>33.219242000000001</v>
      </c>
      <c r="H50" s="43">
        <f>INDEX('AEO 40'!$F$17:$AK$60,MATCH($A50,'AEO 40'!$B$17:$B$60,0),MATCH(H$42,'AEO 40'!$F$1:$AK$1,0))</f>
        <v>33.306679000000003</v>
      </c>
      <c r="I50" s="43">
        <f>INDEX('AEO 40'!$F$17:$AK$60,MATCH($A50,'AEO 40'!$B$17:$B$60,0),MATCH(I$42,'AEO 40'!$F$1:$AK$1,0))</f>
        <v>33.296996999999998</v>
      </c>
      <c r="J50" s="43">
        <f>INDEX('AEO 40'!$F$17:$AK$60,MATCH($A50,'AEO 40'!$B$17:$B$60,0),MATCH(J$42,'AEO 40'!$F$1:$AK$1,0))</f>
        <v>33.293453</v>
      </c>
      <c r="K50" s="43">
        <f>INDEX('AEO 40'!$F$17:$AK$60,MATCH($A50,'AEO 40'!$B$17:$B$60,0),MATCH(K$42,'AEO 40'!$F$1:$AK$1,0))</f>
        <v>33.279564000000001</v>
      </c>
      <c r="L50" s="43">
        <f>INDEX('AEO 40'!$F$17:$AK$60,MATCH($A50,'AEO 40'!$B$17:$B$60,0),MATCH(L$42,'AEO 40'!$F$1:$AK$1,0))</f>
        <v>33.274303000000003</v>
      </c>
      <c r="M50" s="43">
        <f>INDEX('AEO 40'!$F$17:$AK$60,MATCH($A50,'AEO 40'!$B$17:$B$60,0),MATCH(M$42,'AEO 40'!$F$1:$AK$1,0))</f>
        <v>33.249251999999998</v>
      </c>
      <c r="N50" s="43">
        <f>INDEX('AEO 40'!$F$17:$AK$60,MATCH($A50,'AEO 40'!$B$17:$B$60,0),MATCH(N$42,'AEO 40'!$F$1:$AK$1,0))</f>
        <v>33.221687000000003</v>
      </c>
      <c r="O50" s="43">
        <f>INDEX('AEO 40'!$F$17:$AK$60,MATCH($A50,'AEO 40'!$B$17:$B$60,0),MATCH(O$42,'AEO 40'!$F$1:$AK$1,0))</f>
        <v>33.185428999999999</v>
      </c>
      <c r="P50" s="43">
        <f>INDEX('AEO 40'!$F$17:$AK$60,MATCH($A50,'AEO 40'!$B$17:$B$60,0),MATCH(P$42,'AEO 40'!$F$1:$AK$1,0))</f>
        <v>33.157100999999997</v>
      </c>
      <c r="Q50" s="43">
        <f>INDEX('AEO 40'!$F$17:$AK$60,MATCH($A50,'AEO 40'!$B$17:$B$60,0),MATCH(Q$42,'AEO 40'!$F$1:$AK$1,0))</f>
        <v>33.122115999999998</v>
      </c>
      <c r="R50" s="43">
        <f>INDEX('AEO 40'!$F$17:$AK$60,MATCH($A50,'AEO 40'!$B$17:$B$60,0),MATCH(R$42,'AEO 40'!$F$1:$AK$1,0))</f>
        <v>33.086300000000001</v>
      </c>
      <c r="S50" s="43">
        <f>INDEX('AEO 40'!$F$17:$AK$60,MATCH($A50,'AEO 40'!$B$17:$B$60,0),MATCH(S$42,'AEO 40'!$F$1:$AK$1,0))</f>
        <v>33.052925000000002</v>
      </c>
      <c r="T50" s="43">
        <f>INDEX('AEO 40'!$F$17:$AK$60,MATCH($A50,'AEO 40'!$B$17:$B$60,0),MATCH(T$42,'AEO 40'!$F$1:$AK$1,0))</f>
        <v>33.036205000000002</v>
      </c>
      <c r="U50" s="43">
        <f>INDEX('AEO 40'!$F$17:$AK$60,MATCH($A50,'AEO 40'!$B$17:$B$60,0),MATCH(U$42,'AEO 40'!$F$1:$AK$1,0))</f>
        <v>33.002163000000003</v>
      </c>
      <c r="V50" s="43">
        <f>INDEX('AEO 40'!$F$17:$AK$60,MATCH($A50,'AEO 40'!$B$17:$B$60,0),MATCH(V$42,'AEO 40'!$F$1:$AK$1,0))</f>
        <v>32.977539</v>
      </c>
      <c r="W50" s="43">
        <f>INDEX('AEO 40'!$F$17:$AK$60,MATCH($A50,'AEO 40'!$B$17:$B$60,0),MATCH(W$42,'AEO 40'!$F$1:$AK$1,0))</f>
        <v>32.955719000000002</v>
      </c>
      <c r="X50" s="43">
        <f>INDEX('AEO 40'!$F$17:$AK$60,MATCH($A50,'AEO 40'!$B$17:$B$60,0),MATCH(X$42,'AEO 40'!$F$1:$AK$1,0))</f>
        <v>32.935600000000001</v>
      </c>
      <c r="Y50" s="43">
        <f>INDEX('AEO 40'!$F$17:$AK$60,MATCH($A50,'AEO 40'!$B$17:$B$60,0),MATCH(Y$42,'AEO 40'!$F$1:$AK$1,0))</f>
        <v>32.913573999999997</v>
      </c>
      <c r="Z50" s="43">
        <f>INDEX('AEO 40'!$F$17:$AK$60,MATCH($A50,'AEO 40'!$B$17:$B$60,0),MATCH(Z$42,'AEO 40'!$F$1:$AK$1,0))</f>
        <v>32.894779</v>
      </c>
      <c r="AA50" s="43">
        <f>INDEX('AEO 40'!$F$17:$AK$60,MATCH($A50,'AEO 40'!$B$17:$B$60,0),MATCH(AA$42,'AEO 40'!$F$1:$AK$1,0))</f>
        <v>32.875202000000002</v>
      </c>
      <c r="AB50" s="43">
        <f>INDEX('AEO 40'!$F$17:$AK$60,MATCH($A50,'AEO 40'!$B$17:$B$60,0),MATCH(AB$42,'AEO 40'!$F$1:$AK$1,0))</f>
        <v>32.853752</v>
      </c>
      <c r="AC50" s="43">
        <f>INDEX('AEO 40'!$F$17:$AK$60,MATCH($A50,'AEO 40'!$B$17:$B$60,0),MATCH(AC$42,'AEO 40'!$F$1:$AK$1,0))</f>
        <v>32.834758999999998</v>
      </c>
      <c r="AD50" s="43">
        <f>INDEX('AEO 40'!$F$17:$AK$60,MATCH($A50,'AEO 40'!$B$17:$B$60,0),MATCH(AD$42,'AEO 40'!$F$1:$AK$1,0))</f>
        <v>32.812449999999998</v>
      </c>
      <c r="AE50" s="43">
        <f>INDEX('AEO 40'!$F$17:$AK$60,MATCH($A50,'AEO 40'!$B$17:$B$60,0),MATCH(AE$42,'AEO 40'!$F$1:$AK$1,0))</f>
        <v>32.792171000000003</v>
      </c>
      <c r="AF50" s="43">
        <f>INDEX('AEO 40'!$F$17:$AK$60,MATCH($A50,'AEO 40'!$B$17:$B$60,0),MATCH(AF$42,'AEO 40'!$F$1:$AK$1,0))</f>
        <v>32.77158</v>
      </c>
      <c r="AG50" s="43"/>
    </row>
    <row r="51" spans="1:37">
      <c r="A51" s="45" t="s">
        <v>984</v>
      </c>
      <c r="B51" s="46">
        <f>SUM(B44/B46*B49,B45/B46*B50)</f>
        <v>35.242751509262455</v>
      </c>
      <c r="C51" s="46">
        <f t="shared" ref="C51:AF51" si="19">SUM(C44/C46*C49,C45/C46*C50)</f>
        <v>36.475683568404435</v>
      </c>
      <c r="D51" s="46">
        <f t="shared" si="19"/>
        <v>37.139188391581598</v>
      </c>
      <c r="E51" s="46">
        <f t="shared" si="19"/>
        <v>37.573551040908924</v>
      </c>
      <c r="F51" s="46">
        <f t="shared" si="19"/>
        <v>37.886712394921958</v>
      </c>
      <c r="G51" s="46">
        <f t="shared" si="19"/>
        <v>38.230509600699961</v>
      </c>
      <c r="H51" s="46">
        <f t="shared" si="19"/>
        <v>38.525182435548174</v>
      </c>
      <c r="I51" s="46">
        <f t="shared" si="19"/>
        <v>38.523768560031357</v>
      </c>
      <c r="J51" s="46">
        <f t="shared" si="19"/>
        <v>38.492874275098863</v>
      </c>
      <c r="K51" s="46">
        <f t="shared" si="19"/>
        <v>38.464891840361503</v>
      </c>
      <c r="L51" s="46">
        <f t="shared" si="19"/>
        <v>38.519429037515962</v>
      </c>
      <c r="M51" s="46">
        <f t="shared" si="19"/>
        <v>38.48951016930063</v>
      </c>
      <c r="N51" s="46">
        <f t="shared" si="19"/>
        <v>38.456319269641085</v>
      </c>
      <c r="O51" s="46">
        <f t="shared" si="19"/>
        <v>38.420314114419391</v>
      </c>
      <c r="P51" s="46">
        <f t="shared" si="19"/>
        <v>38.404138067396595</v>
      </c>
      <c r="Q51" s="46">
        <f t="shared" si="19"/>
        <v>38.323166670709242</v>
      </c>
      <c r="R51" s="46">
        <f t="shared" si="19"/>
        <v>38.239923046148803</v>
      </c>
      <c r="S51" s="46">
        <f t="shared" si="19"/>
        <v>38.17830989951451</v>
      </c>
      <c r="T51" s="46">
        <f t="shared" si="19"/>
        <v>38.132549843684103</v>
      </c>
      <c r="U51" s="46">
        <f t="shared" si="19"/>
        <v>38.055832793451806</v>
      </c>
      <c r="V51" s="46">
        <f>SUM(V44/V46*V49,V45/V46*V50)</f>
        <v>37.99280849581406</v>
      </c>
      <c r="W51" s="46">
        <f t="shared" si="19"/>
        <v>37.937048363847381</v>
      </c>
      <c r="X51" s="46">
        <f t="shared" si="19"/>
        <v>37.875130409251085</v>
      </c>
      <c r="Y51" s="46">
        <f t="shared" si="19"/>
        <v>37.81559038687552</v>
      </c>
      <c r="Z51" s="46">
        <f t="shared" si="19"/>
        <v>37.766269448912446</v>
      </c>
      <c r="AA51" s="46">
        <f t="shared" si="19"/>
        <v>37.724640263314726</v>
      </c>
      <c r="AB51" s="46">
        <f t="shared" si="19"/>
        <v>37.665616214432262</v>
      </c>
      <c r="AC51" s="46">
        <f t="shared" si="19"/>
        <v>37.610228489359017</v>
      </c>
      <c r="AD51" s="46">
        <f t="shared" si="19"/>
        <v>37.544529992321401</v>
      </c>
      <c r="AE51" s="46">
        <f t="shared" si="19"/>
        <v>37.492850541875626</v>
      </c>
      <c r="AF51" s="46">
        <f t="shared" si="19"/>
        <v>37.441127639445035</v>
      </c>
      <c r="AG51" s="46"/>
    </row>
    <row r="52" spans="1:37">
      <c r="A52" s="37" t="s">
        <v>980</v>
      </c>
      <c r="B52" s="1">
        <f>B47</f>
        <v>2020</v>
      </c>
      <c r="C52" s="1">
        <f t="shared" ref="C52:AF52" si="20">C47</f>
        <v>2021</v>
      </c>
      <c r="D52" s="1">
        <f t="shared" si="20"/>
        <v>2022</v>
      </c>
      <c r="E52" s="1">
        <f t="shared" si="20"/>
        <v>2023</v>
      </c>
      <c r="F52" s="1">
        <f t="shared" si="20"/>
        <v>2024</v>
      </c>
      <c r="G52" s="1">
        <f t="shared" si="20"/>
        <v>2025</v>
      </c>
      <c r="H52" s="1">
        <f t="shared" si="20"/>
        <v>2026</v>
      </c>
      <c r="I52" s="1">
        <f t="shared" si="20"/>
        <v>2027</v>
      </c>
      <c r="J52" s="1">
        <f t="shared" si="20"/>
        <v>2028</v>
      </c>
      <c r="K52" s="1">
        <f t="shared" si="20"/>
        <v>2029</v>
      </c>
      <c r="L52" s="1">
        <f t="shared" si="20"/>
        <v>2030</v>
      </c>
      <c r="M52" s="1">
        <f t="shared" si="20"/>
        <v>2031</v>
      </c>
      <c r="N52" s="1">
        <f t="shared" si="20"/>
        <v>2032</v>
      </c>
      <c r="O52" s="1">
        <f t="shared" si="20"/>
        <v>2033</v>
      </c>
      <c r="P52" s="1">
        <f t="shared" si="20"/>
        <v>2034</v>
      </c>
      <c r="Q52" s="1">
        <f t="shared" si="20"/>
        <v>2035</v>
      </c>
      <c r="R52" s="1">
        <f t="shared" si="20"/>
        <v>2036</v>
      </c>
      <c r="S52" s="1">
        <f t="shared" si="20"/>
        <v>2037</v>
      </c>
      <c r="T52" s="1">
        <f t="shared" si="20"/>
        <v>2038</v>
      </c>
      <c r="U52" s="1">
        <f t="shared" si="20"/>
        <v>2039</v>
      </c>
      <c r="V52" s="1">
        <f t="shared" si="20"/>
        <v>2040</v>
      </c>
      <c r="W52" s="1">
        <f t="shared" si="20"/>
        <v>2041</v>
      </c>
      <c r="X52" s="1">
        <f t="shared" si="20"/>
        <v>2042</v>
      </c>
      <c r="Y52" s="1">
        <f t="shared" si="20"/>
        <v>2043</v>
      </c>
      <c r="Z52" s="1">
        <f t="shared" si="20"/>
        <v>2044</v>
      </c>
      <c r="AA52" s="1">
        <f t="shared" si="20"/>
        <v>2045</v>
      </c>
      <c r="AB52" s="1">
        <f t="shared" si="20"/>
        <v>2046</v>
      </c>
      <c r="AC52" s="1">
        <f t="shared" si="20"/>
        <v>2047</v>
      </c>
      <c r="AD52" s="1">
        <f t="shared" si="20"/>
        <v>2048</v>
      </c>
      <c r="AE52" s="1">
        <f t="shared" si="20"/>
        <v>2049</v>
      </c>
      <c r="AF52" s="1">
        <f t="shared" si="20"/>
        <v>2050</v>
      </c>
      <c r="AG52" s="1"/>
    </row>
    <row r="53" spans="1:37">
      <c r="A53" s="44" t="s">
        <v>981</v>
      </c>
    </row>
    <row r="54" spans="1:37" ht="13.6">
      <c r="A54" s="22" t="s">
        <v>73</v>
      </c>
      <c r="B54" s="43">
        <f>INDEX('AEO 7'!$C$18:$AH$85,MATCH($A54,'AEO 7'!$A$18:$A$85,0),MATCH(B$42,'AEO 7'!$C$1:$AH$1,0))</f>
        <v>35.306621999999997</v>
      </c>
      <c r="C54" s="43">
        <f>INDEX('AEO 7'!$C$18:$AH$85,MATCH($A54,'AEO 7'!$A$18:$A$85,0),MATCH(C$42,'AEO 7'!$C$1:$AH$1,0))</f>
        <v>36.467899000000003</v>
      </c>
      <c r="D54" s="43">
        <f>INDEX('AEO 7'!$C$18:$AH$85,MATCH($A54,'AEO 7'!$A$18:$A$85,0),MATCH(D$42,'AEO 7'!$C$1:$AH$1,0))</f>
        <v>37.145805000000003</v>
      </c>
      <c r="E54" s="43">
        <f>INDEX('AEO 7'!$C$18:$AH$85,MATCH($A54,'AEO 7'!$A$18:$A$85,0),MATCH(E$42,'AEO 7'!$C$1:$AH$1,0))</f>
        <v>37.564754000000001</v>
      </c>
      <c r="F54" s="43">
        <f>INDEX('AEO 7'!$C$18:$AH$85,MATCH($A54,'AEO 7'!$A$18:$A$85,0),MATCH(F$42,'AEO 7'!$C$1:$AH$1,0))</f>
        <v>37.869587000000003</v>
      </c>
      <c r="G54" s="43">
        <f>INDEX('AEO 7'!$C$18:$AH$85,MATCH($A54,'AEO 7'!$A$18:$A$85,0),MATCH(G$42,'AEO 7'!$C$1:$AH$1,0))</f>
        <v>38.261166000000003</v>
      </c>
      <c r="H54" s="43">
        <f>INDEX('AEO 7'!$C$18:$AH$85,MATCH($A54,'AEO 7'!$A$18:$A$85,0),MATCH(H$42,'AEO 7'!$C$1:$AH$1,0))</f>
        <v>38.678328999999998</v>
      </c>
      <c r="I54" s="43">
        <f>INDEX('AEO 7'!$C$18:$AH$85,MATCH($A54,'AEO 7'!$A$18:$A$85,0),MATCH(I$42,'AEO 7'!$C$1:$AH$1,0))</f>
        <v>38.782119999999999</v>
      </c>
      <c r="J54" s="43">
        <f>INDEX('AEO 7'!$C$18:$AH$85,MATCH($A54,'AEO 7'!$A$18:$A$85,0),MATCH(J$42,'AEO 7'!$C$1:$AH$1,0))</f>
        <v>38.833714000000001</v>
      </c>
      <c r="K54" s="43">
        <f>INDEX('AEO 7'!$C$18:$AH$85,MATCH($A54,'AEO 7'!$A$18:$A$85,0),MATCH(K$42,'AEO 7'!$C$1:$AH$1,0))</f>
        <v>38.876083000000001</v>
      </c>
      <c r="L54" s="43">
        <f>INDEX('AEO 7'!$C$18:$AH$85,MATCH($A54,'AEO 7'!$A$18:$A$85,0),MATCH(L$42,'AEO 7'!$C$1:$AH$1,0))</f>
        <v>39.031016999999999</v>
      </c>
      <c r="M54" s="43">
        <f>INDEX('AEO 7'!$C$18:$AH$85,MATCH($A54,'AEO 7'!$A$18:$A$85,0),MATCH(M$42,'AEO 7'!$C$1:$AH$1,0))</f>
        <v>39.097121999999999</v>
      </c>
      <c r="N54" s="43">
        <f>INDEX('AEO 7'!$C$18:$AH$85,MATCH($A54,'AEO 7'!$A$18:$A$85,0),MATCH(N$42,'AEO 7'!$C$1:$AH$1,0))</f>
        <v>39.178814000000003</v>
      </c>
      <c r="O54" s="43">
        <f>INDEX('AEO 7'!$C$18:$AH$85,MATCH($A54,'AEO 7'!$A$18:$A$85,0),MATCH(O$42,'AEO 7'!$C$1:$AH$1,0))</f>
        <v>39.263396999999998</v>
      </c>
      <c r="P54" s="43">
        <f>INDEX('AEO 7'!$C$18:$AH$85,MATCH($A54,'AEO 7'!$A$18:$A$85,0),MATCH(P$42,'AEO 7'!$C$1:$AH$1,0))</f>
        <v>39.380603999999998</v>
      </c>
      <c r="Q54" s="43">
        <f>INDEX('AEO 7'!$C$18:$AH$85,MATCH($A54,'AEO 7'!$A$18:$A$85,0),MATCH(Q$42,'AEO 7'!$C$1:$AH$1,0))</f>
        <v>39.428646000000001</v>
      </c>
      <c r="R54" s="43">
        <f>INDEX('AEO 7'!$C$18:$AH$85,MATCH($A54,'AEO 7'!$A$18:$A$85,0),MATCH(R$42,'AEO 7'!$C$1:$AH$1,0))</f>
        <v>39.476784000000002</v>
      </c>
      <c r="S54" s="43">
        <f>INDEX('AEO 7'!$C$18:$AH$85,MATCH($A54,'AEO 7'!$A$18:$A$85,0),MATCH(S$42,'AEO 7'!$C$1:$AH$1,0))</f>
        <v>39.553840999999998</v>
      </c>
      <c r="T54" s="43">
        <f>INDEX('AEO 7'!$C$18:$AH$85,MATCH($A54,'AEO 7'!$A$18:$A$85,0),MATCH(T$42,'AEO 7'!$C$1:$AH$1,0))</f>
        <v>39.655147999999997</v>
      </c>
      <c r="U54" s="43">
        <f>INDEX('AEO 7'!$C$18:$AH$85,MATCH($A54,'AEO 7'!$A$18:$A$85,0),MATCH(U$42,'AEO 7'!$C$1:$AH$1,0))</f>
        <v>39.718604999999997</v>
      </c>
      <c r="V54" s="43">
        <f>INDEX('AEO 7'!$C$18:$AH$85,MATCH($A54,'AEO 7'!$A$18:$A$85,0),MATCH(V$42,'AEO 7'!$C$1:$AH$1,0))</f>
        <v>39.800255</v>
      </c>
      <c r="W54" s="43">
        <f>INDEX('AEO 7'!$C$18:$AH$85,MATCH($A54,'AEO 7'!$A$18:$A$85,0),MATCH(W$42,'AEO 7'!$C$1:$AH$1,0))</f>
        <v>39.857684999999996</v>
      </c>
      <c r="X54" s="43">
        <f>INDEX('AEO 7'!$C$18:$AH$85,MATCH($A54,'AEO 7'!$A$18:$A$85,0),MATCH(X$42,'AEO 7'!$C$1:$AH$1,0))</f>
        <v>39.902507999999997</v>
      </c>
      <c r="Y54" s="43">
        <f>INDEX('AEO 7'!$C$18:$AH$85,MATCH($A54,'AEO 7'!$A$18:$A$85,0),MATCH(Y$42,'AEO 7'!$C$1:$AH$1,0))</f>
        <v>39.954895</v>
      </c>
      <c r="Z54" s="43">
        <f>INDEX('AEO 7'!$C$18:$AH$85,MATCH($A54,'AEO 7'!$A$18:$A$85,0),MATCH(Z$42,'AEO 7'!$C$1:$AH$1,0))</f>
        <v>40.024872000000002</v>
      </c>
      <c r="AA54" s="43">
        <f>INDEX('AEO 7'!$C$18:$AH$85,MATCH($A54,'AEO 7'!$A$18:$A$85,0),MATCH(AA$42,'AEO 7'!$C$1:$AH$1,0))</f>
        <v>40.112934000000003</v>
      </c>
      <c r="AB54" s="43">
        <f>INDEX('AEO 7'!$C$18:$AH$85,MATCH($A54,'AEO 7'!$A$18:$A$85,0),MATCH(AB$42,'AEO 7'!$C$1:$AH$1,0))</f>
        <v>40.181061</v>
      </c>
      <c r="AC54" s="43">
        <f>INDEX('AEO 7'!$C$18:$AH$85,MATCH($A54,'AEO 7'!$A$18:$A$85,0),MATCH(AC$42,'AEO 7'!$C$1:$AH$1,0))</f>
        <v>40.254047</v>
      </c>
      <c r="AD54" s="43">
        <f>INDEX('AEO 7'!$C$18:$AH$85,MATCH($A54,'AEO 7'!$A$18:$A$85,0),MATCH(AD$42,'AEO 7'!$C$1:$AH$1,0))</f>
        <v>40.320404000000003</v>
      </c>
      <c r="AE54" s="43">
        <f>INDEX('AEO 7'!$C$18:$AH$85,MATCH($A54,'AEO 7'!$A$18:$A$85,0),MATCH(AE$42,'AEO 7'!$C$1:$AH$1,0))</f>
        <v>40.416508</v>
      </c>
      <c r="AF54" s="43">
        <f>INDEX('AEO 7'!$C$18:$AH$85,MATCH($A54,'AEO 7'!$A$18:$A$85,0),MATCH(AF$42,'AEO 7'!$C$1:$AH$1,0))</f>
        <v>40.521500000000003</v>
      </c>
      <c r="AG54" s="43"/>
    </row>
    <row r="55" spans="1:37" ht="13.6">
      <c r="A55" s="22" t="s">
        <v>67</v>
      </c>
      <c r="B55" s="43">
        <f>INDEX('AEO 7'!$C$18:$AH$85,MATCH($A55,'AEO 7'!$A$18:$A$85,0),MATCH(B$42,'AEO 7'!$C$1:$AH$1,0))</f>
        <v>28.801698999999999</v>
      </c>
      <c r="C55" s="43">
        <f>INDEX('AEO 7'!$C$18:$AH$85,MATCH($A55,'AEO 7'!$A$18:$A$85,0),MATCH(C$42,'AEO 7'!$C$1:$AH$1,0))</f>
        <v>29.748508000000001</v>
      </c>
      <c r="D55" s="43">
        <f>INDEX('AEO 7'!$C$18:$AH$85,MATCH($A55,'AEO 7'!$A$18:$A$85,0),MATCH(D$42,'AEO 7'!$C$1:$AH$1,0))</f>
        <v>30.302168000000002</v>
      </c>
      <c r="E55" s="43">
        <f>INDEX('AEO 7'!$C$18:$AH$85,MATCH($A55,'AEO 7'!$A$18:$A$85,0),MATCH(E$42,'AEO 7'!$C$1:$AH$1,0))</f>
        <v>30.643736000000001</v>
      </c>
      <c r="F55" s="43">
        <f>INDEX('AEO 7'!$C$18:$AH$85,MATCH($A55,'AEO 7'!$A$18:$A$85,0),MATCH(F$42,'AEO 7'!$C$1:$AH$1,0))</f>
        <v>30.892097</v>
      </c>
      <c r="G55" s="43">
        <f>INDEX('AEO 7'!$C$18:$AH$85,MATCH($A55,'AEO 7'!$A$18:$A$85,0),MATCH(G$42,'AEO 7'!$C$1:$AH$1,0))</f>
        <v>31.211321000000002</v>
      </c>
      <c r="H55" s="43">
        <f>INDEX('AEO 7'!$C$18:$AH$85,MATCH($A55,'AEO 7'!$A$18:$A$85,0),MATCH(H$42,'AEO 7'!$C$1:$AH$1,0))</f>
        <v>31.551421999999999</v>
      </c>
      <c r="I55" s="43">
        <f>INDEX('AEO 7'!$C$18:$AH$85,MATCH($A55,'AEO 7'!$A$18:$A$85,0),MATCH(I$42,'AEO 7'!$C$1:$AH$1,0))</f>
        <v>31.636091</v>
      </c>
      <c r="J55" s="43">
        <f>INDEX('AEO 7'!$C$18:$AH$85,MATCH($A55,'AEO 7'!$A$18:$A$85,0),MATCH(J$42,'AEO 7'!$C$1:$AH$1,0))</f>
        <v>31.678196</v>
      </c>
      <c r="K55" s="43">
        <f>INDEX('AEO 7'!$C$18:$AH$85,MATCH($A55,'AEO 7'!$A$18:$A$85,0),MATCH(K$42,'AEO 7'!$C$1:$AH$1,0))</f>
        <v>31.712803000000001</v>
      </c>
      <c r="L55" s="43">
        <f>INDEX('AEO 7'!$C$18:$AH$85,MATCH($A55,'AEO 7'!$A$18:$A$85,0),MATCH(L$42,'AEO 7'!$C$1:$AH$1,0))</f>
        <v>31.839462000000001</v>
      </c>
      <c r="M55" s="43">
        <f>INDEX('AEO 7'!$C$18:$AH$85,MATCH($A55,'AEO 7'!$A$18:$A$85,0),MATCH(M$42,'AEO 7'!$C$1:$AH$1,0))</f>
        <v>31.893412000000001</v>
      </c>
      <c r="N55" s="43">
        <f>INDEX('AEO 7'!$C$18:$AH$85,MATCH($A55,'AEO 7'!$A$18:$A$85,0),MATCH(N$42,'AEO 7'!$C$1:$AH$1,0))</f>
        <v>31.960094000000002</v>
      </c>
      <c r="O55" s="43">
        <f>INDEX('AEO 7'!$C$18:$AH$85,MATCH($A55,'AEO 7'!$A$18:$A$85,0),MATCH(O$42,'AEO 7'!$C$1:$AH$1,0))</f>
        <v>32.029114</v>
      </c>
      <c r="P55" s="43">
        <f>INDEX('AEO 7'!$C$18:$AH$85,MATCH($A55,'AEO 7'!$A$18:$A$85,0),MATCH(P$42,'AEO 7'!$C$1:$AH$1,0))</f>
        <v>32.124813000000003</v>
      </c>
      <c r="Q55" s="43">
        <f>INDEX('AEO 7'!$C$18:$AH$85,MATCH($A55,'AEO 7'!$A$18:$A$85,0),MATCH(Q$42,'AEO 7'!$C$1:$AH$1,0))</f>
        <v>32.163910000000001</v>
      </c>
      <c r="R55" s="43">
        <f>INDEX('AEO 7'!$C$18:$AH$85,MATCH($A55,'AEO 7'!$A$18:$A$85,0),MATCH(R$42,'AEO 7'!$C$1:$AH$1,0))</f>
        <v>32.203082999999999</v>
      </c>
      <c r="S55" s="43">
        <f>INDEX('AEO 7'!$C$18:$AH$85,MATCH($A55,'AEO 7'!$A$18:$A$85,0),MATCH(S$42,'AEO 7'!$C$1:$AH$1,0))</f>
        <v>32.265900000000002</v>
      </c>
      <c r="T55" s="43">
        <f>INDEX('AEO 7'!$C$18:$AH$85,MATCH($A55,'AEO 7'!$A$18:$A$85,0),MATCH(T$42,'AEO 7'!$C$1:$AH$1,0))</f>
        <v>32.348514999999999</v>
      </c>
      <c r="U55" s="43">
        <f>INDEX('AEO 7'!$C$18:$AH$85,MATCH($A55,'AEO 7'!$A$18:$A$85,0),MATCH(U$42,'AEO 7'!$C$1:$AH$1,0))</f>
        <v>32.400196000000001</v>
      </c>
      <c r="V55" s="43">
        <f>INDEX('AEO 7'!$C$18:$AH$85,MATCH($A55,'AEO 7'!$A$18:$A$85,0),MATCH(V$42,'AEO 7'!$C$1:$AH$1,0))</f>
        <v>32.466754999999999</v>
      </c>
      <c r="W55" s="43">
        <f>INDEX('AEO 7'!$C$18:$AH$85,MATCH($A55,'AEO 7'!$A$18:$A$85,0),MATCH(W$42,'AEO 7'!$C$1:$AH$1,0))</f>
        <v>32.513561000000003</v>
      </c>
      <c r="X55" s="43">
        <f>INDEX('AEO 7'!$C$18:$AH$85,MATCH($A55,'AEO 7'!$A$18:$A$85,0),MATCH(X$42,'AEO 7'!$C$1:$AH$1,0))</f>
        <v>32.550055999999998</v>
      </c>
      <c r="Y55" s="43">
        <f>INDEX('AEO 7'!$C$18:$AH$85,MATCH($A55,'AEO 7'!$A$18:$A$85,0),MATCH(Y$42,'AEO 7'!$C$1:$AH$1,0))</f>
        <v>32.592742999999999</v>
      </c>
      <c r="Z55" s="43">
        <f>INDEX('AEO 7'!$C$18:$AH$85,MATCH($A55,'AEO 7'!$A$18:$A$85,0),MATCH(Z$42,'AEO 7'!$C$1:$AH$1,0))</f>
        <v>32.649788000000001</v>
      </c>
      <c r="AA55" s="43">
        <f>INDEX('AEO 7'!$C$18:$AH$85,MATCH($A55,'AEO 7'!$A$18:$A$85,0),MATCH(AA$42,'AEO 7'!$C$1:$AH$1,0))</f>
        <v>32.721618999999997</v>
      </c>
      <c r="AB55" s="43">
        <f>INDEX('AEO 7'!$C$18:$AH$85,MATCH($A55,'AEO 7'!$A$18:$A$85,0),MATCH(AB$42,'AEO 7'!$C$1:$AH$1,0))</f>
        <v>32.77713</v>
      </c>
      <c r="AC55" s="43">
        <f>INDEX('AEO 7'!$C$18:$AH$85,MATCH($A55,'AEO 7'!$A$18:$A$85,0),MATCH(AC$42,'AEO 7'!$C$1:$AH$1,0))</f>
        <v>32.836616999999997</v>
      </c>
      <c r="AD55" s="43">
        <f>INDEX('AEO 7'!$C$18:$AH$85,MATCH($A55,'AEO 7'!$A$18:$A$85,0),MATCH(AD$42,'AEO 7'!$C$1:$AH$1,0))</f>
        <v>32.890667000000001</v>
      </c>
      <c r="AE55" s="43">
        <f>INDEX('AEO 7'!$C$18:$AH$85,MATCH($A55,'AEO 7'!$A$18:$A$85,0),MATCH(AE$42,'AEO 7'!$C$1:$AH$1,0))</f>
        <v>32.969020999999998</v>
      </c>
      <c r="AF55" s="43">
        <f>INDEX('AEO 7'!$C$18:$AH$85,MATCH($A55,'AEO 7'!$A$18:$A$85,0),MATCH(AF$42,'AEO 7'!$C$1:$AH$1,0))</f>
        <v>33.054625999999999</v>
      </c>
      <c r="AG55" s="43"/>
    </row>
    <row r="56" spans="1:37">
      <c r="A56" s="45" t="s">
        <v>982</v>
      </c>
      <c r="B56" s="49">
        <f>B55/B54</f>
        <v>0.81575912303363374</v>
      </c>
      <c r="C56" s="49">
        <f t="shared" ref="C56:AF56" si="21">C55/C54</f>
        <v>0.81574504744570009</v>
      </c>
      <c r="D56" s="49">
        <f t="shared" si="21"/>
        <v>0.81576285666712567</v>
      </c>
      <c r="E56" s="49">
        <f t="shared" si="21"/>
        <v>0.81575766475137834</v>
      </c>
      <c r="F56" s="49">
        <f t="shared" si="21"/>
        <v>0.81574950896612619</v>
      </c>
      <c r="G56" s="49">
        <f t="shared" si="21"/>
        <v>0.81574411506434485</v>
      </c>
      <c r="H56" s="49">
        <f t="shared" si="21"/>
        <v>0.81573901499209034</v>
      </c>
      <c r="I56" s="49">
        <f t="shared" si="21"/>
        <v>0.81573908285570773</v>
      </c>
      <c r="J56" s="49">
        <f t="shared" si="21"/>
        <v>0.81573954013257655</v>
      </c>
      <c r="K56" s="49">
        <f t="shared" si="21"/>
        <v>0.8157406958926392</v>
      </c>
      <c r="L56" s="49">
        <f t="shared" si="21"/>
        <v>0.81574769112472789</v>
      </c>
      <c r="M56" s="49">
        <f t="shared" si="21"/>
        <v>0.81574833052929063</v>
      </c>
      <c r="N56" s="49">
        <f t="shared" si="21"/>
        <v>0.81574939966278714</v>
      </c>
      <c r="O56" s="49">
        <f t="shared" si="21"/>
        <v>0.81574994644503129</v>
      </c>
      <c r="P56" s="49">
        <f t="shared" si="21"/>
        <v>0.81575216571081555</v>
      </c>
      <c r="Q56" s="49">
        <f t="shared" si="21"/>
        <v>0.81574979774857093</v>
      </c>
      <c r="R56" s="49">
        <f t="shared" si="21"/>
        <v>0.81574737698997968</v>
      </c>
      <c r="S56" s="49">
        <f t="shared" si="21"/>
        <v>0.81574631399261588</v>
      </c>
      <c r="T56" s="49">
        <f t="shared" si="21"/>
        <v>0.81574566308515606</v>
      </c>
      <c r="U56" s="49">
        <f t="shared" si="21"/>
        <v>0.81574355393398146</v>
      </c>
      <c r="V56" s="49">
        <f t="shared" si="21"/>
        <v>0.8157423865751614</v>
      </c>
      <c r="W56" s="49">
        <f t="shared" si="21"/>
        <v>0.8157413306869179</v>
      </c>
      <c r="X56" s="49">
        <f t="shared" si="21"/>
        <v>0.81573960213227703</v>
      </c>
      <c r="Y56" s="49">
        <f t="shared" si="21"/>
        <v>0.81573842203815072</v>
      </c>
      <c r="Z56" s="49">
        <f t="shared" si="21"/>
        <v>0.81573747443839417</v>
      </c>
      <c r="AA56" s="49">
        <f t="shared" si="21"/>
        <v>0.81573736291640986</v>
      </c>
      <c r="AB56" s="49">
        <f t="shared" si="21"/>
        <v>0.81573580150111014</v>
      </c>
      <c r="AC56" s="49">
        <f t="shared" si="21"/>
        <v>0.81573455210602797</v>
      </c>
      <c r="AD56" s="49">
        <f t="shared" si="21"/>
        <v>0.81573257549701128</v>
      </c>
      <c r="AE56" s="49">
        <f t="shared" si="21"/>
        <v>0.81573155701625677</v>
      </c>
      <c r="AF56" s="49">
        <f t="shared" si="21"/>
        <v>0.81573056278765588</v>
      </c>
      <c r="AG56" s="49"/>
    </row>
    <row r="57" spans="1:37">
      <c r="B57" s="47"/>
    </row>
    <row r="58" spans="1:37">
      <c r="A58" s="50" t="s">
        <v>983</v>
      </c>
      <c r="B58" s="51">
        <f>B51*B56</f>
        <v>28.749596064488212</v>
      </c>
      <c r="C58" s="51">
        <f t="shared" ref="C58:AF58" si="22">C51*C56</f>
        <v>29.754858223122419</v>
      </c>
      <c r="D58" s="51">
        <f>D51*D56</f>
        <v>30.296770416615157</v>
      </c>
      <c r="E58" s="51">
        <f t="shared" si="22"/>
        <v>30.650912253548587</v>
      </c>
      <c r="F58" s="51">
        <f>F51*F56</f>
        <v>30.906067032498434</v>
      </c>
      <c r="G58" s="51">
        <f t="shared" si="22"/>
        <v>31.186313222681928</v>
      </c>
      <c r="H58" s="51">
        <f t="shared" si="22"/>
        <v>31.426494372364647</v>
      </c>
      <c r="I58" s="51">
        <f t="shared" si="22"/>
        <v>31.425343633305527</v>
      </c>
      <c r="J58" s="51">
        <f t="shared" si="22"/>
        <v>31.400159559550232</v>
      </c>
      <c r="K58" s="51">
        <f t="shared" si="22"/>
        <v>31.377377637291591</v>
      </c>
      <c r="L58" s="51">
        <f t="shared" si="22"/>
        <v>31.422135300796445</v>
      </c>
      <c r="M58" s="51">
        <f t="shared" si="22"/>
        <v>31.397753663497141</v>
      </c>
      <c r="N58" s="51">
        <f t="shared" si="22"/>
        <v>31.370719357450188</v>
      </c>
      <c r="O58" s="51">
        <f t="shared" si="22"/>
        <v>31.341369181238896</v>
      </c>
      <c r="P58" s="51">
        <f t="shared" si="22"/>
        <v>31.328258800735945</v>
      </c>
      <c r="Q58" s="51">
        <f t="shared" si="22"/>
        <v>31.262115460715837</v>
      </c>
      <c r="R58" s="51">
        <f t="shared" si="22"/>
        <v>31.19411692119456</v>
      </c>
      <c r="S58" s="51">
        <f t="shared" si="22"/>
        <v>31.143815574996758</v>
      </c>
      <c r="T58" s="51">
        <f t="shared" si="22"/>
        <v>31.106462157363854</v>
      </c>
      <c r="U58" s="51">
        <f t="shared" si="22"/>
        <v>31.043800290847734</v>
      </c>
      <c r="V58" s="51">
        <f t="shared" si="22"/>
        <v>30.992344275068429</v>
      </c>
      <c r="W58" s="51">
        <f t="shared" si="22"/>
        <v>30.946818314658824</v>
      </c>
      <c r="X58" s="51">
        <f t="shared" si="22"/>
        <v>30.896243810750587</v>
      </c>
      <c r="Y58" s="51">
        <f t="shared" si="22"/>
        <v>30.847630030630899</v>
      </c>
      <c r="Z58" s="51">
        <f t="shared" si="22"/>
        <v>30.807361259215725</v>
      </c>
      <c r="AA58" s="51">
        <f t="shared" si="22"/>
        <v>30.773398565366573</v>
      </c>
      <c r="AB58" s="51">
        <f t="shared" si="22"/>
        <v>30.725191631713113</v>
      </c>
      <c r="AC58" s="51">
        <f t="shared" si="22"/>
        <v>30.67996289137265</v>
      </c>
      <c r="AD58" s="51">
        <f t="shared" si="22"/>
        <v>30.626296146461122</v>
      </c>
      <c r="AE58" s="51">
        <f t="shared" si="22"/>
        <v>30.58410134950201</v>
      </c>
      <c r="AF58" s="51">
        <f t="shared" si="22"/>
        <v>30.541872120728957</v>
      </c>
      <c r="AG58" s="51"/>
    </row>
    <row r="61" spans="1:37">
      <c r="A61" s="2" t="s">
        <v>1094</v>
      </c>
    </row>
    <row r="62" spans="1:37">
      <c r="D62" s="37" t="s">
        <v>986</v>
      </c>
      <c r="E62" s="1">
        <v>2020</v>
      </c>
      <c r="F62" s="1">
        <v>2021</v>
      </c>
      <c r="G62" s="1">
        <v>2022</v>
      </c>
      <c r="H62" s="1">
        <v>2023</v>
      </c>
      <c r="I62" s="1">
        <v>2024</v>
      </c>
      <c r="J62" s="1">
        <v>2025</v>
      </c>
      <c r="K62" s="1">
        <v>2026</v>
      </c>
      <c r="L62" s="1">
        <v>2027</v>
      </c>
      <c r="M62" s="1">
        <v>2028</v>
      </c>
      <c r="N62" s="1">
        <v>2029</v>
      </c>
      <c r="O62" s="1">
        <v>2030</v>
      </c>
      <c r="P62" s="1">
        <v>2031</v>
      </c>
      <c r="Q62" s="1">
        <v>2032</v>
      </c>
      <c r="R62" s="1">
        <v>2033</v>
      </c>
      <c r="S62" s="1">
        <v>2034</v>
      </c>
      <c r="T62" s="1">
        <v>2035</v>
      </c>
      <c r="U62" s="1">
        <v>2036</v>
      </c>
      <c r="V62" s="1">
        <v>2037</v>
      </c>
      <c r="W62" s="1">
        <v>2038</v>
      </c>
      <c r="X62" s="1">
        <v>2039</v>
      </c>
      <c r="Y62" s="1">
        <v>2040</v>
      </c>
      <c r="Z62" s="1">
        <v>2041</v>
      </c>
      <c r="AA62" s="1">
        <v>2042</v>
      </c>
      <c r="AB62" s="1">
        <v>2043</v>
      </c>
      <c r="AC62" s="1">
        <v>2044</v>
      </c>
      <c r="AD62" s="1">
        <v>2045</v>
      </c>
      <c r="AE62" s="1">
        <v>2046</v>
      </c>
      <c r="AF62" s="1">
        <v>2047</v>
      </c>
      <c r="AG62" s="1">
        <v>2048</v>
      </c>
      <c r="AH62" s="1">
        <v>2049</v>
      </c>
      <c r="AI62" s="1">
        <v>2050</v>
      </c>
      <c r="AJ62" s="1"/>
    </row>
    <row r="63" spans="1:37" ht="13.6">
      <c r="C63" s="54" t="s">
        <v>836</v>
      </c>
      <c r="D63" t="s">
        <v>985</v>
      </c>
      <c r="E63" s="58">
        <f>INDEX('AEO 7'!$C$18:$AH$28,MATCH($C$63,'AEO 7'!$A$18:$A$28,0),MATCH(E$62,'AEO 7'!$C$13:$AH$13,0))*10^9</f>
        <v>24970692000</v>
      </c>
      <c r="F63" s="58">
        <f>INDEX('AEO 7'!$C$18:$AH$28,MATCH($C$63,'AEO 7'!$A$18:$A$28,0),MATCH(F$62,'AEO 7'!$C$13:$AH$13,0))*10^9</f>
        <v>29653244000</v>
      </c>
      <c r="G63" s="58">
        <f>INDEX('AEO 7'!$C$18:$AH$28,MATCH($C$63,'AEO 7'!$A$18:$A$28,0),MATCH(G$62,'AEO 7'!$C$13:$AH$13,0))*10^9</f>
        <v>33486446000</v>
      </c>
      <c r="H63" s="58">
        <f>INDEX('AEO 7'!$C$18:$AH$28,MATCH($C$63,'AEO 7'!$A$18:$A$28,0),MATCH(H$62,'AEO 7'!$C$13:$AH$13,0))*10^9</f>
        <v>36386101000</v>
      </c>
      <c r="I63" s="58">
        <f>INDEX('AEO 7'!$C$18:$AH$28,MATCH($C$63,'AEO 7'!$A$18:$A$28,0),MATCH(I$62,'AEO 7'!$C$13:$AH$13,0))*10^9</f>
        <v>38577961000</v>
      </c>
      <c r="J63" s="58">
        <f>INDEX('AEO 7'!$C$18:$AH$28,MATCH($C$63,'AEO 7'!$A$18:$A$28,0),MATCH(J$62,'AEO 7'!$C$13:$AH$13,0))*10^9</f>
        <v>40222988000</v>
      </c>
      <c r="K63" s="58">
        <f>INDEX('AEO 7'!$C$18:$AH$28,MATCH($C$63,'AEO 7'!$A$18:$A$28,0),MATCH(K$62,'AEO 7'!$C$13:$AH$13,0))*10^9</f>
        <v>41396164000</v>
      </c>
      <c r="L63" s="58">
        <f>INDEX('AEO 7'!$C$18:$AH$28,MATCH($C$63,'AEO 7'!$A$18:$A$28,0),MATCH(L$62,'AEO 7'!$C$13:$AH$13,0))*10^9</f>
        <v>42264778000</v>
      </c>
      <c r="M63" s="58">
        <f>INDEX('AEO 7'!$C$18:$AH$28,MATCH($C$63,'AEO 7'!$A$18:$A$28,0),MATCH(M$62,'AEO 7'!$C$13:$AH$13,0))*10^9</f>
        <v>42515728000</v>
      </c>
      <c r="N63" s="58">
        <f>INDEX('AEO 7'!$C$18:$AH$28,MATCH($C$63,'AEO 7'!$A$18:$A$28,0),MATCH(N$62,'AEO 7'!$C$13:$AH$13,0))*10^9</f>
        <v>42713291000</v>
      </c>
      <c r="O63" s="58">
        <f>INDEX('AEO 7'!$C$18:$AH$28,MATCH($C$63,'AEO 7'!$A$18:$A$28,0),MATCH(O$62,'AEO 7'!$C$13:$AH$13,0))*10^9</f>
        <v>43137005000</v>
      </c>
      <c r="P63" s="58">
        <f>INDEX('AEO 7'!$C$18:$AH$28,MATCH($C$63,'AEO 7'!$A$18:$A$28,0),MATCH(P$62,'AEO 7'!$C$13:$AH$13,0))*10^9</f>
        <v>43343742000</v>
      </c>
      <c r="Q63" s="58">
        <f>INDEX('AEO 7'!$C$18:$AH$28,MATCH($C$63,'AEO 7'!$A$18:$A$28,0),MATCH(Q$62,'AEO 7'!$C$13:$AH$13,0))*10^9</f>
        <v>43818241000</v>
      </c>
      <c r="R63" s="58">
        <f>INDEX('AEO 7'!$C$18:$AH$28,MATCH($C$63,'AEO 7'!$A$18:$A$28,0),MATCH(R$62,'AEO 7'!$C$13:$AH$13,0))*10^9</f>
        <v>44274139000</v>
      </c>
      <c r="S63" s="58">
        <f>INDEX('AEO 7'!$C$18:$AH$28,MATCH($C$63,'AEO 7'!$A$18:$A$28,0),MATCH(S$62,'AEO 7'!$C$13:$AH$13,0))*10^9</f>
        <v>44835865000</v>
      </c>
      <c r="T63" s="58">
        <f>INDEX('AEO 7'!$C$18:$AH$28,MATCH($C$63,'AEO 7'!$A$18:$A$28,0),MATCH(T$62,'AEO 7'!$C$13:$AH$13,0))*10^9</f>
        <v>45310886000</v>
      </c>
      <c r="U63" s="58">
        <f>INDEX('AEO 7'!$C$18:$AH$28,MATCH($C$63,'AEO 7'!$A$18:$A$28,0),MATCH(U$62,'AEO 7'!$C$13:$AH$13,0))*10^9</f>
        <v>45831734000</v>
      </c>
      <c r="V63" s="58">
        <f>INDEX('AEO 7'!$C$18:$AH$28,MATCH($C$63,'AEO 7'!$A$18:$A$28,0),MATCH(V$62,'AEO 7'!$C$13:$AH$13,0))*10^9</f>
        <v>46327930000</v>
      </c>
      <c r="W63" s="58">
        <f>INDEX('AEO 7'!$C$18:$AH$28,MATCH($C$63,'AEO 7'!$A$18:$A$28,0),MATCH(W$62,'AEO 7'!$C$13:$AH$13,0))*10^9</f>
        <v>46816154000</v>
      </c>
      <c r="X63" s="58">
        <f>INDEX('AEO 7'!$C$18:$AH$28,MATCH($C$63,'AEO 7'!$A$18:$A$28,0),MATCH(X$62,'AEO 7'!$C$13:$AH$13,0))*10^9</f>
        <v>47317448000</v>
      </c>
      <c r="Y63" s="58">
        <f>INDEX('AEO 7'!$C$18:$AH$28,MATCH($C$63,'AEO 7'!$A$18:$A$28,0),MATCH(Y$62,'AEO 7'!$C$13:$AH$13,0))*10^9</f>
        <v>47980492000</v>
      </c>
      <c r="Z63" s="58">
        <f>INDEX('AEO 7'!$C$18:$AH$28,MATCH($C$63,'AEO 7'!$A$18:$A$28,0),MATCH(Z$62,'AEO 7'!$C$13:$AH$13,0))*10^9</f>
        <v>48582150000</v>
      </c>
      <c r="AA63" s="58">
        <f>INDEX('AEO 7'!$C$18:$AH$28,MATCH($C$63,'AEO 7'!$A$18:$A$28,0),MATCH(AA$62,'AEO 7'!$C$13:$AH$13,0))*10^9</f>
        <v>49164021000</v>
      </c>
      <c r="AB63" s="58">
        <f>INDEX('AEO 7'!$C$18:$AH$28,MATCH($C$63,'AEO 7'!$A$18:$A$28,0),MATCH(AB$62,'AEO 7'!$C$13:$AH$13,0))*10^9</f>
        <v>49763081000</v>
      </c>
      <c r="AC63" s="58">
        <f>INDEX('AEO 7'!$C$18:$AH$28,MATCH($C$63,'AEO 7'!$A$18:$A$28,0),MATCH(AC$62,'AEO 7'!$C$13:$AH$13,0))*10^9</f>
        <v>50334721000</v>
      </c>
      <c r="AD63" s="58">
        <f>INDEX('AEO 7'!$C$18:$AH$28,MATCH($C$63,'AEO 7'!$A$18:$A$28,0),MATCH(AD$62,'AEO 7'!$C$13:$AH$13,0))*10^9</f>
        <v>50978020000</v>
      </c>
      <c r="AE63" s="58">
        <f>INDEX('AEO 7'!$C$18:$AH$28,MATCH($C$63,'AEO 7'!$A$18:$A$28,0),MATCH(AE$62,'AEO 7'!$C$13:$AH$13,0))*10^9</f>
        <v>51558666000</v>
      </c>
      <c r="AF63" s="58">
        <f>INDEX('AEO 7'!$C$18:$AH$28,MATCH($C$63,'AEO 7'!$A$18:$A$28,0),MATCH(AF$62,'AEO 7'!$C$13:$AH$13,0))*10^9</f>
        <v>52079247000</v>
      </c>
      <c r="AG63" s="58">
        <f>INDEX('AEO 7'!$C$18:$AH$28,MATCH($C$63,'AEO 7'!$A$18:$A$28,0),MATCH(AG$62,'AEO 7'!$C$13:$AH$13,0))*10^9</f>
        <v>52647175000</v>
      </c>
      <c r="AH63" s="58">
        <f>INDEX('AEO 7'!$C$18:$AH$28,MATCH($C$63,'AEO 7'!$A$18:$A$28,0),MATCH(AH$62,'AEO 7'!$C$13:$AH$13,0))*10^9</f>
        <v>53282265000</v>
      </c>
      <c r="AI63" s="58">
        <f>INDEX('AEO 7'!$C$18:$AH$28,MATCH($C$63,'AEO 7'!$A$18:$A$28,0),MATCH(AI$62,'AEO 7'!$C$13:$AH$13,0))*10^9</f>
        <v>53912506000</v>
      </c>
      <c r="AJ63" s="58"/>
      <c r="AK63" s="57"/>
    </row>
    <row r="64" spans="1:37" ht="13.6">
      <c r="A64" s="14" t="s">
        <v>1073</v>
      </c>
      <c r="B64" s="14" t="s">
        <v>1071</v>
      </c>
      <c r="C64" s="14" t="s">
        <v>1066</v>
      </c>
      <c r="D64" t="s">
        <v>1088</v>
      </c>
      <c r="E64" s="48">
        <f>SUM(INDEX('AEO 36'!$F$15:$AK$103,MATCH($C$64,'AEO 36'!$B$15:$B$103,0),MATCH(E$62,'AEO 36'!$F$1:$AK$1,0)),INDEX('AEO 36'!$F$15:$AK$103,MATCH($B$64,'AEO 36'!$B$15:$B$103,0),MATCH(E$62,'AEO 36'!$F$1:$AK$1,0)),INDEX('AEO 36'!$F$15:$AK$103,MATCH($A$64,'AEO 36'!$B$15:$B$103,0),MATCH(E$62,'AEO 36'!$F$1:$AK$1,0)))*10^12</f>
        <v>15724651999999.998</v>
      </c>
      <c r="F64" s="48">
        <f>SUM(INDEX('AEO 36'!$F$15:$AK$103,MATCH($C$64,'AEO 36'!$B$15:$B$103,0),MATCH(F$62,'AEO 36'!$F$1:$AK$1,0)),INDEX('AEO 36'!$F$15:$AK$103,MATCH($B$64,'AEO 36'!$B$15:$B$103,0),MATCH(F$62,'AEO 36'!$F$1:$AK$1,0)),INDEX('AEO 36'!$F$15:$AK$103,MATCH($A$64,'AEO 36'!$B$15:$B$103,0),MATCH(F$62,'AEO 36'!$F$1:$AK$1,0)))*10^12</f>
        <v>18570040000000</v>
      </c>
      <c r="G64" s="48">
        <f>SUM(INDEX('AEO 36'!$F$15:$AK$103,MATCH($C$64,'AEO 36'!$B$15:$B$103,0),MATCH(G$62,'AEO 36'!$F$1:$AK$1,0)),INDEX('AEO 36'!$F$15:$AK$103,MATCH($B$64,'AEO 36'!$B$15:$B$103,0),MATCH(G$62,'AEO 36'!$F$1:$AK$1,0)),INDEX('AEO 36'!$F$15:$AK$103,MATCH($A$64,'AEO 36'!$B$15:$B$103,0),MATCH(G$62,'AEO 36'!$F$1:$AK$1,0)))*10^12</f>
        <v>20939007000000</v>
      </c>
      <c r="H64" s="48">
        <f>SUM(INDEX('AEO 36'!$F$15:$AK$103,MATCH($C$64,'AEO 36'!$B$15:$B$103,0),MATCH(H$62,'AEO 36'!$F$1:$AK$1,0)),INDEX('AEO 36'!$F$15:$AK$103,MATCH($B$64,'AEO 36'!$B$15:$B$103,0),MATCH(H$62,'AEO 36'!$F$1:$AK$1,0)),INDEX('AEO 36'!$F$15:$AK$103,MATCH($A$64,'AEO 36'!$B$15:$B$103,0),MATCH(H$62,'AEO 36'!$F$1:$AK$1,0)))*10^12</f>
        <v>22730788000000</v>
      </c>
      <c r="I64" s="48">
        <f>SUM(INDEX('AEO 36'!$F$15:$AK$103,MATCH($C$64,'AEO 36'!$B$15:$B$103,0),MATCH(I$62,'AEO 36'!$F$1:$AK$1,0)),INDEX('AEO 36'!$F$15:$AK$103,MATCH($B$64,'AEO 36'!$B$15:$B$103,0),MATCH(I$62,'AEO 36'!$F$1:$AK$1,0)),INDEX('AEO 36'!$F$15:$AK$103,MATCH($A$64,'AEO 36'!$B$15:$B$103,0),MATCH(I$62,'AEO 36'!$F$1:$AK$1,0)))*10^12</f>
        <v>24090370000000</v>
      </c>
      <c r="J64" s="48">
        <f>SUM(INDEX('AEO 36'!$F$15:$AK$103,MATCH($C$64,'AEO 36'!$B$15:$B$103,0),MATCH(J$62,'AEO 36'!$F$1:$AK$1,0)),INDEX('AEO 36'!$F$15:$AK$103,MATCH($B$64,'AEO 36'!$B$15:$B$103,0),MATCH(J$62,'AEO 36'!$F$1:$AK$1,0)),INDEX('AEO 36'!$F$15:$AK$103,MATCH($A$64,'AEO 36'!$B$15:$B$103,0),MATCH(J$62,'AEO 36'!$F$1:$AK$1,0)))*10^12</f>
        <v>25112246000000</v>
      </c>
      <c r="K64" s="48">
        <f>SUM(INDEX('AEO 36'!$F$15:$AK$103,MATCH($C$64,'AEO 36'!$B$15:$B$103,0),MATCH(K$62,'AEO 36'!$F$1:$AK$1,0)),INDEX('AEO 36'!$F$15:$AK$103,MATCH($B$64,'AEO 36'!$B$15:$B$103,0),MATCH(K$62,'AEO 36'!$F$1:$AK$1,0)),INDEX('AEO 36'!$F$15:$AK$103,MATCH($A$64,'AEO 36'!$B$15:$B$103,0),MATCH(K$62,'AEO 36'!$F$1:$AK$1,0)))*10^12</f>
        <v>25840006000000</v>
      </c>
      <c r="L64" s="48">
        <f>SUM(INDEX('AEO 36'!$F$15:$AK$103,MATCH($C$64,'AEO 36'!$B$15:$B$103,0),MATCH(L$62,'AEO 36'!$F$1:$AK$1,0)),INDEX('AEO 36'!$F$15:$AK$103,MATCH($B$64,'AEO 36'!$B$15:$B$103,0),MATCH(L$62,'AEO 36'!$F$1:$AK$1,0)),INDEX('AEO 36'!$F$15:$AK$103,MATCH($A$64,'AEO 36'!$B$15:$B$103,0),MATCH(L$62,'AEO 36'!$F$1:$AK$1,0)))*10^12</f>
        <v>26380896000000</v>
      </c>
      <c r="M64" s="48">
        <f>SUM(INDEX('AEO 36'!$F$15:$AK$103,MATCH($C$64,'AEO 36'!$B$15:$B$103,0),MATCH(M$62,'AEO 36'!$F$1:$AK$1,0)),INDEX('AEO 36'!$F$15:$AK$103,MATCH($B$64,'AEO 36'!$B$15:$B$103,0),MATCH(M$62,'AEO 36'!$F$1:$AK$1,0)),INDEX('AEO 36'!$F$15:$AK$103,MATCH($A$64,'AEO 36'!$B$15:$B$103,0),MATCH(M$62,'AEO 36'!$F$1:$AK$1,0)))*10^12</f>
        <v>26537698000000</v>
      </c>
      <c r="N64" s="48">
        <f>SUM(INDEX('AEO 36'!$F$15:$AK$103,MATCH($C$64,'AEO 36'!$B$15:$B$103,0),MATCH(N$62,'AEO 36'!$F$1:$AK$1,0)),INDEX('AEO 36'!$F$15:$AK$103,MATCH($B$64,'AEO 36'!$B$15:$B$103,0),MATCH(N$62,'AEO 36'!$F$1:$AK$1,0)),INDEX('AEO 36'!$F$15:$AK$103,MATCH($A$64,'AEO 36'!$B$15:$B$103,0),MATCH(N$62,'AEO 36'!$F$1:$AK$1,0)))*10^12</f>
        <v>26659430000000</v>
      </c>
      <c r="O64" s="48">
        <f>SUM(INDEX('AEO 36'!$F$15:$AK$103,MATCH($C$64,'AEO 36'!$B$15:$B$103,0),MATCH(O$62,'AEO 36'!$F$1:$AK$1,0)),INDEX('AEO 36'!$F$15:$AK$103,MATCH($B$64,'AEO 36'!$B$15:$B$103,0),MATCH(O$62,'AEO 36'!$F$1:$AK$1,0)),INDEX('AEO 36'!$F$15:$AK$103,MATCH($A$64,'AEO 36'!$B$15:$B$103,0),MATCH(O$62,'AEO 36'!$F$1:$AK$1,0)))*10^12</f>
        <v>26941779000000</v>
      </c>
      <c r="P64" s="48">
        <f>SUM(INDEX('AEO 36'!$F$15:$AK$103,MATCH($C$64,'AEO 36'!$B$15:$B$103,0),MATCH(P$62,'AEO 36'!$F$1:$AK$1,0)),INDEX('AEO 36'!$F$15:$AK$103,MATCH($B$64,'AEO 36'!$B$15:$B$103,0),MATCH(P$62,'AEO 36'!$F$1:$AK$1,0)),INDEX('AEO 36'!$F$15:$AK$103,MATCH($A$64,'AEO 36'!$B$15:$B$103,0),MATCH(P$62,'AEO 36'!$F$1:$AK$1,0)))*10^12</f>
        <v>27061387000000.004</v>
      </c>
      <c r="Q64" s="48">
        <f>SUM(INDEX('AEO 36'!$F$15:$AK$103,MATCH($C$64,'AEO 36'!$B$15:$B$103,0),MATCH(Q$62,'AEO 36'!$F$1:$AK$1,0)),INDEX('AEO 36'!$F$15:$AK$103,MATCH($B$64,'AEO 36'!$B$15:$B$103,0),MATCH(Q$62,'AEO 36'!$F$1:$AK$1,0)),INDEX('AEO 36'!$F$15:$AK$103,MATCH($A$64,'AEO 36'!$B$15:$B$103,0),MATCH(Q$62,'AEO 36'!$F$1:$AK$1,0)))*10^12</f>
        <v>27370438999999.996</v>
      </c>
      <c r="R64" s="48">
        <f>SUM(INDEX('AEO 36'!$F$15:$AK$103,MATCH($C$64,'AEO 36'!$B$15:$B$103,0),MATCH(R$62,'AEO 36'!$F$1:$AK$1,0)),INDEX('AEO 36'!$F$15:$AK$103,MATCH($B$64,'AEO 36'!$B$15:$B$103,0),MATCH(R$62,'AEO 36'!$F$1:$AK$1,0)),INDEX('AEO 36'!$F$15:$AK$103,MATCH($A$64,'AEO 36'!$B$15:$B$103,0),MATCH(R$62,'AEO 36'!$F$1:$AK$1,0)))*10^12</f>
        <v>27664516000000</v>
      </c>
      <c r="S64" s="48">
        <f>SUM(INDEX('AEO 36'!$F$15:$AK$103,MATCH($C$64,'AEO 36'!$B$15:$B$103,0),MATCH(S$62,'AEO 36'!$F$1:$AK$1,0)),INDEX('AEO 36'!$F$15:$AK$103,MATCH($B$64,'AEO 36'!$B$15:$B$103,0),MATCH(S$62,'AEO 36'!$F$1:$AK$1,0)),INDEX('AEO 36'!$F$15:$AK$103,MATCH($A$64,'AEO 36'!$B$15:$B$103,0),MATCH(S$62,'AEO 36'!$F$1:$AK$1,0)))*10^12</f>
        <v>28033673999999.996</v>
      </c>
      <c r="T64" s="48">
        <f>SUM(INDEX('AEO 36'!$F$15:$AK$103,MATCH($C$64,'AEO 36'!$B$15:$B$103,0),MATCH(T$62,'AEO 36'!$F$1:$AK$1,0)),INDEX('AEO 36'!$F$15:$AK$103,MATCH($B$64,'AEO 36'!$B$15:$B$103,0),MATCH(T$62,'AEO 36'!$F$1:$AK$1,0)),INDEX('AEO 36'!$F$15:$AK$103,MATCH($A$64,'AEO 36'!$B$15:$B$103,0),MATCH(T$62,'AEO 36'!$F$1:$AK$1,0)))*10^12</f>
        <v>28336389000000</v>
      </c>
      <c r="U64" s="48">
        <f>SUM(INDEX('AEO 36'!$F$15:$AK$103,MATCH($C$64,'AEO 36'!$B$15:$B$103,0),MATCH(U$62,'AEO 36'!$F$1:$AK$1,0)),INDEX('AEO 36'!$F$15:$AK$103,MATCH($B$64,'AEO 36'!$B$15:$B$103,0),MATCH(U$62,'AEO 36'!$F$1:$AK$1,0)),INDEX('AEO 36'!$F$15:$AK$103,MATCH($A$64,'AEO 36'!$B$15:$B$103,0),MATCH(U$62,'AEO 36'!$F$1:$AK$1,0)))*10^12</f>
        <v>28674376000000.004</v>
      </c>
      <c r="V64" s="48">
        <f>SUM(INDEX('AEO 36'!$F$15:$AK$103,MATCH($C$64,'AEO 36'!$B$15:$B$103,0),MATCH(V$62,'AEO 36'!$F$1:$AK$1,0)),INDEX('AEO 36'!$F$15:$AK$103,MATCH($B$64,'AEO 36'!$B$15:$B$103,0),MATCH(V$62,'AEO 36'!$F$1:$AK$1,0)),INDEX('AEO 36'!$F$15:$AK$103,MATCH($A$64,'AEO 36'!$B$15:$B$103,0),MATCH(V$62,'AEO 36'!$F$1:$AK$1,0)))*10^12</f>
        <v>28995555000000</v>
      </c>
      <c r="W64" s="48">
        <f>SUM(INDEX('AEO 36'!$F$15:$AK$103,MATCH($C$64,'AEO 36'!$B$15:$B$103,0),MATCH(W$62,'AEO 36'!$F$1:$AK$1,0)),INDEX('AEO 36'!$F$15:$AK$103,MATCH($B$64,'AEO 36'!$B$15:$B$103,0),MATCH(W$62,'AEO 36'!$F$1:$AK$1,0)),INDEX('AEO 36'!$F$15:$AK$103,MATCH($A$64,'AEO 36'!$B$15:$B$103,0),MATCH(W$62,'AEO 36'!$F$1:$AK$1,0)))*10^12</f>
        <v>29311184000000</v>
      </c>
      <c r="X64" s="48">
        <f>SUM(INDEX('AEO 36'!$F$15:$AK$103,MATCH($C$64,'AEO 36'!$B$15:$B$103,0),MATCH(X$62,'AEO 36'!$F$1:$AK$1,0)),INDEX('AEO 36'!$F$15:$AK$103,MATCH($B$64,'AEO 36'!$B$15:$B$103,0),MATCH(X$62,'AEO 36'!$F$1:$AK$1,0)),INDEX('AEO 36'!$F$15:$AK$103,MATCH($A$64,'AEO 36'!$B$15:$B$103,0),MATCH(X$62,'AEO 36'!$F$1:$AK$1,0)))*10^12</f>
        <v>29633765000000</v>
      </c>
      <c r="Y64" s="48">
        <f>SUM(INDEX('AEO 36'!$F$15:$AK$103,MATCH($C$64,'AEO 36'!$B$15:$B$103,0),MATCH(Y$62,'AEO 36'!$F$1:$AK$1,0)),INDEX('AEO 36'!$F$15:$AK$103,MATCH($B$64,'AEO 36'!$B$15:$B$103,0),MATCH(Y$62,'AEO 36'!$F$1:$AK$1,0)),INDEX('AEO 36'!$F$15:$AK$103,MATCH($A$64,'AEO 36'!$B$15:$B$103,0),MATCH(Y$62,'AEO 36'!$F$1:$AK$1,0)))*10^12</f>
        <v>30069786000000</v>
      </c>
      <c r="Z64" s="48">
        <f>SUM(INDEX('AEO 36'!$F$15:$AK$103,MATCH($C$64,'AEO 36'!$B$15:$B$103,0),MATCH(Z$62,'AEO 36'!$F$1:$AK$1,0)),INDEX('AEO 36'!$F$15:$AK$103,MATCH($B$64,'AEO 36'!$B$15:$B$103,0),MATCH(Z$62,'AEO 36'!$F$1:$AK$1,0)),INDEX('AEO 36'!$F$15:$AK$103,MATCH($A$64,'AEO 36'!$B$15:$B$103,0),MATCH(Z$62,'AEO 36'!$F$1:$AK$1,0)))*10^12</f>
        <v>30462376000000</v>
      </c>
      <c r="AA64" s="48">
        <f>SUM(INDEX('AEO 36'!$F$15:$AK$103,MATCH($C$64,'AEO 36'!$B$15:$B$103,0),MATCH(AA$62,'AEO 36'!$F$1:$AK$1,0)),INDEX('AEO 36'!$F$15:$AK$103,MATCH($B$64,'AEO 36'!$B$15:$B$103,0),MATCH(AA$62,'AEO 36'!$F$1:$AK$1,0)),INDEX('AEO 36'!$F$15:$AK$103,MATCH($A$64,'AEO 36'!$B$15:$B$103,0),MATCH(AA$62,'AEO 36'!$F$1:$AK$1,0)))*10^12</f>
        <v>30840115000000</v>
      </c>
      <c r="AB64" s="48">
        <f>SUM(INDEX('AEO 36'!$F$15:$AK$103,MATCH($C$64,'AEO 36'!$B$15:$B$103,0),MATCH(AB$62,'AEO 36'!$F$1:$AK$1,0)),INDEX('AEO 36'!$F$15:$AK$103,MATCH($B$64,'AEO 36'!$B$15:$B$103,0),MATCH(AB$62,'AEO 36'!$F$1:$AK$1,0)),INDEX('AEO 36'!$F$15:$AK$103,MATCH($A$64,'AEO 36'!$B$15:$B$103,0),MATCH(AB$62,'AEO 36'!$F$1:$AK$1,0)))*10^12</f>
        <v>31230839000000.004</v>
      </c>
      <c r="AC64" s="48">
        <f>SUM(INDEX('AEO 36'!$F$15:$AK$103,MATCH($C$64,'AEO 36'!$B$15:$B$103,0),MATCH(AC$62,'AEO 36'!$F$1:$AK$1,0)),INDEX('AEO 36'!$F$15:$AK$103,MATCH($B$64,'AEO 36'!$B$15:$B$103,0),MATCH(AC$62,'AEO 36'!$F$1:$AK$1,0)),INDEX('AEO 36'!$F$15:$AK$103,MATCH($A$64,'AEO 36'!$B$15:$B$103,0),MATCH(AC$62,'AEO 36'!$F$1:$AK$1,0)))*10^12</f>
        <v>31603850000000</v>
      </c>
      <c r="AD64" s="48">
        <f>SUM(INDEX('AEO 36'!$F$15:$AK$103,MATCH($C$64,'AEO 36'!$B$15:$B$103,0),MATCH(AD$62,'AEO 36'!$F$1:$AK$1,0)),INDEX('AEO 36'!$F$15:$AK$103,MATCH($B$64,'AEO 36'!$B$15:$B$103,0),MATCH(AD$62,'AEO 36'!$F$1:$AK$1,0)),INDEX('AEO 36'!$F$15:$AK$103,MATCH($A$64,'AEO 36'!$B$15:$B$103,0),MATCH(AD$62,'AEO 36'!$F$1:$AK$1,0)))*10^12</f>
        <v>32029404000000</v>
      </c>
      <c r="AE64" s="48">
        <f>SUM(INDEX('AEO 36'!$F$15:$AK$103,MATCH($C$64,'AEO 36'!$B$15:$B$103,0),MATCH(AE$62,'AEO 36'!$F$1:$AK$1,0)),INDEX('AEO 36'!$F$15:$AK$103,MATCH($B$64,'AEO 36'!$B$15:$B$103,0),MATCH(AE$62,'AEO 36'!$F$1:$AK$1,0)),INDEX('AEO 36'!$F$15:$AK$103,MATCH($A$64,'AEO 36'!$B$15:$B$103,0),MATCH(AE$62,'AEO 36'!$F$1:$AK$1,0)))*10^12</f>
        <v>32413029000000</v>
      </c>
      <c r="AF64" s="48">
        <f>SUM(INDEX('AEO 36'!$F$15:$AK$103,MATCH($C$64,'AEO 36'!$B$15:$B$103,0),MATCH(AF$62,'AEO 36'!$F$1:$AK$1,0)),INDEX('AEO 36'!$F$15:$AK$103,MATCH($B$64,'AEO 36'!$B$15:$B$103,0),MATCH(AF$62,'AEO 36'!$F$1:$AK$1,0)),INDEX('AEO 36'!$F$15:$AK$103,MATCH($A$64,'AEO 36'!$B$15:$B$103,0),MATCH(AF$62,'AEO 36'!$F$1:$AK$1,0)))*10^12</f>
        <v>32759529999999.996</v>
      </c>
      <c r="AG64" s="48">
        <f>SUM(INDEX('AEO 36'!$F$15:$AK$103,MATCH($C$64,'AEO 36'!$B$15:$B$103,0),MATCH(AG$62,'AEO 36'!$F$1:$AK$1,0)),INDEX('AEO 36'!$F$15:$AK$103,MATCH($B$64,'AEO 36'!$B$15:$B$103,0),MATCH(AG$62,'AEO 36'!$F$1:$AK$1,0)),INDEX('AEO 36'!$F$15:$AK$103,MATCH($A$64,'AEO 36'!$B$15:$B$103,0),MATCH(AG$62,'AEO 36'!$F$1:$AK$1,0)))*10^12</f>
        <v>33144264999999.996</v>
      </c>
      <c r="AH64" s="48">
        <f>SUM(INDEX('AEO 36'!$F$15:$AK$103,MATCH($C$64,'AEO 36'!$B$15:$B$103,0),MATCH(AH$62,'AEO 36'!$F$1:$AK$1,0)),INDEX('AEO 36'!$F$15:$AK$103,MATCH($B$64,'AEO 36'!$B$15:$B$103,0),MATCH(AH$62,'AEO 36'!$F$1:$AK$1,0)),INDEX('AEO 36'!$F$15:$AK$103,MATCH($A$64,'AEO 36'!$B$15:$B$103,0),MATCH(AH$62,'AEO 36'!$F$1:$AK$1,0)))*10^12</f>
        <v>33584294000000</v>
      </c>
      <c r="AI64" s="48">
        <f>SUM(INDEX('AEO 36'!$F$15:$AK$103,MATCH($C$64,'AEO 36'!$B$15:$B$103,0),MATCH(AI$62,'AEO 36'!$F$1:$AK$1,0)),INDEX('AEO 36'!$F$15:$AK$103,MATCH($B$64,'AEO 36'!$B$15:$B$103,0),MATCH(AI$62,'AEO 36'!$F$1:$AK$1,0)),INDEX('AEO 36'!$F$15:$AK$103,MATCH($A$64,'AEO 36'!$B$15:$B$103,0),MATCH(AI$62,'AEO 36'!$F$1:$AK$1,0)))*10^12</f>
        <v>34028448999999.996</v>
      </c>
      <c r="AJ64" s="48"/>
      <c r="AK64" s="57"/>
    </row>
    <row r="65" spans="1:37" ht="13.6">
      <c r="B65" s="14" t="s">
        <v>1074</v>
      </c>
      <c r="C65" s="14" t="s">
        <v>1067</v>
      </c>
      <c r="D65" t="s">
        <v>1089</v>
      </c>
      <c r="E65" s="48">
        <f>SUM(INDEX('AEO 36'!$F$15:$AK$103,MATCH($C$65,'AEO 36'!$B$15:$B$103,0),MATCH(E$62,'AEO 36'!$F$1:$AK$1,0)),INDEX('AEO 36'!$F$15:$AK$103,MATCH($B$65,'AEO 36'!$B$15:$B$103,0),MATCH(E$62,'AEO 36'!$F$1:$AK$1,0)))*10^12</f>
        <v>13712565000000</v>
      </c>
      <c r="F65" s="48">
        <f>SUM(INDEX('AEO 36'!$F$15:$AK$103,MATCH($C$65,'AEO 36'!$B$15:$B$103,0),MATCH(F$62,'AEO 36'!$F$1:$AK$1,0)),INDEX('AEO 36'!$F$15:$AK$103,MATCH($B$65,'AEO 36'!$B$15:$B$103,0),MATCH(F$62,'AEO 36'!$F$1:$AK$1,0)))*10^12</f>
        <v>16680758000000</v>
      </c>
      <c r="G65" s="48">
        <f>SUM(INDEX('AEO 36'!$F$15:$AK$103,MATCH($C$65,'AEO 36'!$B$15:$B$103,0),MATCH(G$62,'AEO 36'!$F$1:$AK$1,0)),INDEX('AEO 36'!$F$15:$AK$103,MATCH($B$65,'AEO 36'!$B$15:$B$103,0),MATCH(G$62,'AEO 36'!$F$1:$AK$1,0)))*10^12</f>
        <v>18994887000000</v>
      </c>
      <c r="H65" s="48">
        <f>SUM(INDEX('AEO 36'!$F$15:$AK$103,MATCH($C$65,'AEO 36'!$B$15:$B$103,0),MATCH(H$62,'AEO 36'!$F$1:$AK$1,0)),INDEX('AEO 36'!$F$15:$AK$103,MATCH($B$65,'AEO 36'!$B$15:$B$103,0),MATCH(H$62,'AEO 36'!$F$1:$AK$1,0)))*10^12</f>
        <v>20747469000000</v>
      </c>
      <c r="I65" s="48">
        <f>SUM(INDEX('AEO 36'!$F$15:$AK$103,MATCH($C$65,'AEO 36'!$B$15:$B$103,0),MATCH(I$62,'AEO 36'!$F$1:$AK$1,0)),INDEX('AEO 36'!$F$15:$AK$103,MATCH($B$65,'AEO 36'!$B$15:$B$103,0),MATCH(I$62,'AEO 36'!$F$1:$AK$1,0)))*10^12</f>
        <v>22065845000000</v>
      </c>
      <c r="J65" s="48">
        <f>SUM(INDEX('AEO 36'!$F$15:$AK$103,MATCH($C$65,'AEO 36'!$B$15:$B$103,0),MATCH(J$62,'AEO 36'!$F$1:$AK$1,0)),INDEX('AEO 36'!$F$15:$AK$103,MATCH($B$65,'AEO 36'!$B$15:$B$103,0),MATCH(J$62,'AEO 36'!$F$1:$AK$1,0)))*10^12</f>
        <v>23053733000000</v>
      </c>
      <c r="K65" s="48">
        <f>SUM(INDEX('AEO 36'!$F$15:$AK$103,MATCH($C$65,'AEO 36'!$B$15:$B$103,0),MATCH(K$62,'AEO 36'!$F$1:$AK$1,0)),INDEX('AEO 36'!$F$15:$AK$103,MATCH($B$65,'AEO 36'!$B$15:$B$103,0),MATCH(K$62,'AEO 36'!$F$1:$AK$1,0)))*10^12</f>
        <v>23775042000000</v>
      </c>
      <c r="L65" s="48">
        <f>SUM(INDEX('AEO 36'!$F$15:$AK$103,MATCH($C$65,'AEO 36'!$B$15:$B$103,0),MATCH(L$62,'AEO 36'!$F$1:$AK$1,0)),INDEX('AEO 36'!$F$15:$AK$103,MATCH($B$65,'AEO 36'!$B$15:$B$103,0),MATCH(L$62,'AEO 36'!$F$1:$AK$1,0)))*10^12</f>
        <v>24314597000000</v>
      </c>
      <c r="M65" s="48">
        <f>SUM(INDEX('AEO 36'!$F$15:$AK$103,MATCH($C$65,'AEO 36'!$B$15:$B$103,0),MATCH(M$62,'AEO 36'!$F$1:$AK$1,0)),INDEX('AEO 36'!$F$15:$AK$103,MATCH($B$65,'AEO 36'!$B$15:$B$103,0),MATCH(M$62,'AEO 36'!$F$1:$AK$1,0)))*10^12</f>
        <v>24463506000000</v>
      </c>
      <c r="N65" s="48">
        <f>SUM(INDEX('AEO 36'!$F$15:$AK$103,MATCH($C$65,'AEO 36'!$B$15:$B$103,0),MATCH(N$62,'AEO 36'!$F$1:$AK$1,0)),INDEX('AEO 36'!$F$15:$AK$103,MATCH($B$65,'AEO 36'!$B$15:$B$103,0),MATCH(N$62,'AEO 36'!$F$1:$AK$1,0)))*10^12</f>
        <v>24590615000000</v>
      </c>
      <c r="O65" s="48">
        <f>SUM(INDEX('AEO 36'!$F$15:$AK$103,MATCH($C$65,'AEO 36'!$B$15:$B$103,0),MATCH(O$62,'AEO 36'!$F$1:$AK$1,0)),INDEX('AEO 36'!$F$15:$AK$103,MATCH($B$65,'AEO 36'!$B$15:$B$103,0),MATCH(O$62,'AEO 36'!$F$1:$AK$1,0)))*10^12</f>
        <v>24809764000000</v>
      </c>
      <c r="P65" s="48">
        <f>SUM(INDEX('AEO 36'!$F$15:$AK$103,MATCH($C$65,'AEO 36'!$B$15:$B$103,0),MATCH(P$62,'AEO 36'!$F$1:$AK$1,0)),INDEX('AEO 36'!$F$15:$AK$103,MATCH($B$65,'AEO 36'!$B$15:$B$103,0),MATCH(P$62,'AEO 36'!$F$1:$AK$1,0)))*10^12</f>
        <v>24957225000000</v>
      </c>
      <c r="Q65" s="48">
        <f>SUM(INDEX('AEO 36'!$F$15:$AK$103,MATCH($C$65,'AEO 36'!$B$15:$B$103,0),MATCH(Q$62,'AEO 36'!$F$1:$AK$1,0)),INDEX('AEO 36'!$F$15:$AK$103,MATCH($B$65,'AEO 36'!$B$15:$B$103,0),MATCH(Q$62,'AEO 36'!$F$1:$AK$1,0)))*10^12</f>
        <v>25203131000000</v>
      </c>
      <c r="R65" s="48">
        <f>SUM(INDEX('AEO 36'!$F$15:$AK$103,MATCH($C$65,'AEO 36'!$B$15:$B$103,0),MATCH(R$62,'AEO 36'!$F$1:$AK$1,0)),INDEX('AEO 36'!$F$15:$AK$103,MATCH($B$65,'AEO 36'!$B$15:$B$103,0),MATCH(R$62,'AEO 36'!$F$1:$AK$1,0)))*10^12</f>
        <v>25446168000000</v>
      </c>
      <c r="S65" s="48">
        <f>SUM(INDEX('AEO 36'!$F$15:$AK$103,MATCH($C$65,'AEO 36'!$B$15:$B$103,0),MATCH(S$62,'AEO 36'!$F$1:$AK$1,0)),INDEX('AEO 36'!$F$15:$AK$103,MATCH($B$65,'AEO 36'!$B$15:$B$103,0),MATCH(S$62,'AEO 36'!$F$1:$AK$1,0)))*10^12</f>
        <v>25731031000000</v>
      </c>
      <c r="T65" s="48">
        <f>SUM(INDEX('AEO 36'!$F$15:$AK$103,MATCH($C$65,'AEO 36'!$B$15:$B$103,0),MATCH(T$62,'AEO 36'!$F$1:$AK$1,0)),INDEX('AEO 36'!$F$15:$AK$103,MATCH($B$65,'AEO 36'!$B$15:$B$103,0),MATCH(T$62,'AEO 36'!$F$1:$AK$1,0)))*10^12</f>
        <v>25993352000000</v>
      </c>
      <c r="U65" s="48">
        <f>SUM(INDEX('AEO 36'!$F$15:$AK$103,MATCH($C$65,'AEO 36'!$B$15:$B$103,0),MATCH(U$62,'AEO 36'!$F$1:$AK$1,0)),INDEX('AEO 36'!$F$15:$AK$103,MATCH($B$65,'AEO 36'!$B$15:$B$103,0),MATCH(U$62,'AEO 36'!$F$1:$AK$1,0)))*10^12</f>
        <v>26277877000000</v>
      </c>
      <c r="V65" s="48">
        <f>SUM(INDEX('AEO 36'!$F$15:$AK$103,MATCH($C$65,'AEO 36'!$B$15:$B$103,0),MATCH(V$62,'AEO 36'!$F$1:$AK$1,0)),INDEX('AEO 36'!$F$15:$AK$103,MATCH($B$65,'AEO 36'!$B$15:$B$103,0),MATCH(V$62,'AEO 36'!$F$1:$AK$1,0)))*10^12</f>
        <v>26554169000000</v>
      </c>
      <c r="W65" s="48">
        <f>SUM(INDEX('AEO 36'!$F$15:$AK$103,MATCH($C$65,'AEO 36'!$B$15:$B$103,0),MATCH(W$62,'AEO 36'!$F$1:$AK$1,0)),INDEX('AEO 36'!$F$15:$AK$103,MATCH($B$65,'AEO 36'!$B$15:$B$103,0),MATCH(W$62,'AEO 36'!$F$1:$AK$1,0)))*10^12</f>
        <v>26830280000000</v>
      </c>
      <c r="X65" s="48">
        <f>SUM(INDEX('AEO 36'!$F$15:$AK$103,MATCH($C$65,'AEO 36'!$B$15:$B$103,0),MATCH(X$62,'AEO 36'!$F$1:$AK$1,0)),INDEX('AEO 36'!$F$15:$AK$103,MATCH($B$65,'AEO 36'!$B$15:$B$103,0),MATCH(X$62,'AEO 36'!$F$1:$AK$1,0)))*10^12</f>
        <v>27118281000000</v>
      </c>
      <c r="Y65" s="48">
        <f>SUM(INDEX('AEO 36'!$F$15:$AK$103,MATCH($C$65,'AEO 36'!$B$15:$B$103,0),MATCH(Y$62,'AEO 36'!$F$1:$AK$1,0)),INDEX('AEO 36'!$F$15:$AK$103,MATCH($B$65,'AEO 36'!$B$15:$B$103,0),MATCH(Y$62,'AEO 36'!$F$1:$AK$1,0)))*10^12</f>
        <v>27471909000000</v>
      </c>
      <c r="Z65" s="48">
        <f>SUM(INDEX('AEO 36'!$F$15:$AK$103,MATCH($C$65,'AEO 36'!$B$15:$B$103,0),MATCH(Z$62,'AEO 36'!$F$1:$AK$1,0)),INDEX('AEO 36'!$F$15:$AK$103,MATCH($B$65,'AEO 36'!$B$15:$B$103,0),MATCH(Z$62,'AEO 36'!$F$1:$AK$1,0)))*10^12</f>
        <v>27805148000000</v>
      </c>
      <c r="AA65" s="48">
        <f>SUM(INDEX('AEO 36'!$F$15:$AK$103,MATCH($C$65,'AEO 36'!$B$15:$B$103,0),MATCH(AA$62,'AEO 36'!$F$1:$AK$1,0)),INDEX('AEO 36'!$F$15:$AK$103,MATCH($B$65,'AEO 36'!$B$15:$B$103,0),MATCH(AA$62,'AEO 36'!$F$1:$AK$1,0)))*10^12</f>
        <v>28138944000000.004</v>
      </c>
      <c r="AB65" s="48">
        <f>SUM(INDEX('AEO 36'!$F$15:$AK$103,MATCH($C$65,'AEO 36'!$B$15:$B$103,0),MATCH(AB$62,'AEO 36'!$F$1:$AK$1,0)),INDEX('AEO 36'!$F$15:$AK$103,MATCH($B$65,'AEO 36'!$B$15:$B$103,0),MATCH(AB$62,'AEO 36'!$F$1:$AK$1,0)))*10^12</f>
        <v>28481359000000</v>
      </c>
      <c r="AC65" s="48">
        <f>SUM(INDEX('AEO 36'!$F$15:$AK$103,MATCH($C$65,'AEO 36'!$B$15:$B$103,0),MATCH(AC$62,'AEO 36'!$F$1:$AK$1,0)),INDEX('AEO 36'!$F$15:$AK$103,MATCH($B$65,'AEO 36'!$B$15:$B$103,0),MATCH(AC$62,'AEO 36'!$F$1:$AK$1,0)))*10^12</f>
        <v>28814511000000</v>
      </c>
      <c r="AD65" s="48">
        <f>SUM(INDEX('AEO 36'!$F$15:$AK$103,MATCH($C$65,'AEO 36'!$B$15:$B$103,0),MATCH(AD$62,'AEO 36'!$F$1:$AK$1,0)),INDEX('AEO 36'!$F$15:$AK$103,MATCH($B$65,'AEO 36'!$B$15:$B$103,0),MATCH(AD$62,'AEO 36'!$F$1:$AK$1,0)))*10^12</f>
        <v>29173555000000</v>
      </c>
      <c r="AE65" s="48">
        <f>SUM(INDEX('AEO 36'!$F$15:$AK$103,MATCH($C$65,'AEO 36'!$B$15:$B$103,0),MATCH(AE$62,'AEO 36'!$F$1:$AK$1,0)),INDEX('AEO 36'!$F$15:$AK$103,MATCH($B$65,'AEO 36'!$B$15:$B$103,0),MATCH(AE$62,'AEO 36'!$F$1:$AK$1,0)))*10^12</f>
        <v>29504795000000</v>
      </c>
      <c r="AF65" s="48">
        <f>SUM(INDEX('AEO 36'!$F$15:$AK$103,MATCH($C$65,'AEO 36'!$B$15:$B$103,0),MATCH(AF$62,'AEO 36'!$F$1:$AK$1,0)),INDEX('AEO 36'!$F$15:$AK$103,MATCH($B$65,'AEO 36'!$B$15:$B$103,0),MATCH(AF$62,'AEO 36'!$F$1:$AK$1,0)))*10^12</f>
        <v>29803602000000</v>
      </c>
      <c r="AG65" s="48">
        <f>SUM(INDEX('AEO 36'!$F$15:$AK$103,MATCH($C$65,'AEO 36'!$B$15:$B$103,0),MATCH(AG$62,'AEO 36'!$F$1:$AK$1,0)),INDEX('AEO 36'!$F$15:$AK$103,MATCH($B$65,'AEO 36'!$B$15:$B$103,0),MATCH(AG$62,'AEO 36'!$F$1:$AK$1,0)))*10^12</f>
        <v>30109448999999.996</v>
      </c>
      <c r="AH65" s="48">
        <f>SUM(INDEX('AEO 36'!$F$15:$AK$103,MATCH($C$65,'AEO 36'!$B$15:$B$103,0),MATCH(AH$62,'AEO 36'!$F$1:$AK$1,0)),INDEX('AEO 36'!$F$15:$AK$103,MATCH($B$65,'AEO 36'!$B$15:$B$103,0),MATCH(AH$62,'AEO 36'!$F$1:$AK$1,0)))*10^12</f>
        <v>30427265000000</v>
      </c>
      <c r="AI65" s="48">
        <f>SUM(INDEX('AEO 36'!$F$15:$AK$103,MATCH($C$65,'AEO 36'!$B$15:$B$103,0),MATCH(AI$62,'AEO 36'!$F$1:$AK$1,0)),INDEX('AEO 36'!$F$15:$AK$103,MATCH($B$65,'AEO 36'!$B$15:$B$103,0),MATCH(AI$62,'AEO 36'!$F$1:$AK$1,0)))*10^12</f>
        <v>30727714000000</v>
      </c>
      <c r="AJ65" s="48"/>
      <c r="AK65" s="57"/>
    </row>
    <row r="66" spans="1:37">
      <c r="D66" t="s">
        <v>1092</v>
      </c>
      <c r="E66" s="48">
        <f>E64*$B$71</f>
        <v>15724651999999.998</v>
      </c>
      <c r="F66" s="48">
        <f t="shared" ref="F66:AI66" si="23">F64*$B$71</f>
        <v>18570040000000</v>
      </c>
      <c r="G66" s="48">
        <f t="shared" si="23"/>
        <v>20939007000000</v>
      </c>
      <c r="H66" s="48">
        <f t="shared" si="23"/>
        <v>22730788000000</v>
      </c>
      <c r="I66" s="48">
        <f t="shared" si="23"/>
        <v>24090370000000</v>
      </c>
      <c r="J66" s="48">
        <f t="shared" si="23"/>
        <v>25112246000000</v>
      </c>
      <c r="K66" s="48">
        <f t="shared" si="23"/>
        <v>25840006000000</v>
      </c>
      <c r="L66" s="48">
        <f t="shared" si="23"/>
        <v>26380896000000</v>
      </c>
      <c r="M66" s="48">
        <f t="shared" si="23"/>
        <v>26537698000000</v>
      </c>
      <c r="N66" s="48">
        <f t="shared" si="23"/>
        <v>26659430000000</v>
      </c>
      <c r="O66" s="48">
        <f t="shared" si="23"/>
        <v>26941779000000</v>
      </c>
      <c r="P66" s="48">
        <f t="shared" si="23"/>
        <v>27061387000000.004</v>
      </c>
      <c r="Q66" s="48">
        <f t="shared" si="23"/>
        <v>27370438999999.996</v>
      </c>
      <c r="R66" s="48">
        <f t="shared" si="23"/>
        <v>27664516000000</v>
      </c>
      <c r="S66" s="48">
        <f t="shared" si="23"/>
        <v>28033673999999.996</v>
      </c>
      <c r="T66" s="48">
        <f t="shared" si="23"/>
        <v>28336389000000</v>
      </c>
      <c r="U66" s="48">
        <f t="shared" si="23"/>
        <v>28674376000000.004</v>
      </c>
      <c r="V66" s="48">
        <f t="shared" si="23"/>
        <v>28995555000000</v>
      </c>
      <c r="W66" s="48">
        <f t="shared" si="23"/>
        <v>29311184000000</v>
      </c>
      <c r="X66" s="48">
        <f t="shared" si="23"/>
        <v>29633765000000</v>
      </c>
      <c r="Y66" s="48">
        <f t="shared" si="23"/>
        <v>30069786000000</v>
      </c>
      <c r="Z66" s="48">
        <f t="shared" si="23"/>
        <v>30462376000000</v>
      </c>
      <c r="AA66" s="48">
        <f t="shared" si="23"/>
        <v>30840115000000</v>
      </c>
      <c r="AB66" s="48">
        <f t="shared" si="23"/>
        <v>31230839000000.004</v>
      </c>
      <c r="AC66" s="48">
        <f t="shared" si="23"/>
        <v>31603850000000</v>
      </c>
      <c r="AD66" s="48">
        <f t="shared" si="23"/>
        <v>32029404000000</v>
      </c>
      <c r="AE66" s="48">
        <f t="shared" si="23"/>
        <v>32413029000000</v>
      </c>
      <c r="AF66" s="48">
        <f t="shared" si="23"/>
        <v>32759529999999.996</v>
      </c>
      <c r="AG66" s="48">
        <f t="shared" si="23"/>
        <v>33144264999999.996</v>
      </c>
      <c r="AH66" s="48">
        <f t="shared" si="23"/>
        <v>33584294000000</v>
      </c>
      <c r="AI66" s="48">
        <f t="shared" si="23"/>
        <v>34028448999999.996</v>
      </c>
      <c r="AJ66" s="48"/>
      <c r="AK66" s="57"/>
    </row>
    <row r="67" spans="1:37">
      <c r="D67" t="s">
        <v>1093</v>
      </c>
      <c r="E67" s="48">
        <f>E65*$B$72</f>
        <v>4267208095406.3608</v>
      </c>
      <c r="F67" s="48">
        <f t="shared" ref="F67:AI67" si="24">F65*$B$72</f>
        <v>5190878991283.8633</v>
      </c>
      <c r="G67" s="48">
        <f t="shared" si="24"/>
        <v>5911011949823.3223</v>
      </c>
      <c r="H67" s="48">
        <f t="shared" si="24"/>
        <v>6456397302473.498</v>
      </c>
      <c r="I67" s="48">
        <f t="shared" si="24"/>
        <v>6866662248527.6797</v>
      </c>
      <c r="J67" s="48">
        <f t="shared" si="24"/>
        <v>7174082754534.7471</v>
      </c>
      <c r="K67" s="48">
        <f t="shared" si="24"/>
        <v>7398546638869.2578</v>
      </c>
      <c r="L67" s="48">
        <f t="shared" si="24"/>
        <v>7566450562308.5986</v>
      </c>
      <c r="M67" s="48">
        <f t="shared" si="24"/>
        <v>7612789499646.6436</v>
      </c>
      <c r="N67" s="48">
        <f t="shared" si="24"/>
        <v>7652344502944.6406</v>
      </c>
      <c r="O67" s="48">
        <f t="shared" si="24"/>
        <v>7720541400235.5713</v>
      </c>
      <c r="P67" s="48">
        <f t="shared" si="24"/>
        <v>7766429734982.332</v>
      </c>
      <c r="Q67" s="48">
        <f t="shared" si="24"/>
        <v>7842953133333.334</v>
      </c>
      <c r="R67" s="48">
        <f t="shared" si="24"/>
        <v>7918583728621.9082</v>
      </c>
      <c r="S67" s="48">
        <f t="shared" si="24"/>
        <v>8007230141578.3281</v>
      </c>
      <c r="T67" s="48">
        <f t="shared" si="24"/>
        <v>8088861717785.6309</v>
      </c>
      <c r="U67" s="48">
        <f t="shared" si="24"/>
        <v>8177402948645.4658</v>
      </c>
      <c r="V67" s="48">
        <f t="shared" si="24"/>
        <v>8263382155241.4609</v>
      </c>
      <c r="W67" s="48">
        <f t="shared" si="24"/>
        <v>8349305036513.5459</v>
      </c>
      <c r="X67" s="48">
        <f t="shared" si="24"/>
        <v>8438927962544.1699</v>
      </c>
      <c r="Y67" s="48">
        <f t="shared" si="24"/>
        <v>8548973330742.0498</v>
      </c>
      <c r="Z67" s="48">
        <f t="shared" si="24"/>
        <v>8652673853474.6768</v>
      </c>
      <c r="AA67" s="48">
        <f t="shared" si="24"/>
        <v>8756547708833.9238</v>
      </c>
      <c r="AB67" s="48">
        <f t="shared" si="24"/>
        <v>8863103707656.0664</v>
      </c>
      <c r="AC67" s="48">
        <f t="shared" si="24"/>
        <v>8966777156890.459</v>
      </c>
      <c r="AD67" s="48">
        <f t="shared" si="24"/>
        <v>9078507928150.7656</v>
      </c>
      <c r="AE67" s="48">
        <f t="shared" si="24"/>
        <v>9181586382803.2988</v>
      </c>
      <c r="AF67" s="48">
        <f t="shared" si="24"/>
        <v>9274572024028.2695</v>
      </c>
      <c r="AG67" s="48">
        <f t="shared" si="24"/>
        <v>9369748440282.6855</v>
      </c>
      <c r="AH67" s="48">
        <f t="shared" si="24"/>
        <v>9468649485276.7969</v>
      </c>
      <c r="AI67" s="48">
        <f t="shared" si="24"/>
        <v>9562146099882.2148</v>
      </c>
      <c r="AJ67" s="48"/>
      <c r="AK67" s="57"/>
    </row>
    <row r="68" spans="1:37">
      <c r="D68" s="40" t="s">
        <v>1086</v>
      </c>
      <c r="E68" s="56">
        <f>E63*(E66/SUM(E66:E67))/E64</f>
        <v>1.2490429545241593E-3</v>
      </c>
      <c r="F68" s="56">
        <f t="shared" ref="F68:AI68" si="25">F63*(F66/SUM(F66:F67))/F64</f>
        <v>1.2479838852561889E-3</v>
      </c>
      <c r="G68" s="56">
        <f t="shared" si="25"/>
        <v>1.2471665685815224E-3</v>
      </c>
      <c r="H68" s="56">
        <f t="shared" si="25"/>
        <v>1.2466464519590526E-3</v>
      </c>
      <c r="I68" s="56">
        <f t="shared" si="25"/>
        <v>1.2461776274382624E-3</v>
      </c>
      <c r="J68" s="56">
        <f t="shared" si="25"/>
        <v>1.2458210503215087E-3</v>
      </c>
      <c r="K68" s="56">
        <f t="shared" si="25"/>
        <v>1.2454261907779705E-3</v>
      </c>
      <c r="L68" s="56">
        <f t="shared" si="25"/>
        <v>1.2450097660041024E-3</v>
      </c>
      <c r="M68" s="56">
        <f t="shared" si="25"/>
        <v>1.2449523012062393E-3</v>
      </c>
      <c r="N68" s="56">
        <f t="shared" si="25"/>
        <v>1.2448581170389291E-3</v>
      </c>
      <c r="O68" s="56">
        <f t="shared" si="25"/>
        <v>1.244492708563932E-3</v>
      </c>
      <c r="P68" s="56">
        <f t="shared" si="25"/>
        <v>1.2445150475500222E-3</v>
      </c>
      <c r="Q68" s="56">
        <f t="shared" si="25"/>
        <v>1.244362963786191E-3</v>
      </c>
      <c r="R68" s="56">
        <f t="shared" si="25"/>
        <v>1.2442462668418766E-3</v>
      </c>
      <c r="S68" s="56">
        <f t="shared" si="25"/>
        <v>1.2440271982043711E-3</v>
      </c>
      <c r="T68" s="56">
        <f t="shared" si="25"/>
        <v>1.2439416368347936E-3</v>
      </c>
      <c r="U68" s="56">
        <f t="shared" si="25"/>
        <v>1.2436776543099449E-3</v>
      </c>
      <c r="V68" s="56">
        <f t="shared" si="25"/>
        <v>1.2434044966707469E-3</v>
      </c>
      <c r="W68" s="56">
        <f t="shared" si="25"/>
        <v>1.2431106233009778E-3</v>
      </c>
      <c r="X68" s="56">
        <f t="shared" si="25"/>
        <v>1.242818522097998E-3</v>
      </c>
      <c r="Y68" s="56">
        <f t="shared" si="25"/>
        <v>1.2424141228640053E-3</v>
      </c>
      <c r="Z68" s="56">
        <f t="shared" si="25"/>
        <v>1.2420321636298346E-3</v>
      </c>
      <c r="AA68" s="56">
        <f t="shared" si="25"/>
        <v>1.241620319407161E-3</v>
      </c>
      <c r="AB68" s="56">
        <f t="shared" si="25"/>
        <v>1.2411620718582406E-3</v>
      </c>
      <c r="AC68" s="56">
        <f t="shared" si="25"/>
        <v>1.240669038843074E-3</v>
      </c>
      <c r="AD68" s="56">
        <f t="shared" si="25"/>
        <v>1.2401023941352315E-3</v>
      </c>
      <c r="AE68" s="56">
        <f t="shared" si="25"/>
        <v>1.2395514545691941E-3</v>
      </c>
      <c r="AF68" s="56">
        <f t="shared" si="25"/>
        <v>1.2389760811407262E-3</v>
      </c>
      <c r="AG68" s="56">
        <f t="shared" si="25"/>
        <v>1.2383487405617649E-3</v>
      </c>
      <c r="AH68" s="56">
        <f t="shared" si="25"/>
        <v>1.2375986561341948E-3</v>
      </c>
      <c r="AI68" s="56">
        <f t="shared" si="25"/>
        <v>1.236792153822779E-3</v>
      </c>
      <c r="AJ68" s="56"/>
      <c r="AK68" s="57"/>
    </row>
    <row r="69" spans="1:37">
      <c r="D69" s="40" t="s">
        <v>1087</v>
      </c>
      <c r="E69" s="56">
        <f>E63*(E67/SUM(E66:E67))/E65</f>
        <v>3.8868922094850749E-4</v>
      </c>
      <c r="F69" s="56">
        <f t="shared" ref="F69:AI69" si="26">F63*(F67/SUM(F66:F67))/F65</f>
        <v>3.8835964956971156E-4</v>
      </c>
      <c r="G69" s="56">
        <f t="shared" si="26"/>
        <v>3.8810530909215343E-4</v>
      </c>
      <c r="H69" s="56">
        <f t="shared" si="26"/>
        <v>3.8794345419032003E-4</v>
      </c>
      <c r="I69" s="56">
        <f t="shared" si="26"/>
        <v>3.8779756085887974E-4</v>
      </c>
      <c r="J69" s="56">
        <f t="shared" si="26"/>
        <v>3.8768659775611613E-4</v>
      </c>
      <c r="K69" s="56">
        <f t="shared" si="26"/>
        <v>3.8756372155893972E-4</v>
      </c>
      <c r="L69" s="56">
        <f t="shared" si="26"/>
        <v>3.8743413448561116E-4</v>
      </c>
      <c r="M69" s="56">
        <f t="shared" si="26"/>
        <v>3.8741625203614658E-4</v>
      </c>
      <c r="N69" s="56">
        <f t="shared" si="26"/>
        <v>3.8738694289951122E-4</v>
      </c>
      <c r="O69" s="56">
        <f t="shared" si="26"/>
        <v>3.8727323156960051E-4</v>
      </c>
      <c r="P69" s="56">
        <f t="shared" si="26"/>
        <v>3.872801832305252E-4</v>
      </c>
      <c r="Q69" s="56">
        <f t="shared" si="26"/>
        <v>3.8723285633958973E-4</v>
      </c>
      <c r="R69" s="56">
        <f t="shared" si="26"/>
        <v>3.8719654146009873E-4</v>
      </c>
      <c r="S69" s="56">
        <f t="shared" si="26"/>
        <v>3.8712836957078314E-4</v>
      </c>
      <c r="T69" s="56">
        <f t="shared" si="26"/>
        <v>3.8710174375942578E-4</v>
      </c>
      <c r="U69" s="56">
        <f t="shared" si="26"/>
        <v>3.8701959513390749E-4</v>
      </c>
      <c r="V69" s="56">
        <f t="shared" si="26"/>
        <v>3.8693459130790495E-4</v>
      </c>
      <c r="W69" s="56">
        <f t="shared" si="26"/>
        <v>3.8684314096127021E-4</v>
      </c>
      <c r="X69" s="56">
        <f t="shared" si="26"/>
        <v>3.8675224209457141E-4</v>
      </c>
      <c r="Y69" s="56">
        <f t="shared" si="26"/>
        <v>3.8662639724460569E-4</v>
      </c>
      <c r="Z69" s="56">
        <f t="shared" si="26"/>
        <v>3.8650753548999096E-4</v>
      </c>
      <c r="AA69" s="56">
        <f t="shared" si="26"/>
        <v>3.8637937383671609E-4</v>
      </c>
      <c r="AB69" s="56">
        <f t="shared" si="26"/>
        <v>3.8623677194928995E-4</v>
      </c>
      <c r="AC69" s="56">
        <f t="shared" si="26"/>
        <v>3.8608334518532407E-4</v>
      </c>
      <c r="AD69" s="56">
        <f t="shared" si="26"/>
        <v>3.8590701122559256E-4</v>
      </c>
      <c r="AE69" s="56">
        <f t="shared" si="26"/>
        <v>3.8573556454320505E-4</v>
      </c>
      <c r="AF69" s="56">
        <f t="shared" si="26"/>
        <v>3.8555651429608934E-4</v>
      </c>
      <c r="AG69" s="56">
        <f t="shared" si="26"/>
        <v>3.8536129241038667E-4</v>
      </c>
      <c r="AH69" s="56">
        <f t="shared" si="26"/>
        <v>3.8512787391125356E-4</v>
      </c>
      <c r="AI69" s="56">
        <f t="shared" si="26"/>
        <v>3.8487689875144672E-4</v>
      </c>
      <c r="AJ69" s="56"/>
    </row>
    <row r="70" spans="1:37">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row>
    <row r="71" spans="1:37">
      <c r="A71" t="s">
        <v>1104</v>
      </c>
      <c r="B71" s="55">
        <v>1</v>
      </c>
      <c r="C71" s="55"/>
      <c r="D71" s="59" t="s">
        <v>1095</v>
      </c>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row>
    <row r="72" spans="1:37">
      <c r="A72" t="s">
        <v>1103</v>
      </c>
      <c r="B72" s="60">
        <f>1-B17</f>
        <v>0.31118963486454654</v>
      </c>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row>
    <row r="73" spans="1:37">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row>
    <row r="74" spans="1:37">
      <c r="A74" s="2" t="s">
        <v>1101</v>
      </c>
    </row>
    <row r="75" spans="1:37">
      <c r="D75" s="37"/>
      <c r="E75" s="1">
        <v>2020</v>
      </c>
      <c r="F75" s="1">
        <v>2021</v>
      </c>
      <c r="G75" s="1">
        <v>2022</v>
      </c>
      <c r="H75" s="1">
        <v>2023</v>
      </c>
      <c r="I75" s="1">
        <v>2024</v>
      </c>
      <c r="J75" s="1">
        <v>2025</v>
      </c>
      <c r="K75" s="1">
        <v>2026</v>
      </c>
      <c r="L75" s="1">
        <v>2027</v>
      </c>
      <c r="M75" s="1">
        <v>2028</v>
      </c>
      <c r="N75" s="1">
        <v>2029</v>
      </c>
      <c r="O75" s="1">
        <v>2030</v>
      </c>
      <c r="P75" s="1">
        <v>2031</v>
      </c>
      <c r="Q75" s="1">
        <v>2032</v>
      </c>
      <c r="R75" s="1">
        <v>2033</v>
      </c>
      <c r="S75" s="1">
        <v>2034</v>
      </c>
      <c r="T75" s="1">
        <v>2035</v>
      </c>
      <c r="U75" s="1">
        <v>2036</v>
      </c>
      <c r="V75" s="1">
        <v>2037</v>
      </c>
      <c r="W75" s="1">
        <v>2038</v>
      </c>
      <c r="X75" s="1">
        <v>2039</v>
      </c>
      <c r="Y75" s="1">
        <v>2040</v>
      </c>
      <c r="Z75" s="1">
        <v>2041</v>
      </c>
      <c r="AA75" s="1">
        <v>2042</v>
      </c>
      <c r="AB75" s="1">
        <v>2043</v>
      </c>
      <c r="AC75" s="1">
        <v>2044</v>
      </c>
      <c r="AD75" s="1">
        <v>2045</v>
      </c>
      <c r="AE75" s="1">
        <v>2046</v>
      </c>
      <c r="AF75" s="1">
        <v>2047</v>
      </c>
      <c r="AG75" s="1">
        <v>2048</v>
      </c>
      <c r="AH75" s="1">
        <v>2049</v>
      </c>
      <c r="AI75" s="1">
        <v>2050</v>
      </c>
    </row>
    <row r="76" spans="1:37" ht="13.6">
      <c r="C76" s="22" t="s">
        <v>834</v>
      </c>
      <c r="D76" t="s">
        <v>3058</v>
      </c>
      <c r="E76" s="58">
        <f>INDEX('AEO 7'!$C$18:$AH$28,MATCH($C$76,'AEO 7'!$A$18:$A$28,0),MATCH(E$75,'AEO 7'!$C$13:$AH$13,0))*10^9</f>
        <v>108322510000</v>
      </c>
      <c r="F76" s="58">
        <f>INDEX('AEO 7'!$C$18:$AH$28,MATCH($C$76,'AEO 7'!$A$18:$A$28,0),MATCH(F$75,'AEO 7'!$C$13:$AH$13,0))*10^9</f>
        <v>134829253999.99998</v>
      </c>
      <c r="G76" s="58">
        <f>INDEX('AEO 7'!$C$18:$AH$28,MATCH($C$76,'AEO 7'!$A$18:$A$28,0),MATCH(G$75,'AEO 7'!$C$13:$AH$13,0))*10^9</f>
        <v>154717422000</v>
      </c>
      <c r="H76" s="58">
        <f>INDEX('AEO 7'!$C$18:$AH$28,MATCH($C$76,'AEO 7'!$A$18:$A$28,0),MATCH(H$75,'AEO 7'!$C$13:$AH$13,0))*10^9</f>
        <v>169652832000</v>
      </c>
      <c r="I76" s="58">
        <f>INDEX('AEO 7'!$C$18:$AH$28,MATCH($C$76,'AEO 7'!$A$18:$A$28,0),MATCH(I$75,'AEO 7'!$C$13:$AH$13,0))*10^9</f>
        <v>180920807000</v>
      </c>
      <c r="J76" s="58">
        <f>INDEX('AEO 7'!$C$18:$AH$28,MATCH($C$76,'AEO 7'!$A$18:$A$28,0),MATCH(J$75,'AEO 7'!$C$13:$AH$13,0))*10^9</f>
        <v>189449295000</v>
      </c>
      <c r="K76" s="58">
        <f>INDEX('AEO 7'!$C$18:$AH$28,MATCH($C$76,'AEO 7'!$A$18:$A$28,0),MATCH(K$75,'AEO 7'!$C$13:$AH$13,0))*10^9</f>
        <v>195917755000</v>
      </c>
      <c r="L76" s="58">
        <f>INDEX('AEO 7'!$C$18:$AH$28,MATCH($C$76,'AEO 7'!$A$18:$A$28,0),MATCH(L$75,'AEO 7'!$C$13:$AH$13,0))*10^9</f>
        <v>200871582000</v>
      </c>
      <c r="M76" s="58">
        <f>INDEX('AEO 7'!$C$18:$AH$28,MATCH($C$76,'AEO 7'!$A$18:$A$28,0),MATCH(M$75,'AEO 7'!$C$13:$AH$13,0))*10^9</f>
        <v>204429398000</v>
      </c>
      <c r="N76" s="58">
        <f>INDEX('AEO 7'!$C$18:$AH$28,MATCH($C$76,'AEO 7'!$A$18:$A$28,0),MATCH(N$75,'AEO 7'!$C$13:$AH$13,0))*10^9</f>
        <v>207178192000</v>
      </c>
      <c r="O76" s="58">
        <f>INDEX('AEO 7'!$C$18:$AH$28,MATCH($C$76,'AEO 7'!$A$18:$A$28,0),MATCH(O$75,'AEO 7'!$C$13:$AH$13,0))*10^9</f>
        <v>209426270000</v>
      </c>
      <c r="P76" s="58">
        <f>INDEX('AEO 7'!$C$18:$AH$28,MATCH($C$76,'AEO 7'!$A$18:$A$28,0),MATCH(P$75,'AEO 7'!$C$13:$AH$13,0))*10^9</f>
        <v>211015442000</v>
      </c>
      <c r="Q76" s="58">
        <f>INDEX('AEO 7'!$C$18:$AH$28,MATCH($C$76,'AEO 7'!$A$18:$A$28,0),MATCH(Q$75,'AEO 7'!$C$13:$AH$13,0))*10^9</f>
        <v>212354843000</v>
      </c>
      <c r="R76" s="58">
        <f>INDEX('AEO 7'!$C$18:$AH$28,MATCH($C$76,'AEO 7'!$A$18:$A$28,0),MATCH(R$75,'AEO 7'!$C$13:$AH$13,0))*10^9</f>
        <v>213368500000</v>
      </c>
      <c r="S76" s="58">
        <f>INDEX('AEO 7'!$C$18:$AH$28,MATCH($C$76,'AEO 7'!$A$18:$A$28,0),MATCH(S$75,'AEO 7'!$C$13:$AH$13,0))*10^9</f>
        <v>214164566000</v>
      </c>
      <c r="T76" s="58">
        <f>INDEX('AEO 7'!$C$18:$AH$28,MATCH($C$76,'AEO 7'!$A$18:$A$28,0),MATCH(T$75,'AEO 7'!$C$13:$AH$13,0))*10^9</f>
        <v>214708160000</v>
      </c>
      <c r="U76" s="58">
        <f>INDEX('AEO 7'!$C$18:$AH$28,MATCH($C$76,'AEO 7'!$A$18:$A$28,0),MATCH(U$75,'AEO 7'!$C$13:$AH$13,0))*10^9</f>
        <v>215169418000</v>
      </c>
      <c r="V76" s="58">
        <f>INDEX('AEO 7'!$C$18:$AH$28,MATCH($C$76,'AEO 7'!$A$18:$A$28,0),MATCH(V$75,'AEO 7'!$C$13:$AH$13,0))*10^9</f>
        <v>215535126000</v>
      </c>
      <c r="W76" s="58">
        <f>INDEX('AEO 7'!$C$18:$AH$28,MATCH($C$76,'AEO 7'!$A$18:$A$28,0),MATCH(W$75,'AEO 7'!$C$13:$AH$13,0))*10^9</f>
        <v>215805481000</v>
      </c>
      <c r="X76" s="58">
        <f>INDEX('AEO 7'!$C$18:$AH$28,MATCH($C$76,'AEO 7'!$A$18:$A$28,0),MATCH(X$75,'AEO 7'!$C$13:$AH$13,0))*10^9</f>
        <v>215985870000</v>
      </c>
      <c r="Y76" s="58">
        <f>INDEX('AEO 7'!$C$18:$AH$28,MATCH($C$76,'AEO 7'!$A$18:$A$28,0),MATCH(Y$75,'AEO 7'!$C$13:$AH$13,0))*10^9</f>
        <v>216161972000</v>
      </c>
      <c r="Z76" s="58">
        <f>INDEX('AEO 7'!$C$18:$AH$28,MATCH($C$76,'AEO 7'!$A$18:$A$28,0),MATCH(Z$75,'AEO 7'!$C$13:$AH$13,0))*10^9</f>
        <v>216265442000</v>
      </c>
      <c r="AA76" s="58">
        <f>INDEX('AEO 7'!$C$18:$AH$28,MATCH($C$76,'AEO 7'!$A$18:$A$28,0),MATCH(AA$75,'AEO 7'!$C$13:$AH$13,0))*10^9</f>
        <v>216331223000</v>
      </c>
      <c r="AB76" s="58">
        <f>INDEX('AEO 7'!$C$18:$AH$28,MATCH($C$76,'AEO 7'!$A$18:$A$28,0),MATCH(AB$75,'AEO 7'!$C$13:$AH$13,0))*10^9</f>
        <v>216378448000</v>
      </c>
      <c r="AC76" s="58">
        <f>INDEX('AEO 7'!$C$18:$AH$28,MATCH($C$76,'AEO 7'!$A$18:$A$28,0),MATCH(AC$75,'AEO 7'!$C$13:$AH$13,0))*10^9</f>
        <v>216409988000</v>
      </c>
      <c r="AD76" s="58">
        <f>INDEX('AEO 7'!$C$18:$AH$28,MATCH($C$76,'AEO 7'!$A$18:$A$28,0),MATCH(AD$75,'AEO 7'!$C$13:$AH$13,0))*10^9</f>
        <v>216441574000</v>
      </c>
      <c r="AE76" s="58">
        <f>INDEX('AEO 7'!$C$18:$AH$28,MATCH($C$76,'AEO 7'!$A$18:$A$28,0),MATCH(AE$75,'AEO 7'!$C$13:$AH$13,0))*10^9</f>
        <v>216451508000</v>
      </c>
      <c r="AF76" s="58">
        <f>INDEX('AEO 7'!$C$18:$AH$28,MATCH($C$76,'AEO 7'!$A$18:$A$28,0),MATCH(AF$75,'AEO 7'!$C$13:$AH$13,0))*10^9</f>
        <v>216468369000</v>
      </c>
      <c r="AG76" s="58">
        <f>INDEX('AEO 7'!$C$18:$AH$28,MATCH($C$76,'AEO 7'!$A$18:$A$28,0),MATCH(AG$75,'AEO 7'!$C$13:$AH$13,0))*10^9</f>
        <v>216483002000</v>
      </c>
      <c r="AH76" s="58">
        <f>INDEX('AEO 7'!$C$18:$AH$28,MATCH($C$76,'AEO 7'!$A$18:$A$28,0),MATCH(AH$75,'AEO 7'!$C$13:$AH$13,0))*10^9</f>
        <v>216552536000</v>
      </c>
      <c r="AI76" s="58">
        <f>INDEX('AEO 7'!$C$18:$AH$28,MATCH($C$76,'AEO 7'!$A$18:$A$28,0),MATCH(AI$75,'AEO 7'!$C$13:$AH$13,0))*10^9</f>
        <v>216643478000</v>
      </c>
      <c r="AK76" s="57"/>
    </row>
    <row r="77" spans="1:37" ht="13.6">
      <c r="A77" s="14" t="s">
        <v>1061</v>
      </c>
      <c r="B77" s="14" t="s">
        <v>1053</v>
      </c>
      <c r="C77" s="14" t="s">
        <v>1045</v>
      </c>
      <c r="D77" t="s">
        <v>1088</v>
      </c>
      <c r="E77" s="48">
        <f>SUM(INDEX('AEO 36'!$F$15:$AK$103,MATCH($C$77,'AEO 36'!$B$15:$B$103,0),MATCH(E$75,'AEO 36'!$F$1:$AK$1,0)),INDEX('AEO 36'!$F$15:$AK$103,MATCH($B$77,'AEO 36'!$B$15:$B$103,0),MATCH(E$75,'AEO 36'!$F$1:$AK$1,0)),INDEX('AEO 36'!$F$15:$AK$103,MATCH($A$77,'AEO 36'!$B$15:$B$103,0),MATCH(E$75,'AEO 36'!$F$1:$AK$1,0)))*10^12</f>
        <v>345431000000</v>
      </c>
      <c r="F77" s="48">
        <f>SUM(INDEX('AEO 36'!$F$15:$AK$103,MATCH($C$77,'AEO 36'!$B$15:$B$103,0),MATCH(F$75,'AEO 36'!$F$1:$AK$1,0)),INDEX('AEO 36'!$F$15:$AK$103,MATCH($B$77,'AEO 36'!$B$15:$B$103,0),MATCH(F$75,'AEO 36'!$F$1:$AK$1,0)),INDEX('AEO 36'!$F$15:$AK$103,MATCH($A$77,'AEO 36'!$B$15:$B$103,0),MATCH(F$75,'AEO 36'!$F$1:$AK$1,0)))*10^12</f>
        <v>429563000000</v>
      </c>
      <c r="G77" s="48">
        <f>SUM(INDEX('AEO 36'!$F$15:$AK$103,MATCH($C$77,'AEO 36'!$B$15:$B$103,0),MATCH(G$75,'AEO 36'!$F$1:$AK$1,0)),INDEX('AEO 36'!$F$15:$AK$103,MATCH($B$77,'AEO 36'!$B$15:$B$103,0),MATCH(G$75,'AEO 36'!$F$1:$AK$1,0)),INDEX('AEO 36'!$F$15:$AK$103,MATCH($A$77,'AEO 36'!$B$15:$B$103,0),MATCH(G$75,'AEO 36'!$F$1:$AK$1,0)))*10^12</f>
        <v>500859000000.00006</v>
      </c>
      <c r="H77" s="48">
        <f>SUM(INDEX('AEO 36'!$F$15:$AK$103,MATCH($C$77,'AEO 36'!$B$15:$B$103,0),MATCH(H$75,'AEO 36'!$F$1:$AK$1,0)),INDEX('AEO 36'!$F$15:$AK$103,MATCH($B$77,'AEO 36'!$B$15:$B$103,0),MATCH(H$75,'AEO 36'!$F$1:$AK$1,0)),INDEX('AEO 36'!$F$15:$AK$103,MATCH($A$77,'AEO 36'!$B$15:$B$103,0),MATCH(H$75,'AEO 36'!$F$1:$AK$1,0)))*10^12</f>
        <v>566272000000</v>
      </c>
      <c r="I77" s="48">
        <f>SUM(INDEX('AEO 36'!$F$15:$AK$103,MATCH($C$77,'AEO 36'!$B$15:$B$103,0),MATCH(I$75,'AEO 36'!$F$1:$AK$1,0)),INDEX('AEO 36'!$F$15:$AK$103,MATCH($B$77,'AEO 36'!$B$15:$B$103,0),MATCH(I$75,'AEO 36'!$F$1:$AK$1,0)),INDEX('AEO 36'!$F$15:$AK$103,MATCH($A$77,'AEO 36'!$B$15:$B$103,0),MATCH(I$75,'AEO 36'!$F$1:$AK$1,0)))*10^12</f>
        <v>627633000000</v>
      </c>
      <c r="J77" s="48">
        <f>SUM(INDEX('AEO 36'!$F$15:$AK$103,MATCH($C$77,'AEO 36'!$B$15:$B$103,0),MATCH(J$75,'AEO 36'!$F$1:$AK$1,0)),INDEX('AEO 36'!$F$15:$AK$103,MATCH($B$77,'AEO 36'!$B$15:$B$103,0),MATCH(J$75,'AEO 36'!$F$1:$AK$1,0)),INDEX('AEO 36'!$F$15:$AK$103,MATCH($A$77,'AEO 36'!$B$15:$B$103,0),MATCH(J$75,'AEO 36'!$F$1:$AK$1,0)))*10^12</f>
        <v>684497000000</v>
      </c>
      <c r="K77" s="48">
        <f>SUM(INDEX('AEO 36'!$F$15:$AK$103,MATCH($C$77,'AEO 36'!$B$15:$B$103,0),MATCH(K$75,'AEO 36'!$F$1:$AK$1,0)),INDEX('AEO 36'!$F$15:$AK$103,MATCH($B$77,'AEO 36'!$B$15:$B$103,0),MATCH(K$75,'AEO 36'!$F$1:$AK$1,0)),INDEX('AEO 36'!$F$15:$AK$103,MATCH($A$77,'AEO 36'!$B$15:$B$103,0),MATCH(K$75,'AEO 36'!$F$1:$AK$1,0)))*10^12</f>
        <v>741096000000</v>
      </c>
      <c r="L77" s="48">
        <f>SUM(INDEX('AEO 36'!$F$15:$AK$103,MATCH($C$77,'AEO 36'!$B$15:$B$103,0),MATCH(L$75,'AEO 36'!$F$1:$AK$1,0)),INDEX('AEO 36'!$F$15:$AK$103,MATCH($B$77,'AEO 36'!$B$15:$B$103,0),MATCH(L$75,'AEO 36'!$F$1:$AK$1,0)),INDEX('AEO 36'!$F$15:$AK$103,MATCH($A$77,'AEO 36'!$B$15:$B$103,0),MATCH(L$75,'AEO 36'!$F$1:$AK$1,0)))*10^12</f>
        <v>800102000000</v>
      </c>
      <c r="M77" s="48">
        <f>SUM(INDEX('AEO 36'!$F$15:$AK$103,MATCH($C$77,'AEO 36'!$B$15:$B$103,0),MATCH(M$75,'AEO 36'!$F$1:$AK$1,0)),INDEX('AEO 36'!$F$15:$AK$103,MATCH($B$77,'AEO 36'!$B$15:$B$103,0),MATCH(M$75,'AEO 36'!$F$1:$AK$1,0)),INDEX('AEO 36'!$F$15:$AK$103,MATCH($A$77,'AEO 36'!$B$15:$B$103,0),MATCH(M$75,'AEO 36'!$F$1:$AK$1,0)))*10^12</f>
        <v>849352000000</v>
      </c>
      <c r="N77" s="48">
        <f>SUM(INDEX('AEO 36'!$F$15:$AK$103,MATCH($C$77,'AEO 36'!$B$15:$B$103,0),MATCH(N$75,'AEO 36'!$F$1:$AK$1,0)),INDEX('AEO 36'!$F$15:$AK$103,MATCH($B$77,'AEO 36'!$B$15:$B$103,0),MATCH(N$75,'AEO 36'!$F$1:$AK$1,0)),INDEX('AEO 36'!$F$15:$AK$103,MATCH($A$77,'AEO 36'!$B$15:$B$103,0),MATCH(N$75,'AEO 36'!$F$1:$AK$1,0)))*10^12</f>
        <v>903103000000</v>
      </c>
      <c r="O77" s="48">
        <f>SUM(INDEX('AEO 36'!$F$15:$AK$103,MATCH($C$77,'AEO 36'!$B$15:$B$103,0),MATCH(O$75,'AEO 36'!$F$1:$AK$1,0)),INDEX('AEO 36'!$F$15:$AK$103,MATCH($B$77,'AEO 36'!$B$15:$B$103,0),MATCH(O$75,'AEO 36'!$F$1:$AK$1,0)),INDEX('AEO 36'!$F$15:$AK$103,MATCH($A$77,'AEO 36'!$B$15:$B$103,0),MATCH(O$75,'AEO 36'!$F$1:$AK$1,0)))*10^12</f>
        <v>967284000000</v>
      </c>
      <c r="P77" s="48">
        <f>SUM(INDEX('AEO 36'!$F$15:$AK$103,MATCH($C$77,'AEO 36'!$B$15:$B$103,0),MATCH(P$75,'AEO 36'!$F$1:$AK$1,0)),INDEX('AEO 36'!$F$15:$AK$103,MATCH($B$77,'AEO 36'!$B$15:$B$103,0),MATCH(P$75,'AEO 36'!$F$1:$AK$1,0)),INDEX('AEO 36'!$F$15:$AK$103,MATCH($A$77,'AEO 36'!$B$15:$B$103,0),MATCH(P$75,'AEO 36'!$F$1:$AK$1,0)))*10^12</f>
        <v>1030273000000</v>
      </c>
      <c r="Q77" s="48">
        <f>SUM(INDEX('AEO 36'!$F$15:$AK$103,MATCH($C$77,'AEO 36'!$B$15:$B$103,0),MATCH(Q$75,'AEO 36'!$F$1:$AK$1,0)),INDEX('AEO 36'!$F$15:$AK$103,MATCH($B$77,'AEO 36'!$B$15:$B$103,0),MATCH(Q$75,'AEO 36'!$F$1:$AK$1,0)),INDEX('AEO 36'!$F$15:$AK$103,MATCH($A$77,'AEO 36'!$B$15:$B$103,0),MATCH(Q$75,'AEO 36'!$F$1:$AK$1,0)))*10^12</f>
        <v>1103495000000</v>
      </c>
      <c r="R77" s="48">
        <f>SUM(INDEX('AEO 36'!$F$15:$AK$103,MATCH($C$77,'AEO 36'!$B$15:$B$103,0),MATCH(R$75,'AEO 36'!$F$1:$AK$1,0)),INDEX('AEO 36'!$F$15:$AK$103,MATCH($B$77,'AEO 36'!$B$15:$B$103,0),MATCH(R$75,'AEO 36'!$F$1:$AK$1,0)),INDEX('AEO 36'!$F$15:$AK$103,MATCH($A$77,'AEO 36'!$B$15:$B$103,0),MATCH(R$75,'AEO 36'!$F$1:$AK$1,0)))*10^12</f>
        <v>1184134000000</v>
      </c>
      <c r="S77" s="48">
        <f>SUM(INDEX('AEO 36'!$F$15:$AK$103,MATCH($C$77,'AEO 36'!$B$15:$B$103,0),MATCH(S$75,'AEO 36'!$F$1:$AK$1,0)),INDEX('AEO 36'!$F$15:$AK$103,MATCH($B$77,'AEO 36'!$B$15:$B$103,0),MATCH(S$75,'AEO 36'!$F$1:$AK$1,0)),INDEX('AEO 36'!$F$15:$AK$103,MATCH($A$77,'AEO 36'!$B$15:$B$103,0),MATCH(S$75,'AEO 36'!$F$1:$AK$1,0)))*10^12</f>
        <v>1274770000000</v>
      </c>
      <c r="T77" s="48">
        <f>SUM(INDEX('AEO 36'!$F$15:$AK$103,MATCH($C$77,'AEO 36'!$B$15:$B$103,0),MATCH(T$75,'AEO 36'!$F$1:$AK$1,0)),INDEX('AEO 36'!$F$15:$AK$103,MATCH($B$77,'AEO 36'!$B$15:$B$103,0),MATCH(T$75,'AEO 36'!$F$1:$AK$1,0)),INDEX('AEO 36'!$F$15:$AK$103,MATCH($A$77,'AEO 36'!$B$15:$B$103,0),MATCH(T$75,'AEO 36'!$F$1:$AK$1,0)))*10^12</f>
        <v>1369760000000</v>
      </c>
      <c r="U77" s="48">
        <f>SUM(INDEX('AEO 36'!$F$15:$AK$103,MATCH($C$77,'AEO 36'!$B$15:$B$103,0),MATCH(U$75,'AEO 36'!$F$1:$AK$1,0)),INDEX('AEO 36'!$F$15:$AK$103,MATCH($B$77,'AEO 36'!$B$15:$B$103,0),MATCH(U$75,'AEO 36'!$F$1:$AK$1,0)),INDEX('AEO 36'!$F$15:$AK$103,MATCH($A$77,'AEO 36'!$B$15:$B$103,0),MATCH(U$75,'AEO 36'!$F$1:$AK$1,0)))*10^12</f>
        <v>1479735000000</v>
      </c>
      <c r="V77" s="48">
        <f>SUM(INDEX('AEO 36'!$F$15:$AK$103,MATCH($C$77,'AEO 36'!$B$15:$B$103,0),MATCH(V$75,'AEO 36'!$F$1:$AK$1,0)),INDEX('AEO 36'!$F$15:$AK$103,MATCH($B$77,'AEO 36'!$B$15:$B$103,0),MATCH(V$75,'AEO 36'!$F$1:$AK$1,0)),INDEX('AEO 36'!$F$15:$AK$103,MATCH($A$77,'AEO 36'!$B$15:$B$103,0),MATCH(V$75,'AEO 36'!$F$1:$AK$1,0)))*10^12</f>
        <v>1604050000000</v>
      </c>
      <c r="W77" s="48">
        <f>SUM(INDEX('AEO 36'!$F$15:$AK$103,MATCH($C$77,'AEO 36'!$B$15:$B$103,0),MATCH(W$75,'AEO 36'!$F$1:$AK$1,0)),INDEX('AEO 36'!$F$15:$AK$103,MATCH($B$77,'AEO 36'!$B$15:$B$103,0),MATCH(W$75,'AEO 36'!$F$1:$AK$1,0)),INDEX('AEO 36'!$F$15:$AK$103,MATCH($A$77,'AEO 36'!$B$15:$B$103,0),MATCH(W$75,'AEO 36'!$F$1:$AK$1,0)))*10^12</f>
        <v>1741650000000</v>
      </c>
      <c r="X77" s="48">
        <f>SUM(INDEX('AEO 36'!$F$15:$AK$103,MATCH($C$77,'AEO 36'!$B$15:$B$103,0),MATCH(X$75,'AEO 36'!$F$1:$AK$1,0)),INDEX('AEO 36'!$F$15:$AK$103,MATCH($B$77,'AEO 36'!$B$15:$B$103,0),MATCH(X$75,'AEO 36'!$F$1:$AK$1,0)),INDEX('AEO 36'!$F$15:$AK$103,MATCH($A$77,'AEO 36'!$B$15:$B$103,0),MATCH(X$75,'AEO 36'!$F$1:$AK$1,0)))*10^12</f>
        <v>1892751000000</v>
      </c>
      <c r="Y77" s="48">
        <f>SUM(INDEX('AEO 36'!$F$15:$AK$103,MATCH($C$77,'AEO 36'!$B$15:$B$103,0),MATCH(Y$75,'AEO 36'!$F$1:$AK$1,0)),INDEX('AEO 36'!$F$15:$AK$103,MATCH($B$77,'AEO 36'!$B$15:$B$103,0),MATCH(Y$75,'AEO 36'!$F$1:$AK$1,0)),INDEX('AEO 36'!$F$15:$AK$103,MATCH($A$77,'AEO 36'!$B$15:$B$103,0),MATCH(Y$75,'AEO 36'!$F$1:$AK$1,0)))*10^12</f>
        <v>2066053999999.9998</v>
      </c>
      <c r="Z77" s="48">
        <f>SUM(INDEX('AEO 36'!$F$15:$AK$103,MATCH($C$77,'AEO 36'!$B$15:$B$103,0),MATCH(Z$75,'AEO 36'!$F$1:$AK$1,0)),INDEX('AEO 36'!$F$15:$AK$103,MATCH($B$77,'AEO 36'!$B$15:$B$103,0),MATCH(Z$75,'AEO 36'!$F$1:$AK$1,0)),INDEX('AEO 36'!$F$15:$AK$103,MATCH($A$77,'AEO 36'!$B$15:$B$103,0),MATCH(Z$75,'AEO 36'!$F$1:$AK$1,0)))*10^12</f>
        <v>2258665000000</v>
      </c>
      <c r="AA77" s="48">
        <f>SUM(INDEX('AEO 36'!$F$15:$AK$103,MATCH($C$77,'AEO 36'!$B$15:$B$103,0),MATCH(AA$75,'AEO 36'!$F$1:$AK$1,0)),INDEX('AEO 36'!$F$15:$AK$103,MATCH($B$77,'AEO 36'!$B$15:$B$103,0),MATCH(AA$75,'AEO 36'!$F$1:$AK$1,0)),INDEX('AEO 36'!$F$15:$AK$103,MATCH($A$77,'AEO 36'!$B$15:$B$103,0),MATCH(AA$75,'AEO 36'!$F$1:$AK$1,0)))*10^12</f>
        <v>2478114000000</v>
      </c>
      <c r="AB77" s="48">
        <f>SUM(INDEX('AEO 36'!$F$15:$AK$103,MATCH($C$77,'AEO 36'!$B$15:$B$103,0),MATCH(AB$75,'AEO 36'!$F$1:$AK$1,0)),INDEX('AEO 36'!$F$15:$AK$103,MATCH($B$77,'AEO 36'!$B$15:$B$103,0),MATCH(AB$75,'AEO 36'!$F$1:$AK$1,0)),INDEX('AEO 36'!$F$15:$AK$103,MATCH($A$77,'AEO 36'!$B$15:$B$103,0),MATCH(AB$75,'AEO 36'!$F$1:$AK$1,0)))*10^12</f>
        <v>2731331000000</v>
      </c>
      <c r="AC77" s="48">
        <f>SUM(INDEX('AEO 36'!$F$15:$AK$103,MATCH($C$77,'AEO 36'!$B$15:$B$103,0),MATCH(AC$75,'AEO 36'!$F$1:$AK$1,0)),INDEX('AEO 36'!$F$15:$AK$103,MATCH($B$77,'AEO 36'!$B$15:$B$103,0),MATCH(AC$75,'AEO 36'!$F$1:$AK$1,0)),INDEX('AEO 36'!$F$15:$AK$103,MATCH($A$77,'AEO 36'!$B$15:$B$103,0),MATCH(AC$75,'AEO 36'!$F$1:$AK$1,0)))*10^12</f>
        <v>3027979000000</v>
      </c>
      <c r="AD77" s="48">
        <f>SUM(INDEX('AEO 36'!$F$15:$AK$103,MATCH($C$77,'AEO 36'!$B$15:$B$103,0),MATCH(AD$75,'AEO 36'!$F$1:$AK$1,0)),INDEX('AEO 36'!$F$15:$AK$103,MATCH($B$77,'AEO 36'!$B$15:$B$103,0),MATCH(AD$75,'AEO 36'!$F$1:$AK$1,0)),INDEX('AEO 36'!$F$15:$AK$103,MATCH($A$77,'AEO 36'!$B$15:$B$103,0),MATCH(AD$75,'AEO 36'!$F$1:$AK$1,0)))*10^12</f>
        <v>3379191000000</v>
      </c>
      <c r="AE77" s="48">
        <f>SUM(INDEX('AEO 36'!$F$15:$AK$103,MATCH($C$77,'AEO 36'!$B$15:$B$103,0),MATCH(AE$75,'AEO 36'!$F$1:$AK$1,0)),INDEX('AEO 36'!$F$15:$AK$103,MATCH($B$77,'AEO 36'!$B$15:$B$103,0),MATCH(AE$75,'AEO 36'!$F$1:$AK$1,0)),INDEX('AEO 36'!$F$15:$AK$103,MATCH($A$77,'AEO 36'!$B$15:$B$103,0),MATCH(AE$75,'AEO 36'!$F$1:$AK$1,0)))*10^12</f>
        <v>3804028000000</v>
      </c>
      <c r="AF77" s="48">
        <f>SUM(INDEX('AEO 36'!$F$15:$AK$103,MATCH($C$77,'AEO 36'!$B$15:$B$103,0),MATCH(AF$75,'AEO 36'!$F$1:$AK$1,0)),INDEX('AEO 36'!$F$15:$AK$103,MATCH($B$77,'AEO 36'!$B$15:$B$103,0),MATCH(AF$75,'AEO 36'!$F$1:$AK$1,0)),INDEX('AEO 36'!$F$15:$AK$103,MATCH($A$77,'AEO 36'!$B$15:$B$103,0),MATCH(AF$75,'AEO 36'!$F$1:$AK$1,0)))*10^12</f>
        <v>4342843000000</v>
      </c>
      <c r="AG77" s="48">
        <f>SUM(INDEX('AEO 36'!$F$15:$AK$103,MATCH($C$77,'AEO 36'!$B$15:$B$103,0),MATCH(AG$75,'AEO 36'!$F$1:$AK$1,0)),INDEX('AEO 36'!$F$15:$AK$103,MATCH($B$77,'AEO 36'!$B$15:$B$103,0),MATCH(AG$75,'AEO 36'!$F$1:$AK$1,0)),INDEX('AEO 36'!$F$15:$AK$103,MATCH($A$77,'AEO 36'!$B$15:$B$103,0),MATCH(AG$75,'AEO 36'!$F$1:$AK$1,0)))*10^12</f>
        <v>5050129000000</v>
      </c>
      <c r="AH77" s="48">
        <f>SUM(INDEX('AEO 36'!$F$15:$AK$103,MATCH($C$77,'AEO 36'!$B$15:$B$103,0),MATCH(AH$75,'AEO 36'!$F$1:$AK$1,0)),INDEX('AEO 36'!$F$15:$AK$103,MATCH($B$77,'AEO 36'!$B$15:$B$103,0),MATCH(AH$75,'AEO 36'!$F$1:$AK$1,0)),INDEX('AEO 36'!$F$15:$AK$103,MATCH($A$77,'AEO 36'!$B$15:$B$103,0),MATCH(AH$75,'AEO 36'!$F$1:$AK$1,0)))*10^12</f>
        <v>6101129000000</v>
      </c>
      <c r="AI77" s="48">
        <f>SUM(INDEX('AEO 36'!$F$15:$AK$103,MATCH($C$77,'AEO 36'!$B$15:$B$103,0),MATCH(AI$75,'AEO 36'!$F$1:$AK$1,0)),INDEX('AEO 36'!$F$15:$AK$103,MATCH($B$77,'AEO 36'!$B$15:$B$103,0),MATCH(AI$75,'AEO 36'!$F$1:$AK$1,0)),INDEX('AEO 36'!$F$15:$AK$103,MATCH($A$77,'AEO 36'!$B$15:$B$103,0),MATCH(AI$75,'AEO 36'!$F$1:$AK$1,0)))*10^12</f>
        <v>7110398000000</v>
      </c>
      <c r="AK77" s="57"/>
    </row>
    <row r="78" spans="1:37" ht="13.6">
      <c r="B78" s="14"/>
      <c r="C78" s="14" t="s">
        <v>1037</v>
      </c>
      <c r="D78" t="s">
        <v>1102</v>
      </c>
      <c r="E78" s="48">
        <f>INDEX('AEO 36'!$F$15:$AK$103,MATCH($C$78,'AEO 36'!$B$15:$B$103,0),MATCH(E$75,'AEO 36'!$F$1:$AK$1,0))*10^12-E77</f>
        <v>122894986000000</v>
      </c>
      <c r="F78" s="48">
        <f>INDEX('AEO 36'!$F$15:$AK$103,MATCH($C$78,'AEO 36'!$B$15:$B$103,0),MATCH(F$75,'AEO 36'!$F$1:$AK$1,0))*10^12-F77</f>
        <v>154352221000000</v>
      </c>
      <c r="G78" s="48">
        <f>INDEX('AEO 36'!$F$15:$AK$103,MATCH($C$78,'AEO 36'!$B$15:$B$103,0),MATCH(G$75,'AEO 36'!$F$1:$AK$1,0))*10^12-G77</f>
        <v>177065288000000</v>
      </c>
      <c r="H78" s="48">
        <f>INDEX('AEO 36'!$F$15:$AK$103,MATCH($C$78,'AEO 36'!$B$15:$B$103,0),MATCH(H$75,'AEO 36'!$F$1:$AK$1,0))*10^12-H77</f>
        <v>193640286000000</v>
      </c>
      <c r="I78" s="48">
        <f>INDEX('AEO 36'!$F$15:$AK$103,MATCH($C$78,'AEO 36'!$B$15:$B$103,0),MATCH(I$75,'AEO 36'!$F$1:$AK$1,0))*10^12-I77</f>
        <v>205809562000000</v>
      </c>
      <c r="J78" s="48">
        <f>INDEX('AEO 36'!$F$15:$AK$103,MATCH($C$78,'AEO 36'!$B$15:$B$103,0),MATCH(J$75,'AEO 36'!$F$1:$AK$1,0))*10^12-J77</f>
        <v>214540982000000</v>
      </c>
      <c r="K78" s="48">
        <f>INDEX('AEO 36'!$F$15:$AK$103,MATCH($C$78,'AEO 36'!$B$15:$B$103,0),MATCH(K$75,'AEO 36'!$F$1:$AK$1,0))*10^12-K77</f>
        <v>220941262000000</v>
      </c>
      <c r="L78" s="48">
        <f>INDEX('AEO 36'!$F$15:$AK$103,MATCH($C$78,'AEO 36'!$B$15:$B$103,0),MATCH(L$75,'AEO 36'!$F$1:$AK$1,0))*10^12-L77</f>
        <v>225762932000000</v>
      </c>
      <c r="M78" s="48">
        <f>INDEX('AEO 36'!$F$15:$AK$103,MATCH($C$78,'AEO 36'!$B$15:$B$103,0),MATCH(M$75,'AEO 36'!$F$1:$AK$1,0))*10^12-M77</f>
        <v>228104582000000</v>
      </c>
      <c r="N78" s="48">
        <f>INDEX('AEO 36'!$F$15:$AK$103,MATCH($C$78,'AEO 36'!$B$15:$B$103,0),MATCH(N$75,'AEO 36'!$F$1:$AK$1,0))*10^12-N77</f>
        <v>229745884000000</v>
      </c>
      <c r="O78" s="48">
        <f>INDEX('AEO 36'!$F$15:$AK$103,MATCH($C$78,'AEO 36'!$B$15:$B$103,0),MATCH(O$75,'AEO 36'!$F$1:$AK$1,0))*10^12-O77</f>
        <v>231426652000000</v>
      </c>
      <c r="P78" s="48">
        <f>INDEX('AEO 36'!$F$15:$AK$103,MATCH($C$78,'AEO 36'!$B$15:$B$103,0),MATCH(P$75,'AEO 36'!$F$1:$AK$1,0))*10^12-P77</f>
        <v>231825547000000</v>
      </c>
      <c r="Q78" s="48">
        <f>INDEX('AEO 36'!$F$15:$AK$103,MATCH($C$78,'AEO 36'!$B$15:$B$103,0),MATCH(Q$75,'AEO 36'!$F$1:$AK$1,0))*10^12-Q77</f>
        <v>232347280000000</v>
      </c>
      <c r="R78" s="48">
        <f>INDEX('AEO 36'!$F$15:$AK$103,MATCH($C$78,'AEO 36'!$B$15:$B$103,0),MATCH(R$75,'AEO 36'!$F$1:$AK$1,0))*10^12-R77</f>
        <v>232507089000000</v>
      </c>
      <c r="S78" s="48">
        <f>INDEX('AEO 36'!$F$15:$AK$103,MATCH($C$78,'AEO 36'!$B$15:$B$103,0),MATCH(S$75,'AEO 36'!$F$1:$AK$1,0))*10^12-S77</f>
        <v>232545176000000</v>
      </c>
      <c r="T78" s="48">
        <f>INDEX('AEO 36'!$F$15:$AK$103,MATCH($C$78,'AEO 36'!$B$15:$B$103,0),MATCH(T$75,'AEO 36'!$F$1:$AK$1,0))*10^12-T77</f>
        <v>231969824000000</v>
      </c>
      <c r="U78" s="48">
        <f>INDEX('AEO 36'!$F$15:$AK$103,MATCH($C$78,'AEO 36'!$B$15:$B$103,0),MATCH(U$75,'AEO 36'!$F$1:$AK$1,0))*10^12-U77</f>
        <v>231553209000000</v>
      </c>
      <c r="V78" s="48">
        <f>INDEX('AEO 36'!$F$15:$AK$103,MATCH($C$78,'AEO 36'!$B$15:$B$103,0),MATCH(V$75,'AEO 36'!$F$1:$AK$1,0))*10^12-V77</f>
        <v>231098648000000</v>
      </c>
      <c r="W78" s="48">
        <f>INDEX('AEO 36'!$F$15:$AK$103,MATCH($C$78,'AEO 36'!$B$15:$B$103,0),MATCH(W$75,'AEO 36'!$F$1:$AK$1,0))*10^12-W77</f>
        <v>230473652000000</v>
      </c>
      <c r="X78" s="48">
        <f>INDEX('AEO 36'!$F$15:$AK$103,MATCH($C$78,'AEO 36'!$B$15:$B$103,0),MATCH(X$75,'AEO 36'!$F$1:$AK$1,0))*10^12-X77</f>
        <v>229582881000000</v>
      </c>
      <c r="Y78" s="48">
        <f>INDEX('AEO 36'!$F$15:$AK$103,MATCH($C$78,'AEO 36'!$B$15:$B$103,0),MATCH(Y$75,'AEO 36'!$F$1:$AK$1,0))*10^12-Y77</f>
        <v>228768113000000</v>
      </c>
      <c r="Z78" s="48">
        <f>INDEX('AEO 36'!$F$15:$AK$103,MATCH($C$78,'AEO 36'!$B$15:$B$103,0),MATCH(Z$75,'AEO 36'!$F$1:$AK$1,0))*10^12-Z77</f>
        <v>227713045000000</v>
      </c>
      <c r="AA78" s="48">
        <f>INDEX('AEO 36'!$F$15:$AK$103,MATCH($C$78,'AEO 36'!$B$15:$B$103,0),MATCH(AA$75,'AEO 36'!$F$1:$AK$1,0))*10^12-AA77</f>
        <v>226536336000000</v>
      </c>
      <c r="AB78" s="48">
        <f>INDEX('AEO 36'!$F$15:$AK$103,MATCH($C$78,'AEO 36'!$B$15:$B$103,0),MATCH(AB$75,'AEO 36'!$F$1:$AK$1,0))*10^12-AB77</f>
        <v>225283256000000</v>
      </c>
      <c r="AC78" s="48">
        <f>INDEX('AEO 36'!$F$15:$AK$103,MATCH($C$78,'AEO 36'!$B$15:$B$103,0),MATCH(AC$75,'AEO 36'!$F$1:$AK$1,0))*10^12-AC77</f>
        <v>223948141000000</v>
      </c>
      <c r="AD78" s="48">
        <f>INDEX('AEO 36'!$F$15:$AK$103,MATCH($C$78,'AEO 36'!$B$15:$B$103,0),MATCH(AD$75,'AEO 36'!$F$1:$AK$1,0))*10^12-AD77</f>
        <v>222496877000000</v>
      </c>
      <c r="AE78" s="48">
        <f>INDEX('AEO 36'!$F$15:$AK$103,MATCH($C$78,'AEO 36'!$B$15:$B$103,0),MATCH(AE$75,'AEO 36'!$F$1:$AK$1,0))*10^12-AE77</f>
        <v>220813556000000</v>
      </c>
      <c r="AF78" s="48">
        <f>INDEX('AEO 36'!$F$15:$AK$103,MATCH($C$78,'AEO 36'!$B$15:$B$103,0),MATCH(AF$75,'AEO 36'!$F$1:$AK$1,0))*10^12-AF77</f>
        <v>218990836000000</v>
      </c>
      <c r="AG78" s="48">
        <f>INDEX('AEO 36'!$F$15:$AK$103,MATCH($C$78,'AEO 36'!$B$15:$B$103,0),MATCH(AG$75,'AEO 36'!$F$1:$AK$1,0))*10^12-AG77</f>
        <v>216738003000000</v>
      </c>
      <c r="AH78" s="48">
        <f>INDEX('AEO 36'!$F$15:$AK$103,MATCH($C$78,'AEO 36'!$B$15:$B$103,0),MATCH(AH$75,'AEO 36'!$F$1:$AK$1,0))*10^12-AH77</f>
        <v>214064673000000</v>
      </c>
      <c r="AI78" s="48">
        <f>INDEX('AEO 36'!$F$15:$AK$103,MATCH($C$78,'AEO 36'!$B$15:$B$103,0),MATCH(AI$75,'AEO 36'!$F$1:$AK$1,0))*10^12-AI77</f>
        <v>211554733000000</v>
      </c>
      <c r="AK78" s="57"/>
    </row>
    <row r="79" spans="1:37">
      <c r="D79" t="s">
        <v>1092</v>
      </c>
      <c r="E79" s="48">
        <f t="shared" ref="E79:AI79" si="27">E77*$B$71</f>
        <v>345431000000</v>
      </c>
      <c r="F79" s="48">
        <f t="shared" si="27"/>
        <v>429563000000</v>
      </c>
      <c r="G79" s="48">
        <f t="shared" si="27"/>
        <v>500859000000.00006</v>
      </c>
      <c r="H79" s="48">
        <f t="shared" si="27"/>
        <v>566272000000</v>
      </c>
      <c r="I79" s="48">
        <f t="shared" si="27"/>
        <v>627633000000</v>
      </c>
      <c r="J79" s="48">
        <f t="shared" si="27"/>
        <v>684497000000</v>
      </c>
      <c r="K79" s="48">
        <f t="shared" si="27"/>
        <v>741096000000</v>
      </c>
      <c r="L79" s="48">
        <f t="shared" si="27"/>
        <v>800102000000</v>
      </c>
      <c r="M79" s="48">
        <f t="shared" si="27"/>
        <v>849352000000</v>
      </c>
      <c r="N79" s="48">
        <f t="shared" si="27"/>
        <v>903103000000</v>
      </c>
      <c r="O79" s="48">
        <f t="shared" si="27"/>
        <v>967284000000</v>
      </c>
      <c r="P79" s="48">
        <f t="shared" si="27"/>
        <v>1030273000000</v>
      </c>
      <c r="Q79" s="48">
        <f t="shared" si="27"/>
        <v>1103495000000</v>
      </c>
      <c r="R79" s="48">
        <f t="shared" si="27"/>
        <v>1184134000000</v>
      </c>
      <c r="S79" s="48">
        <f t="shared" si="27"/>
        <v>1274770000000</v>
      </c>
      <c r="T79" s="48">
        <f t="shared" si="27"/>
        <v>1369760000000</v>
      </c>
      <c r="U79" s="48">
        <f t="shared" si="27"/>
        <v>1479735000000</v>
      </c>
      <c r="V79" s="48">
        <f t="shared" si="27"/>
        <v>1604050000000</v>
      </c>
      <c r="W79" s="48">
        <f t="shared" si="27"/>
        <v>1741650000000</v>
      </c>
      <c r="X79" s="48">
        <f t="shared" si="27"/>
        <v>1892751000000</v>
      </c>
      <c r="Y79" s="48">
        <f t="shared" si="27"/>
        <v>2066053999999.9998</v>
      </c>
      <c r="Z79" s="48">
        <f t="shared" si="27"/>
        <v>2258665000000</v>
      </c>
      <c r="AA79" s="48">
        <f t="shared" si="27"/>
        <v>2478114000000</v>
      </c>
      <c r="AB79" s="48">
        <f t="shared" si="27"/>
        <v>2731331000000</v>
      </c>
      <c r="AC79" s="48">
        <f t="shared" si="27"/>
        <v>3027979000000</v>
      </c>
      <c r="AD79" s="48">
        <f t="shared" si="27"/>
        <v>3379191000000</v>
      </c>
      <c r="AE79" s="48">
        <f t="shared" si="27"/>
        <v>3804028000000</v>
      </c>
      <c r="AF79" s="48">
        <f t="shared" si="27"/>
        <v>4342843000000</v>
      </c>
      <c r="AG79" s="48">
        <f t="shared" si="27"/>
        <v>5050129000000</v>
      </c>
      <c r="AH79" s="48">
        <f t="shared" si="27"/>
        <v>6101129000000</v>
      </c>
      <c r="AI79" s="48">
        <f t="shared" si="27"/>
        <v>7110398000000</v>
      </c>
      <c r="AK79" s="57"/>
    </row>
    <row r="80" spans="1:37">
      <c r="D80" t="s">
        <v>1093</v>
      </c>
      <c r="E80" s="48">
        <f t="shared" ref="E80:AI80" si="28">E78*$B$72</f>
        <v>38243645820023.563</v>
      </c>
      <c r="F80" s="48">
        <f t="shared" si="28"/>
        <v>48032811293521.789</v>
      </c>
      <c r="G80" s="48">
        <f t="shared" si="28"/>
        <v>55100882319905.773</v>
      </c>
      <c r="H80" s="48">
        <f t="shared" si="28"/>
        <v>60258849895406.359</v>
      </c>
      <c r="I80" s="48">
        <f t="shared" si="28"/>
        <v>64045802450412.25</v>
      </c>
      <c r="J80" s="48">
        <f t="shared" si="28"/>
        <v>66762929852061.25</v>
      </c>
      <c r="K80" s="48">
        <f t="shared" si="28"/>
        <v>68754630648292.109</v>
      </c>
      <c r="L80" s="48">
        <f t="shared" si="28"/>
        <v>70255084375029.453</v>
      </c>
      <c r="M80" s="48">
        <f t="shared" si="28"/>
        <v>70983781583510.016</v>
      </c>
      <c r="N80" s="48">
        <f t="shared" si="28"/>
        <v>71494537753592.469</v>
      </c>
      <c r="O80" s="48">
        <f t="shared" si="28"/>
        <v>72017575333804.484</v>
      </c>
      <c r="P80" s="48">
        <f t="shared" si="28"/>
        <v>72141707323203.766</v>
      </c>
      <c r="Q80" s="48">
        <f t="shared" si="28"/>
        <v>72304065224970.563</v>
      </c>
      <c r="R80" s="48">
        <f t="shared" si="28"/>
        <v>72353796129328.625</v>
      </c>
      <c r="S80" s="48">
        <f t="shared" si="28"/>
        <v>72365648408951.703</v>
      </c>
      <c r="T80" s="48">
        <f t="shared" si="28"/>
        <v>72186604830153.125</v>
      </c>
      <c r="U80" s="48">
        <f t="shared" si="28"/>
        <v>72056958560424.031</v>
      </c>
      <c r="V80" s="48">
        <f t="shared" si="28"/>
        <v>71915503888810.375</v>
      </c>
      <c r="W80" s="48">
        <f t="shared" si="28"/>
        <v>71721011611778.563</v>
      </c>
      <c r="X80" s="48">
        <f t="shared" si="28"/>
        <v>71443812909540.641</v>
      </c>
      <c r="Y80" s="48">
        <f t="shared" si="28"/>
        <v>71190265553121.328</v>
      </c>
      <c r="Z80" s="48">
        <f t="shared" si="28"/>
        <v>70861939327444.063</v>
      </c>
      <c r="AA80" s="48">
        <f t="shared" si="28"/>
        <v>70495759683392.234</v>
      </c>
      <c r="AB80" s="48">
        <f t="shared" si="28"/>
        <v>70105814175736.164</v>
      </c>
      <c r="AC80" s="48">
        <f t="shared" si="28"/>
        <v>69690340226383.984</v>
      </c>
      <c r="AD80" s="48">
        <f t="shared" si="28"/>
        <v>69238721912131.922</v>
      </c>
      <c r="AE80" s="48">
        <f t="shared" si="28"/>
        <v>68714889864782.102</v>
      </c>
      <c r="AF80" s="48">
        <f t="shared" si="28"/>
        <v>68147678293521.797</v>
      </c>
      <c r="AG80" s="48">
        <f t="shared" si="28"/>
        <v>67446620014840.992</v>
      </c>
      <c r="AH80" s="48">
        <f t="shared" si="28"/>
        <v>66614707428268.555</v>
      </c>
      <c r="AI80" s="48">
        <f t="shared" si="28"/>
        <v>65833640116136.633</v>
      </c>
      <c r="AK80" s="57"/>
    </row>
    <row r="81" spans="1:37">
      <c r="D81" s="40" t="s">
        <v>1086</v>
      </c>
      <c r="E81" s="56">
        <f t="shared" ref="E81:AI81" si="29">E76*(E79/SUM(E79:E80))/E77</f>
        <v>2.8070770001886215E-3</v>
      </c>
      <c r="F81" s="56">
        <f t="shared" si="29"/>
        <v>2.7821429710269741E-3</v>
      </c>
      <c r="G81" s="56">
        <f t="shared" si="29"/>
        <v>2.782600298609896E-3</v>
      </c>
      <c r="H81" s="56">
        <f t="shared" si="29"/>
        <v>2.7891901686893711E-3</v>
      </c>
      <c r="I81" s="56">
        <f t="shared" si="29"/>
        <v>2.7974516235297151E-3</v>
      </c>
      <c r="J81" s="56">
        <f t="shared" si="29"/>
        <v>2.8088439224751576E-3</v>
      </c>
      <c r="K81" s="56">
        <f t="shared" si="29"/>
        <v>2.8191338438910297E-3</v>
      </c>
      <c r="L81" s="56">
        <f t="shared" si="29"/>
        <v>2.8269798764554541E-3</v>
      </c>
      <c r="M81" s="56">
        <f t="shared" si="29"/>
        <v>2.8458928046392333E-3</v>
      </c>
      <c r="N81" s="56">
        <f t="shared" si="29"/>
        <v>2.8616704887544221E-3</v>
      </c>
      <c r="O81" s="56">
        <f t="shared" si="29"/>
        <v>2.86944815557108E-3</v>
      </c>
      <c r="P81" s="56">
        <f t="shared" si="29"/>
        <v>2.8838284964809724E-3</v>
      </c>
      <c r="Q81" s="56">
        <f t="shared" si="29"/>
        <v>2.89281979062103E-3</v>
      </c>
      <c r="R81" s="56">
        <f t="shared" si="29"/>
        <v>2.9014754647670418E-3</v>
      </c>
      <c r="S81" s="56">
        <f t="shared" si="29"/>
        <v>2.9082475443127872E-3</v>
      </c>
      <c r="T81" s="56">
        <f t="shared" si="29"/>
        <v>2.918960996723756E-3</v>
      </c>
      <c r="U81" s="56">
        <f t="shared" si="29"/>
        <v>2.9260143145163086E-3</v>
      </c>
      <c r="V81" s="56">
        <f t="shared" si="29"/>
        <v>2.9316707542318791E-3</v>
      </c>
      <c r="W81" s="56">
        <f t="shared" si="29"/>
        <v>2.9376213203443071E-3</v>
      </c>
      <c r="X81" s="56">
        <f t="shared" si="29"/>
        <v>2.9451321208124061E-3</v>
      </c>
      <c r="Y81" s="56">
        <f t="shared" si="29"/>
        <v>2.9507621092437165E-3</v>
      </c>
      <c r="Z81" s="56">
        <f t="shared" si="29"/>
        <v>2.957653919701399E-3</v>
      </c>
      <c r="AA81" s="56">
        <f t="shared" si="29"/>
        <v>2.9645023907951562E-3</v>
      </c>
      <c r="AB81" s="56">
        <f t="shared" si="29"/>
        <v>2.9707156627011926E-3</v>
      </c>
      <c r="AC81" s="56">
        <f t="shared" si="29"/>
        <v>2.9760037127134422E-3</v>
      </c>
      <c r="AD81" s="56">
        <f t="shared" si="29"/>
        <v>2.9805534932117305E-3</v>
      </c>
      <c r="AE81" s="56">
        <f t="shared" si="29"/>
        <v>2.9847592100532019E-3</v>
      </c>
      <c r="AF81" s="56">
        <f t="shared" si="29"/>
        <v>2.9861610199145437E-3</v>
      </c>
      <c r="AG81" s="56">
        <f t="shared" si="29"/>
        <v>2.986106341895182E-3</v>
      </c>
      <c r="AH81" s="56">
        <f t="shared" si="29"/>
        <v>2.9780656681797357E-3</v>
      </c>
      <c r="AI81" s="56">
        <f t="shared" si="29"/>
        <v>2.9699956788116766E-3</v>
      </c>
      <c r="AK81" s="57"/>
    </row>
    <row r="82" spans="1:37">
      <c r="D82" s="40" t="s">
        <v>1105</v>
      </c>
      <c r="E82" s="56">
        <f t="shared" ref="E82:AI82" si="30">E76*(E80/SUM(E79:E80))/E78</f>
        <v>8.7353326672536381E-4</v>
      </c>
      <c r="F82" s="56">
        <f t="shared" si="30"/>
        <v>8.6577405529484892E-4</v>
      </c>
      <c r="G82" s="56">
        <f t="shared" si="30"/>
        <v>8.6591637089839164E-4</v>
      </c>
      <c r="H82" s="56">
        <f t="shared" si="30"/>
        <v>8.6796707016222822E-4</v>
      </c>
      <c r="I82" s="56">
        <f t="shared" si="30"/>
        <v>8.7053794927744496E-4</v>
      </c>
      <c r="J82" s="56">
        <f t="shared" si="30"/>
        <v>8.7408311462654502E-4</v>
      </c>
      <c r="K82" s="56">
        <f t="shared" si="30"/>
        <v>8.7728523151473501E-4</v>
      </c>
      <c r="L82" s="56">
        <f t="shared" si="30"/>
        <v>8.7972683552359362E-4</v>
      </c>
      <c r="M82" s="56">
        <f t="shared" si="30"/>
        <v>8.8561234273932317E-4</v>
      </c>
      <c r="N82" s="56">
        <f t="shared" si="30"/>
        <v>8.9052219449813703E-4</v>
      </c>
      <c r="O82" s="56">
        <f t="shared" si="30"/>
        <v>8.9294252379491107E-4</v>
      </c>
      <c r="P82" s="56">
        <f t="shared" si="30"/>
        <v>8.9741753683188793E-4</v>
      </c>
      <c r="Q82" s="56">
        <f t="shared" si="30"/>
        <v>9.002155343722924E-4</v>
      </c>
      <c r="R82" s="56">
        <f t="shared" si="30"/>
        <v>9.0290909044929608E-4</v>
      </c>
      <c r="S82" s="56">
        <f t="shared" si="30"/>
        <v>9.0501649141041054E-4</v>
      </c>
      <c r="T82" s="56">
        <f t="shared" si="30"/>
        <v>9.0835040675431853E-4</v>
      </c>
      <c r="U82" s="56">
        <f t="shared" si="30"/>
        <v>9.1054532614276667E-4</v>
      </c>
      <c r="V82" s="56">
        <f t="shared" si="30"/>
        <v>9.1230555155248833E-4</v>
      </c>
      <c r="W82" s="56">
        <f t="shared" si="30"/>
        <v>9.1415730604825203E-4</v>
      </c>
      <c r="X82" s="56">
        <f t="shared" si="30"/>
        <v>9.1649458930346032E-4</v>
      </c>
      <c r="Y82" s="56">
        <f t="shared" si="30"/>
        <v>9.1824658334769139E-4</v>
      </c>
      <c r="Z82" s="56">
        <f t="shared" si="30"/>
        <v>9.2039124332757326E-4</v>
      </c>
      <c r="AA82" s="56">
        <f t="shared" si="30"/>
        <v>9.2252241654661984E-4</v>
      </c>
      <c r="AB82" s="56">
        <f t="shared" si="30"/>
        <v>9.2445592236237346E-4</v>
      </c>
      <c r="AC82" s="56">
        <f t="shared" si="30"/>
        <v>9.2610150871483081E-4</v>
      </c>
      <c r="AD82" s="56">
        <f t="shared" si="30"/>
        <v>9.2751735324680701E-4</v>
      </c>
      <c r="AE82" s="56">
        <f t="shared" si="30"/>
        <v>9.2882612873504812E-4</v>
      </c>
      <c r="AF82" s="56">
        <f t="shared" si="30"/>
        <v>9.2926235743394879E-4</v>
      </c>
      <c r="AG82" s="56">
        <f t="shared" si="30"/>
        <v>9.2924534220106846E-4</v>
      </c>
      <c r="AH82" s="56">
        <f t="shared" si="30"/>
        <v>9.2674316788349384E-4</v>
      </c>
      <c r="AI82" s="56">
        <f t="shared" si="30"/>
        <v>9.2423187083868661E-4</v>
      </c>
    </row>
    <row r="83" spans="1:37">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row>
    <row r="84" spans="1:37">
      <c r="A84" t="s">
        <v>1090</v>
      </c>
      <c r="B84" s="55">
        <v>0.95</v>
      </c>
      <c r="C84" s="55"/>
      <c r="D84" s="59" t="s">
        <v>1095</v>
      </c>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row>
    <row r="85" spans="1:37">
      <c r="A85" t="s">
        <v>1091</v>
      </c>
      <c r="B85" s="55">
        <v>0.32500000000000001</v>
      </c>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row>
    <row r="87" spans="1:37">
      <c r="A87" s="2" t="s">
        <v>3344</v>
      </c>
    </row>
    <row r="88" spans="1:37">
      <c r="B88">
        <v>2020</v>
      </c>
      <c r="C88">
        <v>2021</v>
      </c>
      <c r="D88">
        <v>2022</v>
      </c>
      <c r="E88">
        <v>2023</v>
      </c>
      <c r="F88">
        <v>2024</v>
      </c>
      <c r="G88">
        <v>2025</v>
      </c>
      <c r="H88">
        <v>2026</v>
      </c>
      <c r="I88">
        <v>2027</v>
      </c>
      <c r="J88">
        <v>2028</v>
      </c>
      <c r="K88">
        <v>2029</v>
      </c>
      <c r="L88">
        <v>2030</v>
      </c>
      <c r="M88">
        <v>2031</v>
      </c>
      <c r="N88">
        <v>2032</v>
      </c>
      <c r="O88">
        <v>2033</v>
      </c>
      <c r="P88">
        <v>2034</v>
      </c>
      <c r="Q88">
        <v>2035</v>
      </c>
      <c r="R88">
        <v>2036</v>
      </c>
      <c r="S88">
        <v>2037</v>
      </c>
      <c r="T88">
        <v>2038</v>
      </c>
      <c r="U88">
        <v>2039</v>
      </c>
      <c r="V88">
        <v>2040</v>
      </c>
      <c r="W88">
        <v>2041</v>
      </c>
      <c r="X88">
        <v>2042</v>
      </c>
      <c r="Y88">
        <v>2043</v>
      </c>
      <c r="Z88">
        <v>2044</v>
      </c>
      <c r="AA88">
        <v>2045</v>
      </c>
      <c r="AB88">
        <v>2046</v>
      </c>
      <c r="AC88">
        <v>2047</v>
      </c>
      <c r="AD88">
        <v>2048</v>
      </c>
      <c r="AE88">
        <v>2049</v>
      </c>
      <c r="AF88">
        <v>2050</v>
      </c>
    </row>
    <row r="89" spans="1:37">
      <c r="A89" t="s">
        <v>3347</v>
      </c>
      <c r="B89">
        <f>'AEO 7'!C45/'AEO 7'!C46</f>
        <v>1.0824483640629017</v>
      </c>
      <c r="C89">
        <f>'AEO 7'!D45/'AEO 7'!D46</f>
        <v>1.0802569034807277</v>
      </c>
      <c r="D89">
        <f>'AEO 7'!E45/'AEO 7'!E46</f>
        <v>1.0728281738052636</v>
      </c>
      <c r="E89">
        <f>'AEO 7'!F45/'AEO 7'!F46</f>
        <v>1.0704207151140115</v>
      </c>
      <c r="F89">
        <f>'AEO 7'!G45/'AEO 7'!G46</f>
        <v>1.0699066866927329</v>
      </c>
      <c r="G89">
        <f>'AEO 7'!H45/'AEO 7'!H46</f>
        <v>1.0747987984422605</v>
      </c>
      <c r="H89">
        <f>'AEO 7'!I45/'AEO 7'!I46</f>
        <v>1.0791664159349779</v>
      </c>
      <c r="I89">
        <f>'AEO 7'!J45/'AEO 7'!J46</f>
        <v>1.0815696924447276</v>
      </c>
      <c r="J89">
        <f>'AEO 7'!K45/'AEO 7'!K46</f>
        <v>1.0735489340568209</v>
      </c>
      <c r="K89">
        <f>'AEO 7'!L45/'AEO 7'!L46</f>
        <v>1.0701069464169217</v>
      </c>
      <c r="L89">
        <f>'AEO 7'!M45/'AEO 7'!M46</f>
        <v>1.0656449179683074</v>
      </c>
      <c r="M89">
        <f>'AEO 7'!N45/'AEO 7'!N46</f>
        <v>1.0592580803113991</v>
      </c>
      <c r="N89">
        <f>'AEO 7'!O45/'AEO 7'!O46</f>
        <v>1.0519685114774946</v>
      </c>
      <c r="O89">
        <f>'AEO 7'!P45/'AEO 7'!P46</f>
        <v>1.0446772438535814</v>
      </c>
      <c r="P89">
        <f>'AEO 7'!Q45/'AEO 7'!Q46</f>
        <v>1.0385263854362459</v>
      </c>
      <c r="Q89">
        <f>'AEO 7'!R45/'AEO 7'!R46</f>
        <v>1.0304580947348907</v>
      </c>
      <c r="R89">
        <f>'AEO 7'!S45/'AEO 7'!S46</f>
        <v>1.0261251464043428</v>
      </c>
      <c r="S89">
        <f>'AEO 7'!T45/'AEO 7'!T46</f>
        <v>1.0202188058835442</v>
      </c>
      <c r="T89">
        <f>'AEO 7'!U45/'AEO 7'!U46</f>
        <v>1.0179012330857877</v>
      </c>
      <c r="U89">
        <f>'AEO 7'!V45/'AEO 7'!V46</f>
        <v>1.016449872730016</v>
      </c>
      <c r="V89">
        <f>'AEO 7'!W45/'AEO 7'!W46</f>
        <v>1.0155392710556166</v>
      </c>
      <c r="W89">
        <f>'AEO 7'!X45/'AEO 7'!X46</f>
        <v>1.014991028520875</v>
      </c>
      <c r="X89">
        <f>'AEO 7'!Y45/'AEO 7'!Y46</f>
        <v>1.014097153467501</v>
      </c>
      <c r="Y89">
        <f>'AEO 7'!Z45/'AEO 7'!Z46</f>
        <v>1.013701229095374</v>
      </c>
      <c r="Z89">
        <f>'AEO 7'!AA45/'AEO 7'!AA46</f>
        <v>1.0133940781312698</v>
      </c>
      <c r="AA89">
        <f>'AEO 7'!AB45/'AEO 7'!AB46</f>
        <v>1.01286591411562</v>
      </c>
      <c r="AB89">
        <f>'AEO 7'!AC45/'AEO 7'!AC46</f>
        <v>1.012747550295098</v>
      </c>
      <c r="AC89">
        <f>'AEO 7'!AD45/'AEO 7'!AD46</f>
        <v>1.0105387553189615</v>
      </c>
      <c r="AD89">
        <f>'AEO 7'!AE45/'AEO 7'!AE46</f>
        <v>1.0081094315423718</v>
      </c>
      <c r="AE89">
        <f>'AEO 7'!AF45/'AEO 7'!AF46</f>
        <v>1.0055972472197259</v>
      </c>
      <c r="AF89">
        <f>'AEO 7'!AG45/'AEO 7'!AG46</f>
        <v>1.0029472725827617</v>
      </c>
    </row>
    <row r="90" spans="1:37">
      <c r="A90" t="s">
        <v>3345</v>
      </c>
      <c r="B90">
        <f>'AEO 49'!G179/'AEO 49'!G108</f>
        <v>1.1551211424645451</v>
      </c>
      <c r="C90">
        <f>'AEO 49'!H179/'AEO 49'!H108</f>
        <v>1.1542153227969827</v>
      </c>
      <c r="D90">
        <f>'AEO 49'!I179/'AEO 49'!I108</f>
        <v>1.1483897738706925</v>
      </c>
      <c r="E90">
        <f>'AEO 49'!J179/'AEO 49'!J108</f>
        <v>1.1466449774206646</v>
      </c>
      <c r="F90">
        <f>'AEO 49'!K179/'AEO 49'!K108</f>
        <v>1.1481597841143751</v>
      </c>
      <c r="G90">
        <f>'AEO 49'!L179/'AEO 49'!L108</f>
        <v>1.1514741540978779</v>
      </c>
      <c r="H90">
        <f>'AEO 49'!M179/'AEO 49'!M108</f>
        <v>1.1548808458064965</v>
      </c>
      <c r="I90">
        <f>'AEO 49'!N179/'AEO 49'!N108</f>
        <v>1.1534602725306162</v>
      </c>
      <c r="J90">
        <f>'AEO 49'!O179/'AEO 49'!O108</f>
        <v>1.140338429700833</v>
      </c>
      <c r="K90">
        <f>'AEO 49'!P179/'AEO 49'!P108</f>
        <v>1.1326234631385657</v>
      </c>
      <c r="L90">
        <f>'AEO 49'!Q179/'AEO 49'!Q108</f>
        <v>1.1235397213419192</v>
      </c>
      <c r="M90">
        <f>'AEO 49'!R179/'AEO 49'!R108</f>
        <v>1.1136121433397475</v>
      </c>
      <c r="N90">
        <f>'AEO 49'!S179/'AEO 49'!S108</f>
        <v>1.1027729610934116</v>
      </c>
      <c r="O90">
        <f>'AEO 49'!T179/'AEO 49'!T108</f>
        <v>1.0920609607453848</v>
      </c>
      <c r="P90">
        <f>'AEO 49'!U179/'AEO 49'!U108</f>
        <v>1.0823956816875955</v>
      </c>
      <c r="Q90">
        <f>'AEO 49'!V179/'AEO 49'!V108</f>
        <v>1.0736357762986517</v>
      </c>
      <c r="R90">
        <f>'AEO 49'!W179/'AEO 49'!W108</f>
        <v>1.0658599513059208</v>
      </c>
      <c r="S90">
        <f>'AEO 49'!X179/'AEO 49'!X108</f>
        <v>1.0589059036674653</v>
      </c>
      <c r="T90">
        <f>'AEO 49'!Y179/'AEO 49'!Y108</f>
        <v>1.0525971922388218</v>
      </c>
      <c r="U90">
        <f>'AEO 49'!Z179/'AEO 49'!Z108</f>
        <v>1.0471770609409761</v>
      </c>
      <c r="V90">
        <f>'AEO 49'!AA179/'AEO 49'!AA108</f>
        <v>1.0421749387600001</v>
      </c>
      <c r="W90">
        <f>'AEO 49'!AB179/'AEO 49'!AB108</f>
        <v>1.0381238680871181</v>
      </c>
      <c r="X90">
        <f>'AEO 49'!AC179/'AEO 49'!AC108</f>
        <v>1.0348428812661794</v>
      </c>
      <c r="Y90">
        <f>'AEO 49'!AD179/'AEO 49'!AD108</f>
        <v>1.0319942960337107</v>
      </c>
      <c r="Z90">
        <f>'AEO 49'!AE179/'AEO 49'!AE108</f>
        <v>1.0297693556872807</v>
      </c>
      <c r="AA90">
        <f>'AEO 49'!AF179/'AEO 49'!AF108</f>
        <v>1.0279741026120208</v>
      </c>
      <c r="AB90">
        <f>'AEO 49'!AG179/'AEO 49'!AG108</f>
        <v>1.026170828644499</v>
      </c>
      <c r="AC90">
        <f>'AEO 49'!AH179/'AEO 49'!AH108</f>
        <v>1.0252784502763734</v>
      </c>
      <c r="AD90">
        <f>'AEO 49'!AI179/'AEO 49'!AI108</f>
        <v>1.0244496831357419</v>
      </c>
      <c r="AE90">
        <f>'AEO 49'!AJ179/'AEO 49'!AJ108</f>
        <v>1.0238131082184718</v>
      </c>
      <c r="AF90">
        <f>'AEO 49'!AK179/'AEO 49'!AK108</f>
        <v>1.0236489163787985</v>
      </c>
    </row>
    <row r="91" spans="1:37">
      <c r="A91" t="s">
        <v>3346</v>
      </c>
      <c r="B91">
        <f>'AEO 49'!G190/'AEO 49'!G119</f>
        <v>1.1072114923426324</v>
      </c>
      <c r="C91">
        <f>'AEO 49'!H190/'AEO 49'!H119</f>
        <v>1.1292148028853062</v>
      </c>
      <c r="D91">
        <f>'AEO 49'!I190/'AEO 49'!I119</f>
        <v>1.1333561574371291</v>
      </c>
      <c r="E91">
        <f>'AEO 49'!J190/'AEO 49'!J119</f>
        <v>1.1412465108243184</v>
      </c>
      <c r="F91">
        <f>'AEO 49'!K190/'AEO 49'!K119</f>
        <v>1.1521452678631832</v>
      </c>
      <c r="G91">
        <f>'AEO 49'!L190/'AEO 49'!L119</f>
        <v>1.1648938613425903</v>
      </c>
      <c r="H91">
        <f>'AEO 49'!M190/'AEO 49'!M119</f>
        <v>1.1764452496267768</v>
      </c>
      <c r="I91">
        <f>'AEO 49'!N190/'AEO 49'!N119</f>
        <v>1.1900774222777746</v>
      </c>
      <c r="J91">
        <f>'AEO 49'!O190/'AEO 49'!O119</f>
        <v>1.1868081692606558</v>
      </c>
      <c r="K91">
        <f>'AEO 49'!P190/'AEO 49'!P119</f>
        <v>1.197151213211431</v>
      </c>
      <c r="L91">
        <f>'AEO 49'!Q190/'AEO 49'!Q119</f>
        <v>1.2033395824176736</v>
      </c>
      <c r="M91">
        <f>'AEO 49'!R190/'AEO 49'!R119</f>
        <v>1.2065324507240578</v>
      </c>
      <c r="N91">
        <f>'AEO 49'!S190/'AEO 49'!S119</f>
        <v>1.1991659507555814</v>
      </c>
      <c r="O91">
        <f>'AEO 49'!T190/'AEO 49'!T119</f>
        <v>1.1809330280711954</v>
      </c>
      <c r="P91">
        <f>'AEO 49'!U190/'AEO 49'!U119</f>
        <v>1.1642661279573194</v>
      </c>
      <c r="Q91">
        <f>'AEO 49'!V190/'AEO 49'!V119</f>
        <v>1.1476278943713729</v>
      </c>
      <c r="R91">
        <f>'AEO 49'!W190/'AEO 49'!W119</f>
        <v>1.1325218319193842</v>
      </c>
      <c r="S91">
        <f>'AEO 49'!X190/'AEO 49'!X119</f>
        <v>1.1168729280035847</v>
      </c>
      <c r="T91">
        <f>'AEO 49'!Y190/'AEO 49'!Y119</f>
        <v>1.1056564954146697</v>
      </c>
      <c r="U91">
        <f>'AEO 49'!Z190/'AEO 49'!Z119</f>
        <v>1.0956671256100923</v>
      </c>
      <c r="V91">
        <f>'AEO 49'!AA190/'AEO 49'!AA119</f>
        <v>1.0865148771233402</v>
      </c>
      <c r="W91">
        <f>'AEO 49'!AB190/'AEO 49'!AB119</f>
        <v>1.0783501461325189</v>
      </c>
      <c r="X91">
        <f>'AEO 49'!AC190/'AEO 49'!AC119</f>
        <v>1.0712288805820527</v>
      </c>
      <c r="Y91">
        <f>'AEO 49'!AD190/'AEO 49'!AD119</f>
        <v>1.0652197139382469</v>
      </c>
      <c r="Z91">
        <f>'AEO 49'!AE190/'AEO 49'!AE119</f>
        <v>1.0601558519856138</v>
      </c>
      <c r="AA91">
        <f>'AEO 49'!AF190/'AEO 49'!AF119</f>
        <v>1.0556295022187596</v>
      </c>
      <c r="AB91">
        <f>'AEO 49'!AG190/'AEO 49'!AG119</f>
        <v>1.0514774467407006</v>
      </c>
      <c r="AC91">
        <f>'AEO 49'!AH190/'AEO 49'!AH119</f>
        <v>1.0476358884925763</v>
      </c>
      <c r="AD91">
        <f>'AEO 49'!AI190/'AEO 49'!AI119</f>
        <v>1.0442560649688226</v>
      </c>
      <c r="AE91">
        <f>'AEO 49'!AJ190/'AEO 49'!AJ119</f>
        <v>1.0411771093553202</v>
      </c>
      <c r="AF91">
        <f>'AEO 49'!AK190/'AEO 49'!AK119</f>
        <v>1.0382987734004618</v>
      </c>
    </row>
    <row r="93" spans="1:37">
      <c r="A93" t="s">
        <v>3362</v>
      </c>
      <c r="B93" s="124">
        <f>INDEX('AEO 44'!$K:$K,MATCH('Calculations Etc'!B88,'AEO 44'!$A:$A,0))*1000</f>
        <v>728740.66200000001</v>
      </c>
      <c r="C93" s="124">
        <f>INDEX('AEO 44'!$K:$K,MATCH('Calculations Etc'!C88,'AEO 44'!$A:$A,0))*1000</f>
        <v>822791.26</v>
      </c>
      <c r="D93" s="124">
        <f>INDEX('AEO 44'!$K:$K,MATCH('Calculations Etc'!D88,'AEO 44'!$A:$A,0))*1000</f>
        <v>878964.53899999999</v>
      </c>
      <c r="E93" s="124">
        <f>INDEX('AEO 44'!$K:$K,MATCH('Calculations Etc'!E88,'AEO 44'!$A:$A,0))*1000</f>
        <v>906911.74300000002</v>
      </c>
      <c r="F93" s="124">
        <f>INDEX('AEO 44'!$K:$K,MATCH('Calculations Etc'!F88,'AEO 44'!$A:$A,0))*1000</f>
        <v>940583.37400000007</v>
      </c>
      <c r="G93" s="124">
        <f>INDEX('AEO 44'!$K:$K,MATCH('Calculations Etc'!G88,'AEO 44'!$A:$A,0))*1000</f>
        <v>964770.38600000006</v>
      </c>
      <c r="H93" s="124">
        <f>INDEX('AEO 44'!$K:$K,MATCH('Calculations Etc'!H88,'AEO 44'!$A:$A,0))*1000</f>
        <v>966386.902</v>
      </c>
      <c r="I93" s="124">
        <f>INDEX('AEO 44'!$K:$K,MATCH('Calculations Etc'!I88,'AEO 44'!$A:$A,0))*1000</f>
        <v>953719.3600000001</v>
      </c>
      <c r="J93" s="124">
        <f>INDEX('AEO 44'!$K:$K,MATCH('Calculations Etc'!J88,'AEO 44'!$A:$A,0))*1000</f>
        <v>966187.56099999999</v>
      </c>
      <c r="K93" s="124">
        <f>INDEX('AEO 44'!$K:$K,MATCH('Calculations Etc'!K88,'AEO 44'!$A:$A,0))*1000</f>
        <v>981239.56299999997</v>
      </c>
      <c r="L93" s="124">
        <f>INDEX('AEO 44'!$K:$K,MATCH('Calculations Etc'!L88,'AEO 44'!$A:$A,0))*1000</f>
        <v>970984.68</v>
      </c>
      <c r="M93" s="124">
        <f>INDEX('AEO 44'!$K:$K,MATCH('Calculations Etc'!M88,'AEO 44'!$A:$A,0))*1000</f>
        <v>972471.25200000009</v>
      </c>
      <c r="N93" s="124">
        <f>INDEX('AEO 44'!$K:$K,MATCH('Calculations Etc'!N88,'AEO 44'!$A:$A,0))*1000</f>
        <v>975894.04300000006</v>
      </c>
      <c r="O93" s="124">
        <f>INDEX('AEO 44'!$K:$K,MATCH('Calculations Etc'!O88,'AEO 44'!$A:$A,0))*1000</f>
        <v>977975.098</v>
      </c>
      <c r="P93" s="124">
        <f>INDEX('AEO 44'!$K:$K,MATCH('Calculations Etc'!P88,'AEO 44'!$A:$A,0))*1000</f>
        <v>980602.4169999999</v>
      </c>
      <c r="Q93" s="124">
        <f>INDEX('AEO 44'!$K:$K,MATCH('Calculations Etc'!Q88,'AEO 44'!$A:$A,0))*1000</f>
        <v>985550.90299999993</v>
      </c>
      <c r="R93" s="124">
        <f>INDEX('AEO 44'!$K:$K,MATCH('Calculations Etc'!R88,'AEO 44'!$A:$A,0))*1000</f>
        <v>982682.25099999993</v>
      </c>
      <c r="S93" s="124">
        <f>INDEX('AEO 44'!$K:$K,MATCH('Calculations Etc'!S88,'AEO 44'!$A:$A,0))*1000</f>
        <v>977937.68299999996</v>
      </c>
      <c r="T93" s="124">
        <f>INDEX('AEO 44'!$K:$K,MATCH('Calculations Etc'!T88,'AEO 44'!$A:$A,0))*1000</f>
        <v>979911.86499999999</v>
      </c>
      <c r="U93" s="124">
        <f>INDEX('AEO 44'!$K:$K,MATCH('Calculations Etc'!U88,'AEO 44'!$A:$A,0))*1000</f>
        <v>981146.85100000002</v>
      </c>
      <c r="V93" s="124">
        <f>INDEX('AEO 44'!$K:$K,MATCH('Calculations Etc'!V88,'AEO 44'!$A:$A,0))*1000</f>
        <v>979869.75099999993</v>
      </c>
      <c r="W93" s="124">
        <f>INDEX('AEO 44'!$K:$K,MATCH('Calculations Etc'!W88,'AEO 44'!$A:$A,0))*1000</f>
        <v>979058.28899999999</v>
      </c>
      <c r="X93" s="124">
        <f>INDEX('AEO 44'!$K:$K,MATCH('Calculations Etc'!X88,'AEO 44'!$A:$A,0))*1000</f>
        <v>979396.85100000002</v>
      </c>
      <c r="Y93" s="124">
        <f>INDEX('AEO 44'!$K:$K,MATCH('Calculations Etc'!Y88,'AEO 44'!$A:$A,0))*1000</f>
        <v>977103.33299999998</v>
      </c>
      <c r="Z93" s="124">
        <f>INDEX('AEO 44'!$K:$K,MATCH('Calculations Etc'!Z88,'AEO 44'!$A:$A,0))*1000</f>
        <v>976138.245</v>
      </c>
      <c r="AA93" s="124">
        <f>INDEX('AEO 44'!$K:$K,MATCH('Calculations Etc'!AA88,'AEO 44'!$A:$A,0))*1000</f>
        <v>984091.85800000001</v>
      </c>
      <c r="AB93" s="124">
        <f>INDEX('AEO 44'!$K:$K,MATCH('Calculations Etc'!AB88,'AEO 44'!$A:$A,0))*1000</f>
        <v>980589.96600000001</v>
      </c>
      <c r="AC93" s="124">
        <f>INDEX('AEO 44'!$K:$K,MATCH('Calculations Etc'!AC88,'AEO 44'!$A:$A,0))*1000</f>
        <v>975819.64100000006</v>
      </c>
      <c r="AD93" s="124">
        <f>INDEX('AEO 44'!$K:$K,MATCH('Calculations Etc'!AD88,'AEO 44'!$A:$A,0))*1000</f>
        <v>981372.80299999996</v>
      </c>
      <c r="AE93" s="124">
        <f>INDEX('AEO 44'!$K:$K,MATCH('Calculations Etc'!AE88,'AEO 44'!$A:$A,0))*1000</f>
        <v>975680.35899999994</v>
      </c>
      <c r="AF93" s="124">
        <f>INDEX('AEO 44'!$K:$K,MATCH('Calculations Etc'!AF88,'AEO 44'!$A:$A,0))*1000</f>
        <v>968614.80700000003</v>
      </c>
    </row>
    <row r="94" spans="1:37">
      <c r="A94" t="s">
        <v>3363</v>
      </c>
      <c r="B94" s="124">
        <f>'AEO 49'!G214*1000</f>
        <v>207952.133</v>
      </c>
      <c r="C94" s="124">
        <f>'AEO 49'!H214*1000</f>
        <v>231691.72699999998</v>
      </c>
      <c r="D94" s="124">
        <f>'AEO 49'!I214*1000</f>
        <v>250509.07900000003</v>
      </c>
      <c r="E94" s="124">
        <f>'AEO 49'!J214*1000</f>
        <v>260794.06699999998</v>
      </c>
      <c r="F94" s="124">
        <f>'AEO 49'!K214*1000</f>
        <v>273597.62599999999</v>
      </c>
      <c r="G94" s="124">
        <f>'AEO 49'!L214*1000</f>
        <v>284732.54399999999</v>
      </c>
      <c r="H94" s="124">
        <f>'AEO 49'!M214*1000</f>
        <v>287597.38199999998</v>
      </c>
      <c r="I94" s="124">
        <f>'AEO 49'!N214*1000</f>
        <v>286203.15599999996</v>
      </c>
      <c r="J94" s="124">
        <f>'AEO 49'!O214*1000</f>
        <v>291375.61</v>
      </c>
      <c r="K94" s="124">
        <f>'AEO 49'!P214*1000</f>
        <v>295825.56199999998</v>
      </c>
      <c r="L94" s="124">
        <f>'AEO 49'!Q214*1000</f>
        <v>296498.93200000003</v>
      </c>
      <c r="M94" s="124">
        <f>'AEO 49'!R214*1000</f>
        <v>300003.60100000002</v>
      </c>
      <c r="N94" s="124">
        <f>'AEO 49'!S214*1000</f>
        <v>304527.61800000002</v>
      </c>
      <c r="O94" s="124">
        <f>'AEO 49'!T214*1000</f>
        <v>308585.05200000003</v>
      </c>
      <c r="P94" s="124">
        <f>'AEO 49'!U214*1000</f>
        <v>312809.14299999998</v>
      </c>
      <c r="Q94" s="124">
        <f>'AEO 49'!V214*1000</f>
        <v>317875.42700000003</v>
      </c>
      <c r="R94" s="124">
        <f>'AEO 49'!W214*1000</f>
        <v>320350.43300000002</v>
      </c>
      <c r="S94" s="124">
        <f>'AEO 49'!X214*1000</f>
        <v>321876.89199999999</v>
      </c>
      <c r="T94" s="124">
        <f>'AEO 49'!Y214*1000</f>
        <v>325856.62800000003</v>
      </c>
      <c r="U94" s="124">
        <f>'AEO 49'!Z214*1000</f>
        <v>329683.74599999998</v>
      </c>
      <c r="V94" s="124">
        <f>'AEO 49'!AA214*1000</f>
        <v>332515.41099999996</v>
      </c>
      <c r="W94" s="124">
        <f>'AEO 49'!AB214*1000</f>
        <v>335575.989</v>
      </c>
      <c r="X94" s="124">
        <f>'AEO 49'!AC214*1000</f>
        <v>338964.81299999997</v>
      </c>
      <c r="Y94" s="124">
        <f>'AEO 49'!AD214*1000</f>
        <v>341475.40300000005</v>
      </c>
      <c r="Z94" s="124">
        <f>'AEO 49'!AE214*1000</f>
        <v>344321.99100000004</v>
      </c>
      <c r="AA94" s="124">
        <f>'AEO 49'!AF214*1000</f>
        <v>350706.05499999999</v>
      </c>
      <c r="AB94" s="124">
        <f>'AEO 49'!AG214*1000</f>
        <v>352844.147</v>
      </c>
      <c r="AC94" s="124">
        <f>'AEO 49'!AH214*1000</f>
        <v>354161.77399999998</v>
      </c>
      <c r="AD94" s="124">
        <f>'AEO 49'!AI214*1000</f>
        <v>359658.35600000003</v>
      </c>
      <c r="AE94" s="124">
        <f>'AEO 49'!AJ214*1000</f>
        <v>360829.86499999999</v>
      </c>
      <c r="AF94" s="124">
        <f>'AEO 49'!AK214*1000</f>
        <v>361139.52600000001</v>
      </c>
    </row>
    <row r="95" spans="1:37">
      <c r="A95" t="s">
        <v>3364</v>
      </c>
      <c r="B95" s="124">
        <f>'AEO 49'!G225*1000</f>
        <v>143058.48700000002</v>
      </c>
      <c r="C95" s="124">
        <f>'AEO 49'!H225*1000</f>
        <v>159204.02499999999</v>
      </c>
      <c r="D95" s="124">
        <f>'AEO 49'!I225*1000</f>
        <v>190947.40300000002</v>
      </c>
      <c r="E95" s="124">
        <f>'AEO 49'!J225*1000</f>
        <v>209990.997</v>
      </c>
      <c r="F95" s="124">
        <f>'AEO 49'!K225*1000</f>
        <v>222502.71599999999</v>
      </c>
      <c r="G95" s="124">
        <f>'AEO 49'!L225*1000</f>
        <v>230983.04699999999</v>
      </c>
      <c r="H95" s="124">
        <f>'AEO 49'!M225*1000</f>
        <v>230972</v>
      </c>
      <c r="I95" s="124">
        <f>'AEO 49'!N225*1000</f>
        <v>221502.02899999998</v>
      </c>
      <c r="J95" s="124">
        <f>'AEO 49'!O225*1000</f>
        <v>217183.45600000001</v>
      </c>
      <c r="K95" s="124">
        <f>'AEO 49'!P225*1000</f>
        <v>216904.55600000001</v>
      </c>
      <c r="L95" s="124">
        <f>'AEO 49'!Q225*1000</f>
        <v>217474.228</v>
      </c>
      <c r="M95" s="124">
        <f>'AEO 49'!R225*1000</f>
        <v>220817.91699999999</v>
      </c>
      <c r="N95" s="124">
        <f>'AEO 49'!S225*1000</f>
        <v>227648.95600000001</v>
      </c>
      <c r="O95" s="124">
        <f>'AEO 49'!T225*1000</f>
        <v>234082.16899999999</v>
      </c>
      <c r="P95" s="124">
        <f>'AEO 49'!U225*1000</f>
        <v>240281.891</v>
      </c>
      <c r="Q95" s="124">
        <f>'AEO 49'!V225*1000</f>
        <v>248073.22700000001</v>
      </c>
      <c r="R95" s="124">
        <f>'AEO 49'!W225*1000</f>
        <v>255911.56</v>
      </c>
      <c r="S95" s="124">
        <f>'AEO 49'!X225*1000</f>
        <v>260197.14399999997</v>
      </c>
      <c r="T95" s="124">
        <f>'AEO 49'!Y225*1000</f>
        <v>264953.522</v>
      </c>
      <c r="U95" s="124">
        <f>'AEO 49'!Z225*1000</f>
        <v>274417.35800000001</v>
      </c>
      <c r="V95" s="124">
        <f>'AEO 49'!AA225*1000</f>
        <v>285796.326</v>
      </c>
      <c r="W95" s="124">
        <f>'AEO 49'!AB225*1000</f>
        <v>294375.48800000001</v>
      </c>
      <c r="X95" s="124">
        <f>'AEO 49'!AC225*1000</f>
        <v>300343.81100000005</v>
      </c>
      <c r="Y95" s="124">
        <f>'AEO 49'!AD225*1000</f>
        <v>306252.16699999996</v>
      </c>
      <c r="Z95" s="124">
        <f>'AEO 49'!AE225*1000</f>
        <v>310834.90000000002</v>
      </c>
      <c r="AA95" s="124">
        <f>'AEO 49'!AF225*1000</f>
        <v>317113.342</v>
      </c>
      <c r="AB95" s="124">
        <f>'AEO 49'!AG225*1000</f>
        <v>322614.86800000002</v>
      </c>
      <c r="AC95" s="124">
        <f>'AEO 49'!AH225*1000</f>
        <v>323079.25400000002</v>
      </c>
      <c r="AD95" s="124">
        <f>'AEO 49'!AI225*1000</f>
        <v>327152.527</v>
      </c>
      <c r="AE95" s="124">
        <f>'AEO 49'!AJ225*1000</f>
        <v>335234.49699999997</v>
      </c>
      <c r="AF95" s="124">
        <f>'AEO 49'!AK225*1000</f>
        <v>340899.2</v>
      </c>
    </row>
    <row r="97" spans="1:32">
      <c r="A97" t="s">
        <v>3369</v>
      </c>
      <c r="B97">
        <f>SUMPRODUCT(B89:B91,B93:B95)/SUM(B93:B95)</f>
        <v>1.099725523401105</v>
      </c>
      <c r="C97">
        <f t="shared" ref="C97:AF97" si="31">SUMPRODUCT(C89:C91,C93:C95)/SUM(C93:C95)</f>
        <v>1.1007974944995329</v>
      </c>
      <c r="D97">
        <f t="shared" si="31"/>
        <v>1.0959166642478042</v>
      </c>
      <c r="E97">
        <f t="shared" si="31"/>
        <v>1.09564514377566</v>
      </c>
      <c r="F97">
        <f t="shared" si="31"/>
        <v>1.0975454556924087</v>
      </c>
      <c r="G97">
        <f t="shared" si="31"/>
        <v>1.1036017738765245</v>
      </c>
      <c r="H97">
        <f t="shared" si="31"/>
        <v>1.1089612045512154</v>
      </c>
      <c r="I97">
        <f t="shared" si="31"/>
        <v>1.1120946985971703</v>
      </c>
      <c r="J97">
        <f t="shared" si="31"/>
        <v>1.1034244810516147</v>
      </c>
      <c r="K97">
        <f t="shared" si="31"/>
        <v>1.1009311756904683</v>
      </c>
      <c r="L97">
        <f t="shared" si="31"/>
        <v>1.097370255180218</v>
      </c>
      <c r="M97">
        <f t="shared" si="31"/>
        <v>1.091955777186671</v>
      </c>
      <c r="N97">
        <f t="shared" si="31"/>
        <v>1.0844475617624894</v>
      </c>
      <c r="O97">
        <f t="shared" si="31"/>
        <v>1.075267577733054</v>
      </c>
      <c r="P97">
        <f t="shared" si="31"/>
        <v>1.067173374860741</v>
      </c>
      <c r="Q97">
        <f t="shared" si="31"/>
        <v>1.0580390334942023</v>
      </c>
      <c r="R97">
        <f t="shared" si="31"/>
        <v>1.051756084700026</v>
      </c>
      <c r="S97">
        <f t="shared" si="31"/>
        <v>1.0443222205365787</v>
      </c>
      <c r="T97">
        <f t="shared" si="31"/>
        <v>1.0399019268768557</v>
      </c>
      <c r="U97">
        <f t="shared" si="31"/>
        <v>1.036553253817049</v>
      </c>
      <c r="V97">
        <f t="shared" si="31"/>
        <v>1.0337733312437554</v>
      </c>
      <c r="W97">
        <f t="shared" si="31"/>
        <v>1.0314074588248772</v>
      </c>
      <c r="X97">
        <f t="shared" si="31"/>
        <v>1.0290419552044721</v>
      </c>
      <c r="Y97">
        <f t="shared" si="31"/>
        <v>1.027256042699606</v>
      </c>
      <c r="Z97">
        <f t="shared" si="31"/>
        <v>1.0257606689620176</v>
      </c>
      <c r="AA97">
        <f t="shared" si="31"/>
        <v>1.0242826518295765</v>
      </c>
      <c r="AB97">
        <f t="shared" si="31"/>
        <v>1.0231525357914721</v>
      </c>
      <c r="AC97">
        <f t="shared" si="31"/>
        <v>1.0209470548740009</v>
      </c>
      <c r="AD97">
        <f t="shared" si="31"/>
        <v>1.0187211948879007</v>
      </c>
      <c r="AE97">
        <f t="shared" si="31"/>
        <v>1.0166637836466064</v>
      </c>
      <c r="AF97">
        <f t="shared" si="31"/>
        <v>1.0146358003293912</v>
      </c>
    </row>
    <row r="99" spans="1:32">
      <c r="B99">
        <v>2019</v>
      </c>
      <c r="C99">
        <v>2020</v>
      </c>
      <c r="D99" t="s">
        <v>3370</v>
      </c>
    </row>
    <row r="100" spans="1:32">
      <c r="A100" t="s">
        <v>3365</v>
      </c>
      <c r="B100">
        <f>'AEO 7 (2020)'!C46</f>
        <v>13.941457</v>
      </c>
      <c r="C100">
        <f>'AEO 7'!C46</f>
        <v>14.042013000000001</v>
      </c>
      <c r="D100">
        <f>C100/B100</f>
        <v>1.0072127324999103</v>
      </c>
    </row>
    <row r="101" spans="1:32">
      <c r="A101" t="s">
        <v>3366</v>
      </c>
      <c r="B101">
        <f>'AEO 49 (2020)'!F108</f>
        <v>12.956725</v>
      </c>
      <c r="C101">
        <f>'AEO 49'!G108</f>
        <v>13.189800999999999</v>
      </c>
      <c r="D101">
        <f>C101/B101</f>
        <v>1.0179888050413972</v>
      </c>
    </row>
    <row r="102" spans="1:32">
      <c r="A102" t="s">
        <v>3367</v>
      </c>
      <c r="B102">
        <f>'AEO 49 (2020)'!F119</f>
        <v>8.0157849999999993</v>
      </c>
      <c r="C102">
        <f>'AEO 49'!G119</f>
        <v>8.0269100000000009</v>
      </c>
      <c r="D102">
        <f>C102/B102</f>
        <v>1.0013878865263979</v>
      </c>
    </row>
    <row r="104" spans="1:32">
      <c r="A104" t="s">
        <v>3368</v>
      </c>
      <c r="B104">
        <f>SUMPRODUCT(D100:D102,B93:B95)/SUM(B93:B95)</f>
        <v>1.0085163786653297</v>
      </c>
    </row>
  </sheetData>
  <phoneticPr fontId="59" type="noConversion"/>
  <hyperlinks>
    <hyperlink ref="D38" r:id="rId1" xr:uid="{00000000-0004-0000-1200-000000000000}"/>
    <hyperlink ref="D39" r:id="rId2" xr:uid="{00000000-0004-0000-1200-000001000000}"/>
  </hyperlinks>
  <pageMargins left="0.7" right="0.7" top="0.75" bottom="0.75" header="0.3" footer="0.3"/>
  <pageSetup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P8"/>
  <sheetViews>
    <sheetView topLeftCell="S1" workbookViewId="0">
      <selection activeCell="C2" sqref="C2:AP8"/>
    </sheetView>
  </sheetViews>
  <sheetFormatPr defaultRowHeight="12.9"/>
  <cols>
    <col min="1" max="1" width="31.125" customWidth="1"/>
    <col min="3" max="3" width="9.625" bestFit="1" customWidth="1"/>
    <col min="4" max="14" width="9.5" bestFit="1" customWidth="1"/>
    <col min="33" max="33" width="9.5" bestFit="1" customWidth="1"/>
  </cols>
  <sheetData>
    <row r="1" spans="1:42">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112</v>
      </c>
      <c r="B2" s="4">
        <f>SUMIFS('psgr LDVs'!B$82:B$119,'psgr LDVs'!$A$82:$A$119,'BNVFE-LDVs-psgr'!$A2)*('AEO 7'!C$41/'AEO 7'!C$38)*'Calculations Etc'!$B$23/'Calculations Etc'!$B$29</f>
        <v>1.3016014821008825E-3</v>
      </c>
      <c r="C2" s="4">
        <f>B2</f>
        <v>1.3016014821008825E-3</v>
      </c>
      <c r="D2" s="4">
        <f t="shared" ref="D2:AP8" si="0">C2</f>
        <v>1.3016014821008825E-3</v>
      </c>
      <c r="E2" s="4">
        <f t="shared" si="0"/>
        <v>1.3016014821008825E-3</v>
      </c>
      <c r="F2" s="4">
        <f t="shared" si="0"/>
        <v>1.3016014821008825E-3</v>
      </c>
      <c r="G2" s="4">
        <f t="shared" si="0"/>
        <v>1.3016014821008825E-3</v>
      </c>
      <c r="H2" s="4">
        <f t="shared" si="0"/>
        <v>1.3016014821008825E-3</v>
      </c>
      <c r="I2" s="4">
        <f t="shared" si="0"/>
        <v>1.3016014821008825E-3</v>
      </c>
      <c r="J2" s="4">
        <f t="shared" si="0"/>
        <v>1.3016014821008825E-3</v>
      </c>
      <c r="K2" s="4">
        <f t="shared" si="0"/>
        <v>1.3016014821008825E-3</v>
      </c>
      <c r="L2" s="4">
        <f t="shared" si="0"/>
        <v>1.3016014821008825E-3</v>
      </c>
      <c r="M2" s="4">
        <f t="shared" si="0"/>
        <v>1.3016014821008825E-3</v>
      </c>
      <c r="N2" s="4">
        <f t="shared" si="0"/>
        <v>1.3016014821008825E-3</v>
      </c>
      <c r="O2" s="4">
        <f t="shared" si="0"/>
        <v>1.3016014821008825E-3</v>
      </c>
      <c r="P2" s="4">
        <f t="shared" si="0"/>
        <v>1.3016014821008825E-3</v>
      </c>
      <c r="Q2" s="4">
        <f t="shared" si="0"/>
        <v>1.3016014821008825E-3</v>
      </c>
      <c r="R2" s="4">
        <f t="shared" si="0"/>
        <v>1.3016014821008825E-3</v>
      </c>
      <c r="S2" s="4">
        <f t="shared" si="0"/>
        <v>1.3016014821008825E-3</v>
      </c>
      <c r="T2" s="4">
        <f t="shared" si="0"/>
        <v>1.3016014821008825E-3</v>
      </c>
      <c r="U2" s="4">
        <f t="shared" si="0"/>
        <v>1.3016014821008825E-3</v>
      </c>
      <c r="V2" s="4">
        <f t="shared" si="0"/>
        <v>1.3016014821008825E-3</v>
      </c>
      <c r="W2" s="4">
        <f t="shared" si="0"/>
        <v>1.3016014821008825E-3</v>
      </c>
      <c r="X2" s="4">
        <f t="shared" si="0"/>
        <v>1.3016014821008825E-3</v>
      </c>
      <c r="Y2" s="4">
        <f t="shared" si="0"/>
        <v>1.3016014821008825E-3</v>
      </c>
      <c r="Z2" s="4">
        <f t="shared" si="0"/>
        <v>1.3016014821008825E-3</v>
      </c>
      <c r="AA2" s="4">
        <f t="shared" si="0"/>
        <v>1.3016014821008825E-3</v>
      </c>
      <c r="AB2" s="4">
        <f t="shared" si="0"/>
        <v>1.3016014821008825E-3</v>
      </c>
      <c r="AC2" s="4">
        <f t="shared" si="0"/>
        <v>1.3016014821008825E-3</v>
      </c>
      <c r="AD2" s="4">
        <f t="shared" si="0"/>
        <v>1.3016014821008825E-3</v>
      </c>
      <c r="AE2" s="4">
        <f t="shared" si="0"/>
        <v>1.3016014821008825E-3</v>
      </c>
      <c r="AF2" s="4">
        <f t="shared" si="0"/>
        <v>1.3016014821008825E-3</v>
      </c>
      <c r="AG2" s="4">
        <f t="shared" si="0"/>
        <v>1.3016014821008825E-3</v>
      </c>
      <c r="AH2" s="4">
        <f t="shared" si="0"/>
        <v>1.3016014821008825E-3</v>
      </c>
      <c r="AI2" s="4">
        <f t="shared" si="0"/>
        <v>1.3016014821008825E-3</v>
      </c>
      <c r="AJ2" s="4">
        <f t="shared" si="0"/>
        <v>1.3016014821008825E-3</v>
      </c>
      <c r="AK2" s="4">
        <f t="shared" si="0"/>
        <v>1.3016014821008825E-3</v>
      </c>
      <c r="AL2" s="4">
        <f t="shared" si="0"/>
        <v>1.3016014821008825E-3</v>
      </c>
      <c r="AM2" s="4">
        <f t="shared" si="0"/>
        <v>1.3016014821008825E-3</v>
      </c>
      <c r="AN2" s="4">
        <f t="shared" si="0"/>
        <v>1.3016014821008825E-3</v>
      </c>
      <c r="AO2" s="4">
        <f t="shared" si="0"/>
        <v>1.3016014821008825E-3</v>
      </c>
      <c r="AP2" s="4">
        <f t="shared" si="0"/>
        <v>1.3016014821008825E-3</v>
      </c>
    </row>
    <row r="3" spans="1:42">
      <c r="A3" t="s">
        <v>113</v>
      </c>
      <c r="B3" s="4">
        <f>SUMIFS('psgr LDVs'!B$82:B$119,'psgr LDVs'!$A$82:$A$119,'BNVFE-LDVs-psgr'!$A3)*('AEO 7'!C$41/'AEO 7'!C$38)*'Calculations Etc'!$B$23/'Calculations Etc'!$B$29</f>
        <v>3.8029529805498928E-4</v>
      </c>
      <c r="C3" s="4">
        <f t="shared" ref="C3:R8" si="1">B3</f>
        <v>3.8029529805498928E-4</v>
      </c>
      <c r="D3" s="4">
        <f t="shared" si="1"/>
        <v>3.8029529805498928E-4</v>
      </c>
      <c r="E3" s="4">
        <f t="shared" si="1"/>
        <v>3.8029529805498928E-4</v>
      </c>
      <c r="F3" s="4">
        <f t="shared" si="1"/>
        <v>3.8029529805498928E-4</v>
      </c>
      <c r="G3" s="4">
        <f t="shared" si="1"/>
        <v>3.8029529805498928E-4</v>
      </c>
      <c r="H3" s="4">
        <f t="shared" si="1"/>
        <v>3.8029529805498928E-4</v>
      </c>
      <c r="I3" s="4">
        <f t="shared" si="1"/>
        <v>3.8029529805498928E-4</v>
      </c>
      <c r="J3" s="4">
        <f t="shared" si="1"/>
        <v>3.8029529805498928E-4</v>
      </c>
      <c r="K3" s="4">
        <f t="shared" si="1"/>
        <v>3.8029529805498928E-4</v>
      </c>
      <c r="L3" s="4">
        <f t="shared" si="1"/>
        <v>3.8029529805498928E-4</v>
      </c>
      <c r="M3" s="4">
        <f t="shared" si="1"/>
        <v>3.8029529805498928E-4</v>
      </c>
      <c r="N3" s="4">
        <f t="shared" si="1"/>
        <v>3.8029529805498928E-4</v>
      </c>
      <c r="O3" s="4">
        <f t="shared" si="1"/>
        <v>3.8029529805498928E-4</v>
      </c>
      <c r="P3" s="4">
        <f t="shared" si="1"/>
        <v>3.8029529805498928E-4</v>
      </c>
      <c r="Q3" s="4">
        <f t="shared" si="1"/>
        <v>3.8029529805498928E-4</v>
      </c>
      <c r="R3" s="4">
        <f t="shared" si="1"/>
        <v>3.8029529805498928E-4</v>
      </c>
      <c r="S3" s="4">
        <f t="shared" si="0"/>
        <v>3.8029529805498928E-4</v>
      </c>
      <c r="T3" s="4">
        <f t="shared" si="0"/>
        <v>3.8029529805498928E-4</v>
      </c>
      <c r="U3" s="4">
        <f t="shared" si="0"/>
        <v>3.8029529805498928E-4</v>
      </c>
      <c r="V3" s="4">
        <f t="shared" si="0"/>
        <v>3.8029529805498928E-4</v>
      </c>
      <c r="W3" s="4">
        <f t="shared" si="0"/>
        <v>3.8029529805498928E-4</v>
      </c>
      <c r="X3" s="4">
        <f t="shared" si="0"/>
        <v>3.8029529805498928E-4</v>
      </c>
      <c r="Y3" s="4">
        <f t="shared" si="0"/>
        <v>3.8029529805498928E-4</v>
      </c>
      <c r="Z3" s="4">
        <f t="shared" si="0"/>
        <v>3.8029529805498928E-4</v>
      </c>
      <c r="AA3" s="4">
        <f t="shared" si="0"/>
        <v>3.8029529805498928E-4</v>
      </c>
      <c r="AB3" s="4">
        <f t="shared" si="0"/>
        <v>3.8029529805498928E-4</v>
      </c>
      <c r="AC3" s="4">
        <f t="shared" si="0"/>
        <v>3.8029529805498928E-4</v>
      </c>
      <c r="AD3" s="4">
        <f t="shared" si="0"/>
        <v>3.8029529805498928E-4</v>
      </c>
      <c r="AE3" s="4">
        <f t="shared" si="0"/>
        <v>3.8029529805498928E-4</v>
      </c>
      <c r="AF3" s="4">
        <f t="shared" si="0"/>
        <v>3.8029529805498928E-4</v>
      </c>
      <c r="AG3" s="4">
        <f t="shared" si="0"/>
        <v>3.8029529805498928E-4</v>
      </c>
      <c r="AH3" s="4">
        <f t="shared" si="0"/>
        <v>3.8029529805498928E-4</v>
      </c>
      <c r="AI3" s="4">
        <f t="shared" si="0"/>
        <v>3.8029529805498928E-4</v>
      </c>
      <c r="AJ3" s="4">
        <f t="shared" si="0"/>
        <v>3.8029529805498928E-4</v>
      </c>
      <c r="AK3" s="4">
        <f t="shared" si="0"/>
        <v>3.8029529805498928E-4</v>
      </c>
      <c r="AL3" s="4">
        <f t="shared" si="0"/>
        <v>3.8029529805498928E-4</v>
      </c>
      <c r="AM3" s="4">
        <f t="shared" si="0"/>
        <v>3.8029529805498928E-4</v>
      </c>
      <c r="AN3" s="4">
        <f t="shared" si="0"/>
        <v>3.8029529805498928E-4</v>
      </c>
      <c r="AO3" s="4">
        <f t="shared" si="0"/>
        <v>3.8029529805498928E-4</v>
      </c>
      <c r="AP3" s="4">
        <f t="shared" si="0"/>
        <v>3.8029529805498928E-4</v>
      </c>
    </row>
    <row r="4" spans="1:42">
      <c r="A4" t="s">
        <v>114</v>
      </c>
      <c r="B4" s="4">
        <f>SUMIFS('psgr LDVs'!B$82:B$119,'psgr LDVs'!$A$82:$A$119,'BNVFE-LDVs-psgr'!$A4)*('AEO 7'!C$41/'AEO 7'!C$38)*'Calculations Etc'!$B$23/'Calculations Etc'!$B$29</f>
        <v>4.010435677007162E-4</v>
      </c>
      <c r="C4" s="4">
        <f t="shared" si="1"/>
        <v>4.010435677007162E-4</v>
      </c>
      <c r="D4" s="4">
        <f t="shared" si="0"/>
        <v>4.010435677007162E-4</v>
      </c>
      <c r="E4" s="4">
        <f t="shared" si="0"/>
        <v>4.010435677007162E-4</v>
      </c>
      <c r="F4" s="4">
        <f t="shared" si="0"/>
        <v>4.010435677007162E-4</v>
      </c>
      <c r="G4" s="4">
        <f t="shared" si="0"/>
        <v>4.010435677007162E-4</v>
      </c>
      <c r="H4" s="4">
        <f t="shared" si="0"/>
        <v>4.010435677007162E-4</v>
      </c>
      <c r="I4" s="4">
        <f t="shared" si="0"/>
        <v>4.010435677007162E-4</v>
      </c>
      <c r="J4" s="4">
        <f t="shared" si="0"/>
        <v>4.010435677007162E-4</v>
      </c>
      <c r="K4" s="4">
        <f t="shared" si="0"/>
        <v>4.010435677007162E-4</v>
      </c>
      <c r="L4" s="4">
        <f t="shared" si="0"/>
        <v>4.010435677007162E-4</v>
      </c>
      <c r="M4" s="4">
        <f t="shared" si="0"/>
        <v>4.010435677007162E-4</v>
      </c>
      <c r="N4" s="4">
        <f t="shared" si="0"/>
        <v>4.010435677007162E-4</v>
      </c>
      <c r="O4" s="4">
        <f t="shared" si="0"/>
        <v>4.010435677007162E-4</v>
      </c>
      <c r="P4" s="4">
        <f t="shared" si="0"/>
        <v>4.010435677007162E-4</v>
      </c>
      <c r="Q4" s="4">
        <f t="shared" si="0"/>
        <v>4.010435677007162E-4</v>
      </c>
      <c r="R4" s="4">
        <f t="shared" si="0"/>
        <v>4.010435677007162E-4</v>
      </c>
      <c r="S4" s="4">
        <f t="shared" si="0"/>
        <v>4.010435677007162E-4</v>
      </c>
      <c r="T4" s="4">
        <f t="shared" si="0"/>
        <v>4.010435677007162E-4</v>
      </c>
      <c r="U4" s="4">
        <f t="shared" si="0"/>
        <v>4.010435677007162E-4</v>
      </c>
      <c r="V4" s="4">
        <f t="shared" si="0"/>
        <v>4.010435677007162E-4</v>
      </c>
      <c r="W4" s="4">
        <f t="shared" si="0"/>
        <v>4.010435677007162E-4</v>
      </c>
      <c r="X4" s="4">
        <f t="shared" si="0"/>
        <v>4.010435677007162E-4</v>
      </c>
      <c r="Y4" s="4">
        <f t="shared" si="0"/>
        <v>4.010435677007162E-4</v>
      </c>
      <c r="Z4" s="4">
        <f t="shared" si="0"/>
        <v>4.010435677007162E-4</v>
      </c>
      <c r="AA4" s="4">
        <f t="shared" si="0"/>
        <v>4.010435677007162E-4</v>
      </c>
      <c r="AB4" s="4">
        <f t="shared" si="0"/>
        <v>4.010435677007162E-4</v>
      </c>
      <c r="AC4" s="4">
        <f t="shared" si="0"/>
        <v>4.010435677007162E-4</v>
      </c>
      <c r="AD4" s="4">
        <f t="shared" si="0"/>
        <v>4.010435677007162E-4</v>
      </c>
      <c r="AE4" s="4">
        <f t="shared" si="0"/>
        <v>4.010435677007162E-4</v>
      </c>
      <c r="AF4" s="4">
        <f t="shared" si="0"/>
        <v>4.010435677007162E-4</v>
      </c>
      <c r="AG4" s="4">
        <f t="shared" si="0"/>
        <v>4.010435677007162E-4</v>
      </c>
      <c r="AH4" s="4">
        <f t="shared" si="0"/>
        <v>4.010435677007162E-4</v>
      </c>
      <c r="AI4" s="4">
        <f t="shared" si="0"/>
        <v>4.010435677007162E-4</v>
      </c>
      <c r="AJ4" s="4">
        <f t="shared" si="0"/>
        <v>4.010435677007162E-4</v>
      </c>
      <c r="AK4" s="4">
        <f t="shared" si="0"/>
        <v>4.010435677007162E-4</v>
      </c>
      <c r="AL4" s="4">
        <f t="shared" si="0"/>
        <v>4.010435677007162E-4</v>
      </c>
      <c r="AM4" s="4">
        <f t="shared" si="0"/>
        <v>4.010435677007162E-4</v>
      </c>
      <c r="AN4" s="4">
        <f t="shared" si="0"/>
        <v>4.010435677007162E-4</v>
      </c>
      <c r="AO4" s="4">
        <f t="shared" si="0"/>
        <v>4.010435677007162E-4</v>
      </c>
      <c r="AP4" s="4">
        <f t="shared" si="0"/>
        <v>4.010435677007162E-4</v>
      </c>
    </row>
    <row r="5" spans="1:42">
      <c r="A5" t="s">
        <v>115</v>
      </c>
      <c r="B5" s="4">
        <f>SUMIFS('psgr LDVs'!B$82:B$119,'psgr LDVs'!$A$82:$A$119,'BNVFE-LDVs-psgr'!$A5)*('AEO 7'!C$41/'AEO 7'!C$38)*'Calculations Etc'!$B$23/'Calculations Etc'!$B$29</f>
        <v>4.2164836790723349E-4</v>
      </c>
      <c r="C5" s="4">
        <f t="shared" si="1"/>
        <v>4.2164836790723349E-4</v>
      </c>
      <c r="D5" s="4">
        <f t="shared" si="0"/>
        <v>4.2164836790723349E-4</v>
      </c>
      <c r="E5" s="4">
        <f t="shared" si="0"/>
        <v>4.2164836790723349E-4</v>
      </c>
      <c r="F5" s="4">
        <f t="shared" si="0"/>
        <v>4.2164836790723349E-4</v>
      </c>
      <c r="G5" s="4">
        <f t="shared" si="0"/>
        <v>4.2164836790723349E-4</v>
      </c>
      <c r="H5" s="4">
        <f t="shared" si="0"/>
        <v>4.2164836790723349E-4</v>
      </c>
      <c r="I5" s="4">
        <f t="shared" si="0"/>
        <v>4.2164836790723349E-4</v>
      </c>
      <c r="J5" s="4">
        <f t="shared" si="0"/>
        <v>4.2164836790723349E-4</v>
      </c>
      <c r="K5" s="4">
        <f t="shared" si="0"/>
        <v>4.2164836790723349E-4</v>
      </c>
      <c r="L5" s="4">
        <f t="shared" si="0"/>
        <v>4.2164836790723349E-4</v>
      </c>
      <c r="M5" s="4">
        <f t="shared" si="0"/>
        <v>4.2164836790723349E-4</v>
      </c>
      <c r="N5" s="4">
        <f t="shared" si="0"/>
        <v>4.2164836790723349E-4</v>
      </c>
      <c r="O5" s="4">
        <f t="shared" si="0"/>
        <v>4.2164836790723349E-4</v>
      </c>
      <c r="P5" s="4">
        <f t="shared" si="0"/>
        <v>4.2164836790723349E-4</v>
      </c>
      <c r="Q5" s="4">
        <f t="shared" si="0"/>
        <v>4.2164836790723349E-4</v>
      </c>
      <c r="R5" s="4">
        <f t="shared" si="0"/>
        <v>4.2164836790723349E-4</v>
      </c>
      <c r="S5" s="4">
        <f t="shared" si="0"/>
        <v>4.2164836790723349E-4</v>
      </c>
      <c r="T5" s="4">
        <f t="shared" si="0"/>
        <v>4.2164836790723349E-4</v>
      </c>
      <c r="U5" s="4">
        <f t="shared" si="0"/>
        <v>4.2164836790723349E-4</v>
      </c>
      <c r="V5" s="4">
        <f t="shared" si="0"/>
        <v>4.2164836790723349E-4</v>
      </c>
      <c r="W5" s="4">
        <f t="shared" si="0"/>
        <v>4.2164836790723349E-4</v>
      </c>
      <c r="X5" s="4">
        <f t="shared" si="0"/>
        <v>4.2164836790723349E-4</v>
      </c>
      <c r="Y5" s="4">
        <f t="shared" si="0"/>
        <v>4.2164836790723349E-4</v>
      </c>
      <c r="Z5" s="4">
        <f t="shared" si="0"/>
        <v>4.2164836790723349E-4</v>
      </c>
      <c r="AA5" s="4">
        <f t="shared" si="0"/>
        <v>4.2164836790723349E-4</v>
      </c>
      <c r="AB5" s="4">
        <f t="shared" si="0"/>
        <v>4.2164836790723349E-4</v>
      </c>
      <c r="AC5" s="4">
        <f t="shared" si="0"/>
        <v>4.2164836790723349E-4</v>
      </c>
      <c r="AD5" s="4">
        <f t="shared" si="0"/>
        <v>4.2164836790723349E-4</v>
      </c>
      <c r="AE5" s="4">
        <f t="shared" si="0"/>
        <v>4.2164836790723349E-4</v>
      </c>
      <c r="AF5" s="4">
        <f t="shared" si="0"/>
        <v>4.2164836790723349E-4</v>
      </c>
      <c r="AG5" s="4">
        <f t="shared" si="0"/>
        <v>4.2164836790723349E-4</v>
      </c>
      <c r="AH5" s="4">
        <f t="shared" si="0"/>
        <v>4.2164836790723349E-4</v>
      </c>
      <c r="AI5" s="4">
        <f t="shared" si="0"/>
        <v>4.2164836790723349E-4</v>
      </c>
      <c r="AJ5" s="4">
        <f t="shared" si="0"/>
        <v>4.2164836790723349E-4</v>
      </c>
      <c r="AK5" s="4">
        <f t="shared" si="0"/>
        <v>4.2164836790723349E-4</v>
      </c>
      <c r="AL5" s="4">
        <f t="shared" si="0"/>
        <v>4.2164836790723349E-4</v>
      </c>
      <c r="AM5" s="4">
        <f t="shared" si="0"/>
        <v>4.2164836790723349E-4</v>
      </c>
      <c r="AN5" s="4">
        <f t="shared" si="0"/>
        <v>4.2164836790723349E-4</v>
      </c>
      <c r="AO5" s="4">
        <f t="shared" si="0"/>
        <v>4.2164836790723349E-4</v>
      </c>
      <c r="AP5" s="4">
        <f t="shared" si="0"/>
        <v>4.2164836790723349E-4</v>
      </c>
    </row>
    <row r="6" spans="1:42">
      <c r="A6" t="s">
        <v>116</v>
      </c>
      <c r="B6" s="4">
        <f>SUMIFS('psgr LDVs'!B$82:B$119,'psgr LDVs'!$A$82:$A$119,'BNVFE-LDVs-psgr'!$A6)*('AEO 7'!C$41/'AEO 7'!C$38)*'Calculations Etc'!$B$23/'Calculations Etc'!$B$29</f>
        <v>6.5738318568648571E-4</v>
      </c>
      <c r="C6" s="4">
        <f t="shared" si="1"/>
        <v>6.5738318568648571E-4</v>
      </c>
      <c r="D6" s="4">
        <f t="shared" si="0"/>
        <v>6.5738318568648571E-4</v>
      </c>
      <c r="E6" s="4">
        <f t="shared" si="0"/>
        <v>6.5738318568648571E-4</v>
      </c>
      <c r="F6" s="4">
        <f t="shared" si="0"/>
        <v>6.5738318568648571E-4</v>
      </c>
      <c r="G6" s="4">
        <f t="shared" si="0"/>
        <v>6.5738318568648571E-4</v>
      </c>
      <c r="H6" s="4">
        <f t="shared" si="0"/>
        <v>6.5738318568648571E-4</v>
      </c>
      <c r="I6" s="4">
        <f t="shared" si="0"/>
        <v>6.5738318568648571E-4</v>
      </c>
      <c r="J6" s="4">
        <f t="shared" si="0"/>
        <v>6.5738318568648571E-4</v>
      </c>
      <c r="K6" s="4">
        <f t="shared" si="0"/>
        <v>6.5738318568648571E-4</v>
      </c>
      <c r="L6" s="4">
        <f t="shared" si="0"/>
        <v>6.5738318568648571E-4</v>
      </c>
      <c r="M6" s="4">
        <f t="shared" si="0"/>
        <v>6.5738318568648571E-4</v>
      </c>
      <c r="N6" s="4">
        <f t="shared" si="0"/>
        <v>6.5738318568648571E-4</v>
      </c>
      <c r="O6" s="4">
        <f t="shared" si="0"/>
        <v>6.5738318568648571E-4</v>
      </c>
      <c r="P6" s="4">
        <f t="shared" si="0"/>
        <v>6.5738318568648571E-4</v>
      </c>
      <c r="Q6" s="4">
        <f t="shared" si="0"/>
        <v>6.5738318568648571E-4</v>
      </c>
      <c r="R6" s="4">
        <f t="shared" si="0"/>
        <v>6.5738318568648571E-4</v>
      </c>
      <c r="S6" s="4">
        <f t="shared" si="0"/>
        <v>6.5738318568648571E-4</v>
      </c>
      <c r="T6" s="4">
        <f t="shared" si="0"/>
        <v>6.5738318568648571E-4</v>
      </c>
      <c r="U6" s="4">
        <f t="shared" si="0"/>
        <v>6.5738318568648571E-4</v>
      </c>
      <c r="V6" s="4">
        <f t="shared" si="0"/>
        <v>6.5738318568648571E-4</v>
      </c>
      <c r="W6" s="4">
        <f t="shared" si="0"/>
        <v>6.5738318568648571E-4</v>
      </c>
      <c r="X6" s="4">
        <f t="shared" si="0"/>
        <v>6.5738318568648571E-4</v>
      </c>
      <c r="Y6" s="4">
        <f t="shared" si="0"/>
        <v>6.5738318568648571E-4</v>
      </c>
      <c r="Z6" s="4">
        <f t="shared" si="0"/>
        <v>6.5738318568648571E-4</v>
      </c>
      <c r="AA6" s="4">
        <f t="shared" si="0"/>
        <v>6.5738318568648571E-4</v>
      </c>
      <c r="AB6" s="4">
        <f t="shared" si="0"/>
        <v>6.5738318568648571E-4</v>
      </c>
      <c r="AC6" s="4">
        <f t="shared" si="0"/>
        <v>6.5738318568648571E-4</v>
      </c>
      <c r="AD6" s="4">
        <f t="shared" si="0"/>
        <v>6.5738318568648571E-4</v>
      </c>
      <c r="AE6" s="4">
        <f t="shared" si="0"/>
        <v>6.5738318568648571E-4</v>
      </c>
      <c r="AF6" s="4">
        <f t="shared" si="0"/>
        <v>6.5738318568648571E-4</v>
      </c>
      <c r="AG6" s="4">
        <f t="shared" si="0"/>
        <v>6.5738318568648571E-4</v>
      </c>
      <c r="AH6" s="4">
        <f t="shared" si="0"/>
        <v>6.5738318568648571E-4</v>
      </c>
      <c r="AI6" s="4">
        <f t="shared" si="0"/>
        <v>6.5738318568648571E-4</v>
      </c>
      <c r="AJ6" s="4">
        <f t="shared" si="0"/>
        <v>6.5738318568648571E-4</v>
      </c>
      <c r="AK6" s="4">
        <f t="shared" si="0"/>
        <v>6.5738318568648571E-4</v>
      </c>
      <c r="AL6" s="4">
        <f t="shared" si="0"/>
        <v>6.5738318568648571E-4</v>
      </c>
      <c r="AM6" s="4">
        <f t="shared" si="0"/>
        <v>6.5738318568648571E-4</v>
      </c>
      <c r="AN6" s="4">
        <f t="shared" si="0"/>
        <v>6.5738318568648571E-4</v>
      </c>
      <c r="AO6" s="4">
        <f t="shared" si="0"/>
        <v>6.5738318568648571E-4</v>
      </c>
      <c r="AP6" s="4">
        <f t="shared" si="0"/>
        <v>6.5738318568648571E-4</v>
      </c>
    </row>
    <row r="7" spans="1:42">
      <c r="A7" t="s">
        <v>853</v>
      </c>
      <c r="B7" s="4">
        <f>SUMIFS('psgr LDVs'!B$82:B$119,'psgr LDVs'!$A$82:$A$119,'BNVFE-LDVs-psgr'!$A7)*('AEO 7'!C$41/'AEO 7'!C$38)*'Calculations Etc'!$B$23/'Calculations Etc'!$B$29</f>
        <v>3.6368321172053488E-4</v>
      </c>
      <c r="C7" s="4">
        <f t="shared" si="1"/>
        <v>3.6368321172053488E-4</v>
      </c>
      <c r="D7" s="4">
        <f t="shared" si="0"/>
        <v>3.6368321172053488E-4</v>
      </c>
      <c r="E7" s="4">
        <f t="shared" si="0"/>
        <v>3.6368321172053488E-4</v>
      </c>
      <c r="F7" s="4">
        <f t="shared" si="0"/>
        <v>3.6368321172053488E-4</v>
      </c>
      <c r="G7" s="4">
        <f t="shared" si="0"/>
        <v>3.6368321172053488E-4</v>
      </c>
      <c r="H7" s="4">
        <f t="shared" si="0"/>
        <v>3.6368321172053488E-4</v>
      </c>
      <c r="I7" s="4">
        <f t="shared" si="0"/>
        <v>3.6368321172053488E-4</v>
      </c>
      <c r="J7" s="4">
        <f t="shared" si="0"/>
        <v>3.6368321172053488E-4</v>
      </c>
      <c r="K7" s="4">
        <f t="shared" si="0"/>
        <v>3.6368321172053488E-4</v>
      </c>
      <c r="L7" s="4">
        <f t="shared" si="0"/>
        <v>3.6368321172053488E-4</v>
      </c>
      <c r="M7" s="4">
        <f t="shared" si="0"/>
        <v>3.6368321172053488E-4</v>
      </c>
      <c r="N7" s="4">
        <f t="shared" si="0"/>
        <v>3.6368321172053488E-4</v>
      </c>
      <c r="O7" s="4">
        <f t="shared" si="0"/>
        <v>3.6368321172053488E-4</v>
      </c>
      <c r="P7" s="4">
        <f t="shared" si="0"/>
        <v>3.6368321172053488E-4</v>
      </c>
      <c r="Q7" s="4">
        <f t="shared" si="0"/>
        <v>3.6368321172053488E-4</v>
      </c>
      <c r="R7" s="4">
        <f t="shared" si="0"/>
        <v>3.6368321172053488E-4</v>
      </c>
      <c r="S7" s="4">
        <f t="shared" si="0"/>
        <v>3.6368321172053488E-4</v>
      </c>
      <c r="T7" s="4">
        <f t="shared" si="0"/>
        <v>3.6368321172053488E-4</v>
      </c>
      <c r="U7" s="4">
        <f t="shared" si="0"/>
        <v>3.6368321172053488E-4</v>
      </c>
      <c r="V7" s="4">
        <f t="shared" si="0"/>
        <v>3.6368321172053488E-4</v>
      </c>
      <c r="W7" s="4">
        <f t="shared" si="0"/>
        <v>3.6368321172053488E-4</v>
      </c>
      <c r="X7" s="4">
        <f t="shared" si="0"/>
        <v>3.6368321172053488E-4</v>
      </c>
      <c r="Y7" s="4">
        <f t="shared" si="0"/>
        <v>3.6368321172053488E-4</v>
      </c>
      <c r="Z7" s="4">
        <f t="shared" si="0"/>
        <v>3.6368321172053488E-4</v>
      </c>
      <c r="AA7" s="4">
        <f t="shared" si="0"/>
        <v>3.6368321172053488E-4</v>
      </c>
      <c r="AB7" s="4">
        <f t="shared" si="0"/>
        <v>3.6368321172053488E-4</v>
      </c>
      <c r="AC7" s="4">
        <f t="shared" si="0"/>
        <v>3.6368321172053488E-4</v>
      </c>
      <c r="AD7" s="4">
        <f t="shared" si="0"/>
        <v>3.6368321172053488E-4</v>
      </c>
      <c r="AE7" s="4">
        <f t="shared" si="0"/>
        <v>3.6368321172053488E-4</v>
      </c>
      <c r="AF7" s="4">
        <f t="shared" si="0"/>
        <v>3.6368321172053488E-4</v>
      </c>
      <c r="AG7" s="4">
        <f t="shared" si="0"/>
        <v>3.6368321172053488E-4</v>
      </c>
      <c r="AH7" s="4">
        <f t="shared" si="0"/>
        <v>3.6368321172053488E-4</v>
      </c>
      <c r="AI7" s="4">
        <f t="shared" si="0"/>
        <v>3.6368321172053488E-4</v>
      </c>
      <c r="AJ7" s="4">
        <f t="shared" si="0"/>
        <v>3.6368321172053488E-4</v>
      </c>
      <c r="AK7" s="4">
        <f t="shared" si="0"/>
        <v>3.6368321172053488E-4</v>
      </c>
      <c r="AL7" s="4">
        <f t="shared" si="0"/>
        <v>3.6368321172053488E-4</v>
      </c>
      <c r="AM7" s="4">
        <f t="shared" si="0"/>
        <v>3.6368321172053488E-4</v>
      </c>
      <c r="AN7" s="4">
        <f t="shared" si="0"/>
        <v>3.6368321172053488E-4</v>
      </c>
      <c r="AO7" s="4">
        <f t="shared" si="0"/>
        <v>3.6368321172053488E-4</v>
      </c>
      <c r="AP7" s="4">
        <f t="shared" si="0"/>
        <v>3.6368321172053488E-4</v>
      </c>
    </row>
    <row r="8" spans="1:42">
      <c r="A8" t="s">
        <v>854</v>
      </c>
      <c r="B8" s="4">
        <f>SUMIFS('psgr LDVs'!B$82:B$119,'psgr LDVs'!$A$82:$A$119,'BNVFE-LDVs-psgr'!$A8)*('AEO 7'!C$41/'AEO 7'!C$38)*'Calculations Etc'!$B$23/'Calculations Etc'!$B$29</f>
        <v>5.8794415231938754E-4</v>
      </c>
      <c r="C8" s="4">
        <f t="shared" si="1"/>
        <v>5.8794415231938754E-4</v>
      </c>
      <c r="D8" s="4">
        <f t="shared" si="0"/>
        <v>5.8794415231938754E-4</v>
      </c>
      <c r="E8" s="4">
        <f t="shared" si="0"/>
        <v>5.8794415231938754E-4</v>
      </c>
      <c r="F8" s="4">
        <f t="shared" si="0"/>
        <v>5.8794415231938754E-4</v>
      </c>
      <c r="G8" s="4">
        <f t="shared" si="0"/>
        <v>5.8794415231938754E-4</v>
      </c>
      <c r="H8" s="4">
        <f t="shared" si="0"/>
        <v>5.8794415231938754E-4</v>
      </c>
      <c r="I8" s="4">
        <f t="shared" si="0"/>
        <v>5.8794415231938754E-4</v>
      </c>
      <c r="J8" s="4">
        <f t="shared" si="0"/>
        <v>5.8794415231938754E-4</v>
      </c>
      <c r="K8" s="4">
        <f t="shared" si="0"/>
        <v>5.8794415231938754E-4</v>
      </c>
      <c r="L8" s="4">
        <f t="shared" si="0"/>
        <v>5.8794415231938754E-4</v>
      </c>
      <c r="M8" s="4">
        <f t="shared" si="0"/>
        <v>5.8794415231938754E-4</v>
      </c>
      <c r="N8" s="4">
        <f t="shared" si="0"/>
        <v>5.8794415231938754E-4</v>
      </c>
      <c r="O8" s="4">
        <f t="shared" si="0"/>
        <v>5.8794415231938754E-4</v>
      </c>
      <c r="P8" s="4">
        <f t="shared" si="0"/>
        <v>5.8794415231938754E-4</v>
      </c>
      <c r="Q8" s="4">
        <f t="shared" si="0"/>
        <v>5.8794415231938754E-4</v>
      </c>
      <c r="R8" s="4">
        <f t="shared" si="0"/>
        <v>5.8794415231938754E-4</v>
      </c>
      <c r="S8" s="4">
        <f t="shared" si="0"/>
        <v>5.8794415231938754E-4</v>
      </c>
      <c r="T8" s="4">
        <f t="shared" si="0"/>
        <v>5.8794415231938754E-4</v>
      </c>
      <c r="U8" s="4">
        <f t="shared" si="0"/>
        <v>5.8794415231938754E-4</v>
      </c>
      <c r="V8" s="4">
        <f t="shared" si="0"/>
        <v>5.8794415231938754E-4</v>
      </c>
      <c r="W8" s="4">
        <f t="shared" si="0"/>
        <v>5.8794415231938754E-4</v>
      </c>
      <c r="X8" s="4">
        <f t="shared" si="0"/>
        <v>5.8794415231938754E-4</v>
      </c>
      <c r="Y8" s="4">
        <f t="shared" si="0"/>
        <v>5.8794415231938754E-4</v>
      </c>
      <c r="Z8" s="4">
        <f t="shared" si="0"/>
        <v>5.8794415231938754E-4</v>
      </c>
      <c r="AA8" s="4">
        <f t="shared" si="0"/>
        <v>5.8794415231938754E-4</v>
      </c>
      <c r="AB8" s="4">
        <f t="shared" si="0"/>
        <v>5.8794415231938754E-4</v>
      </c>
      <c r="AC8" s="4">
        <f t="shared" si="0"/>
        <v>5.8794415231938754E-4</v>
      </c>
      <c r="AD8" s="4">
        <f t="shared" si="0"/>
        <v>5.8794415231938754E-4</v>
      </c>
      <c r="AE8" s="4">
        <f t="shared" si="0"/>
        <v>5.8794415231938754E-4</v>
      </c>
      <c r="AF8" s="4">
        <f t="shared" si="0"/>
        <v>5.8794415231938754E-4</v>
      </c>
      <c r="AG8" s="4">
        <f t="shared" si="0"/>
        <v>5.8794415231938754E-4</v>
      </c>
      <c r="AH8" s="4">
        <f t="shared" si="0"/>
        <v>5.8794415231938754E-4</v>
      </c>
      <c r="AI8" s="4">
        <f t="shared" si="0"/>
        <v>5.8794415231938754E-4</v>
      </c>
      <c r="AJ8" s="4">
        <f t="shared" si="0"/>
        <v>5.8794415231938754E-4</v>
      </c>
      <c r="AK8" s="4">
        <f t="shared" si="0"/>
        <v>5.8794415231938754E-4</v>
      </c>
      <c r="AL8" s="4">
        <f t="shared" si="0"/>
        <v>5.8794415231938754E-4</v>
      </c>
      <c r="AM8" s="4">
        <f t="shared" si="0"/>
        <v>5.8794415231938754E-4</v>
      </c>
      <c r="AN8" s="4">
        <f t="shared" ref="AN8:AP8" si="2">AM8</f>
        <v>5.8794415231938754E-4</v>
      </c>
      <c r="AO8" s="4">
        <f t="shared" si="2"/>
        <v>5.8794415231938754E-4</v>
      </c>
      <c r="AP8" s="4">
        <f t="shared" si="2"/>
        <v>5.8794415231938754E-4</v>
      </c>
    </row>
  </sheetData>
  <phoneticPr fontId="59" type="noConversion"/>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P8"/>
  <sheetViews>
    <sheetView topLeftCell="X1" workbookViewId="0">
      <selection activeCell="AF24" sqref="AF24"/>
    </sheetView>
  </sheetViews>
  <sheetFormatPr defaultRowHeight="12.9"/>
  <cols>
    <col min="1" max="1" width="31.125" customWidth="1"/>
    <col min="3" max="3" width="9.5" bestFit="1" customWidth="1"/>
  </cols>
  <sheetData>
    <row r="1" spans="1:42">
      <c r="A1" s="1"/>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112</v>
      </c>
      <c r="B2" s="4">
        <f>INDEX('SYFAFE-freight'!$B$2:$H$2,MATCH('BNVFE-LDVs-frgt'!A2,'SYFAFE-freight'!$B$1:$H$1,0))*'Calculations Etc'!$B$104*'Calculations Etc'!B$97</f>
        <v>1.3418728199415992E-4</v>
      </c>
      <c r="C2" s="4">
        <f>B2</f>
        <v>1.3418728199415992E-4</v>
      </c>
      <c r="D2" s="4">
        <f t="shared" ref="D2:AP8" si="0">C2</f>
        <v>1.3418728199415992E-4</v>
      </c>
      <c r="E2" s="4">
        <f t="shared" si="0"/>
        <v>1.3418728199415992E-4</v>
      </c>
      <c r="F2" s="4">
        <f t="shared" si="0"/>
        <v>1.3418728199415992E-4</v>
      </c>
      <c r="G2" s="4">
        <f t="shared" si="0"/>
        <v>1.3418728199415992E-4</v>
      </c>
      <c r="H2" s="4">
        <f t="shared" si="0"/>
        <v>1.3418728199415992E-4</v>
      </c>
      <c r="I2" s="4">
        <f t="shared" si="0"/>
        <v>1.3418728199415992E-4</v>
      </c>
      <c r="J2" s="4">
        <f t="shared" si="0"/>
        <v>1.3418728199415992E-4</v>
      </c>
      <c r="K2" s="4">
        <f t="shared" si="0"/>
        <v>1.3418728199415992E-4</v>
      </c>
      <c r="L2" s="4">
        <f t="shared" si="0"/>
        <v>1.3418728199415992E-4</v>
      </c>
      <c r="M2" s="4">
        <f t="shared" si="0"/>
        <v>1.3418728199415992E-4</v>
      </c>
      <c r="N2" s="4">
        <f t="shared" si="0"/>
        <v>1.3418728199415992E-4</v>
      </c>
      <c r="O2" s="4">
        <f t="shared" si="0"/>
        <v>1.3418728199415992E-4</v>
      </c>
      <c r="P2" s="4">
        <f t="shared" si="0"/>
        <v>1.3418728199415992E-4</v>
      </c>
      <c r="Q2" s="4">
        <f t="shared" si="0"/>
        <v>1.3418728199415992E-4</v>
      </c>
      <c r="R2" s="4">
        <f t="shared" si="0"/>
        <v>1.3418728199415992E-4</v>
      </c>
      <c r="S2" s="4">
        <f t="shared" si="0"/>
        <v>1.3418728199415992E-4</v>
      </c>
      <c r="T2" s="4">
        <f t="shared" si="0"/>
        <v>1.3418728199415992E-4</v>
      </c>
      <c r="U2" s="4">
        <f t="shared" si="0"/>
        <v>1.3418728199415992E-4</v>
      </c>
      <c r="V2" s="4">
        <f t="shared" si="0"/>
        <v>1.3418728199415992E-4</v>
      </c>
      <c r="W2" s="4">
        <f t="shared" si="0"/>
        <v>1.3418728199415992E-4</v>
      </c>
      <c r="X2" s="4">
        <f t="shared" si="0"/>
        <v>1.3418728199415992E-4</v>
      </c>
      <c r="Y2" s="4">
        <f t="shared" si="0"/>
        <v>1.3418728199415992E-4</v>
      </c>
      <c r="Z2" s="4">
        <f t="shared" si="0"/>
        <v>1.3418728199415992E-4</v>
      </c>
      <c r="AA2" s="4">
        <f t="shared" si="0"/>
        <v>1.3418728199415992E-4</v>
      </c>
      <c r="AB2" s="4">
        <f t="shared" si="0"/>
        <v>1.3418728199415992E-4</v>
      </c>
      <c r="AC2" s="4">
        <f t="shared" si="0"/>
        <v>1.3418728199415992E-4</v>
      </c>
      <c r="AD2" s="4">
        <f t="shared" si="0"/>
        <v>1.3418728199415992E-4</v>
      </c>
      <c r="AE2" s="4">
        <f t="shared" si="0"/>
        <v>1.3418728199415992E-4</v>
      </c>
      <c r="AF2" s="4">
        <f t="shared" si="0"/>
        <v>1.3418728199415992E-4</v>
      </c>
      <c r="AG2" s="4">
        <f t="shared" si="0"/>
        <v>1.3418728199415992E-4</v>
      </c>
      <c r="AH2" s="4">
        <f t="shared" si="0"/>
        <v>1.3418728199415992E-4</v>
      </c>
      <c r="AI2" s="4">
        <f t="shared" si="0"/>
        <v>1.3418728199415992E-4</v>
      </c>
      <c r="AJ2" s="4">
        <f t="shared" si="0"/>
        <v>1.3418728199415992E-4</v>
      </c>
      <c r="AK2" s="4">
        <f t="shared" si="0"/>
        <v>1.3418728199415992E-4</v>
      </c>
      <c r="AL2" s="4">
        <f t="shared" si="0"/>
        <v>1.3418728199415992E-4</v>
      </c>
      <c r="AM2" s="4">
        <f t="shared" si="0"/>
        <v>1.3418728199415992E-4</v>
      </c>
      <c r="AN2" s="4">
        <f t="shared" si="0"/>
        <v>1.3418728199415992E-4</v>
      </c>
      <c r="AO2" s="4">
        <f t="shared" si="0"/>
        <v>1.3418728199415992E-4</v>
      </c>
      <c r="AP2" s="4">
        <f t="shared" si="0"/>
        <v>1.3418728199415992E-4</v>
      </c>
    </row>
    <row r="3" spans="1:42">
      <c r="A3" t="s">
        <v>113</v>
      </c>
      <c r="B3" s="4">
        <f>INDEX('SYFAFE-freight'!$B$2:$H$2,MATCH('BNVFE-LDVs-frgt'!A3,'SYFAFE-freight'!$B$1:$H$1,0))*'Calculations Etc'!$B$104*'Calculations Etc'!B$97</f>
        <v>7.6006288669010344E-5</v>
      </c>
      <c r="C3" s="4">
        <f t="shared" ref="C3:R8" si="1">B3</f>
        <v>7.6006288669010344E-5</v>
      </c>
      <c r="D3" s="4">
        <f t="shared" si="1"/>
        <v>7.6006288669010344E-5</v>
      </c>
      <c r="E3" s="4">
        <f t="shared" si="1"/>
        <v>7.6006288669010344E-5</v>
      </c>
      <c r="F3" s="4">
        <f t="shared" si="1"/>
        <v>7.6006288669010344E-5</v>
      </c>
      <c r="G3" s="4">
        <f t="shared" si="1"/>
        <v>7.6006288669010344E-5</v>
      </c>
      <c r="H3" s="4">
        <f t="shared" si="1"/>
        <v>7.6006288669010344E-5</v>
      </c>
      <c r="I3" s="4">
        <f t="shared" si="1"/>
        <v>7.6006288669010344E-5</v>
      </c>
      <c r="J3" s="4">
        <f t="shared" si="1"/>
        <v>7.6006288669010344E-5</v>
      </c>
      <c r="K3" s="4">
        <f t="shared" si="1"/>
        <v>7.6006288669010344E-5</v>
      </c>
      <c r="L3" s="4">
        <f t="shared" si="1"/>
        <v>7.6006288669010344E-5</v>
      </c>
      <c r="M3" s="4">
        <f t="shared" si="1"/>
        <v>7.6006288669010344E-5</v>
      </c>
      <c r="N3" s="4">
        <f t="shared" si="1"/>
        <v>7.6006288669010344E-5</v>
      </c>
      <c r="O3" s="4">
        <f t="shared" si="1"/>
        <v>7.6006288669010344E-5</v>
      </c>
      <c r="P3" s="4">
        <f t="shared" si="1"/>
        <v>7.6006288669010344E-5</v>
      </c>
      <c r="Q3" s="4">
        <f t="shared" si="1"/>
        <v>7.6006288669010344E-5</v>
      </c>
      <c r="R3" s="4">
        <f t="shared" si="1"/>
        <v>7.6006288669010344E-5</v>
      </c>
      <c r="S3" s="4">
        <f t="shared" si="0"/>
        <v>7.6006288669010344E-5</v>
      </c>
      <c r="T3" s="4">
        <f t="shared" si="0"/>
        <v>7.6006288669010344E-5</v>
      </c>
      <c r="U3" s="4">
        <f t="shared" si="0"/>
        <v>7.6006288669010344E-5</v>
      </c>
      <c r="V3" s="4">
        <f t="shared" si="0"/>
        <v>7.6006288669010344E-5</v>
      </c>
      <c r="W3" s="4">
        <f t="shared" si="0"/>
        <v>7.6006288669010344E-5</v>
      </c>
      <c r="X3" s="4">
        <f t="shared" si="0"/>
        <v>7.6006288669010344E-5</v>
      </c>
      <c r="Y3" s="4">
        <f t="shared" si="0"/>
        <v>7.6006288669010344E-5</v>
      </c>
      <c r="Z3" s="4">
        <f t="shared" si="0"/>
        <v>7.6006288669010344E-5</v>
      </c>
      <c r="AA3" s="4">
        <f t="shared" si="0"/>
        <v>7.6006288669010344E-5</v>
      </c>
      <c r="AB3" s="4">
        <f t="shared" si="0"/>
        <v>7.6006288669010344E-5</v>
      </c>
      <c r="AC3" s="4">
        <f t="shared" si="0"/>
        <v>7.6006288669010344E-5</v>
      </c>
      <c r="AD3" s="4">
        <f t="shared" si="0"/>
        <v>7.6006288669010344E-5</v>
      </c>
      <c r="AE3" s="4">
        <f t="shared" si="0"/>
        <v>7.6006288669010344E-5</v>
      </c>
      <c r="AF3" s="4">
        <f t="shared" si="0"/>
        <v>7.6006288669010344E-5</v>
      </c>
      <c r="AG3" s="4">
        <f t="shared" si="0"/>
        <v>7.6006288669010344E-5</v>
      </c>
      <c r="AH3" s="4">
        <f t="shared" si="0"/>
        <v>7.6006288669010344E-5</v>
      </c>
      <c r="AI3" s="4">
        <f t="shared" si="0"/>
        <v>7.6006288669010344E-5</v>
      </c>
      <c r="AJ3" s="4">
        <f t="shared" si="0"/>
        <v>7.6006288669010344E-5</v>
      </c>
      <c r="AK3" s="4">
        <f t="shared" si="0"/>
        <v>7.6006288669010344E-5</v>
      </c>
      <c r="AL3" s="4">
        <f t="shared" si="0"/>
        <v>7.6006288669010344E-5</v>
      </c>
      <c r="AM3" s="4">
        <f t="shared" si="0"/>
        <v>7.6006288669010344E-5</v>
      </c>
      <c r="AN3" s="4">
        <f t="shared" si="0"/>
        <v>7.6006288669010344E-5</v>
      </c>
      <c r="AO3" s="4">
        <f t="shared" si="0"/>
        <v>7.6006288669010344E-5</v>
      </c>
      <c r="AP3" s="4">
        <f t="shared" si="0"/>
        <v>7.6006288669010344E-5</v>
      </c>
    </row>
    <row r="4" spans="1:42">
      <c r="A4" t="s">
        <v>114</v>
      </c>
      <c r="B4" s="4">
        <f>INDEX('SYFAFE-freight'!$B$2:$H$2,MATCH('BNVFE-LDVs-frgt'!A4,'SYFAFE-freight'!$B$1:$H$1,0))*'Calculations Etc'!$B$104*'Calculations Etc'!B$97</f>
        <v>1.157863591831631E-4</v>
      </c>
      <c r="C4" s="4">
        <f t="shared" si="1"/>
        <v>1.157863591831631E-4</v>
      </c>
      <c r="D4" s="4">
        <f t="shared" si="0"/>
        <v>1.157863591831631E-4</v>
      </c>
      <c r="E4" s="4">
        <f t="shared" si="0"/>
        <v>1.157863591831631E-4</v>
      </c>
      <c r="F4" s="4">
        <f t="shared" si="0"/>
        <v>1.157863591831631E-4</v>
      </c>
      <c r="G4" s="4">
        <f t="shared" si="0"/>
        <v>1.157863591831631E-4</v>
      </c>
      <c r="H4" s="4">
        <f t="shared" si="0"/>
        <v>1.157863591831631E-4</v>
      </c>
      <c r="I4" s="4">
        <f t="shared" si="0"/>
        <v>1.157863591831631E-4</v>
      </c>
      <c r="J4" s="4">
        <f t="shared" si="0"/>
        <v>1.157863591831631E-4</v>
      </c>
      <c r="K4" s="4">
        <f t="shared" si="0"/>
        <v>1.157863591831631E-4</v>
      </c>
      <c r="L4" s="4">
        <f t="shared" si="0"/>
        <v>1.157863591831631E-4</v>
      </c>
      <c r="M4" s="4">
        <f t="shared" si="0"/>
        <v>1.157863591831631E-4</v>
      </c>
      <c r="N4" s="4">
        <f t="shared" si="0"/>
        <v>1.157863591831631E-4</v>
      </c>
      <c r="O4" s="4">
        <f t="shared" si="0"/>
        <v>1.157863591831631E-4</v>
      </c>
      <c r="P4" s="4">
        <f t="shared" si="0"/>
        <v>1.157863591831631E-4</v>
      </c>
      <c r="Q4" s="4">
        <f t="shared" si="0"/>
        <v>1.157863591831631E-4</v>
      </c>
      <c r="R4" s="4">
        <f t="shared" si="0"/>
        <v>1.157863591831631E-4</v>
      </c>
      <c r="S4" s="4">
        <f t="shared" si="0"/>
        <v>1.157863591831631E-4</v>
      </c>
      <c r="T4" s="4">
        <f t="shared" si="0"/>
        <v>1.157863591831631E-4</v>
      </c>
      <c r="U4" s="4">
        <f t="shared" si="0"/>
        <v>1.157863591831631E-4</v>
      </c>
      <c r="V4" s="4">
        <f t="shared" si="0"/>
        <v>1.157863591831631E-4</v>
      </c>
      <c r="W4" s="4">
        <f t="shared" si="0"/>
        <v>1.157863591831631E-4</v>
      </c>
      <c r="X4" s="4">
        <f t="shared" si="0"/>
        <v>1.157863591831631E-4</v>
      </c>
      <c r="Y4" s="4">
        <f t="shared" si="0"/>
        <v>1.157863591831631E-4</v>
      </c>
      <c r="Z4" s="4">
        <f t="shared" si="0"/>
        <v>1.157863591831631E-4</v>
      </c>
      <c r="AA4" s="4">
        <f t="shared" si="0"/>
        <v>1.157863591831631E-4</v>
      </c>
      <c r="AB4" s="4">
        <f t="shared" si="0"/>
        <v>1.157863591831631E-4</v>
      </c>
      <c r="AC4" s="4">
        <f t="shared" si="0"/>
        <v>1.157863591831631E-4</v>
      </c>
      <c r="AD4" s="4">
        <f t="shared" si="0"/>
        <v>1.157863591831631E-4</v>
      </c>
      <c r="AE4" s="4">
        <f t="shared" si="0"/>
        <v>1.157863591831631E-4</v>
      </c>
      <c r="AF4" s="4">
        <f t="shared" si="0"/>
        <v>1.157863591831631E-4</v>
      </c>
      <c r="AG4" s="4">
        <f t="shared" si="0"/>
        <v>1.157863591831631E-4</v>
      </c>
      <c r="AH4" s="4">
        <f t="shared" si="0"/>
        <v>1.157863591831631E-4</v>
      </c>
      <c r="AI4" s="4">
        <f t="shared" si="0"/>
        <v>1.157863591831631E-4</v>
      </c>
      <c r="AJ4" s="4">
        <f t="shared" si="0"/>
        <v>1.157863591831631E-4</v>
      </c>
      <c r="AK4" s="4">
        <f t="shared" si="0"/>
        <v>1.157863591831631E-4</v>
      </c>
      <c r="AL4" s="4">
        <f t="shared" si="0"/>
        <v>1.157863591831631E-4</v>
      </c>
      <c r="AM4" s="4">
        <f t="shared" si="0"/>
        <v>1.157863591831631E-4</v>
      </c>
      <c r="AN4" s="4">
        <f t="shared" si="0"/>
        <v>1.157863591831631E-4</v>
      </c>
      <c r="AO4" s="4">
        <f t="shared" si="0"/>
        <v>1.157863591831631E-4</v>
      </c>
      <c r="AP4" s="4">
        <f t="shared" si="0"/>
        <v>1.157863591831631E-4</v>
      </c>
    </row>
    <row r="5" spans="1:42">
      <c r="A5" t="s">
        <v>115</v>
      </c>
      <c r="B5" s="4">
        <f>INDEX('SYFAFE-freight'!$B$2:$H$2,MATCH('BNVFE-LDVs-frgt'!A5,'SYFAFE-freight'!$B$1:$H$1,0))*'Calculations Etc'!$B$104*'Calculations Etc'!B$97</f>
        <v>8.201551487503343E-5</v>
      </c>
      <c r="C5" s="4">
        <f t="shared" si="1"/>
        <v>8.201551487503343E-5</v>
      </c>
      <c r="D5" s="4">
        <f t="shared" si="0"/>
        <v>8.201551487503343E-5</v>
      </c>
      <c r="E5" s="4">
        <f t="shared" si="0"/>
        <v>8.201551487503343E-5</v>
      </c>
      <c r="F5" s="4">
        <f t="shared" si="0"/>
        <v>8.201551487503343E-5</v>
      </c>
      <c r="G5" s="4">
        <f t="shared" si="0"/>
        <v>8.201551487503343E-5</v>
      </c>
      <c r="H5" s="4">
        <f t="shared" si="0"/>
        <v>8.201551487503343E-5</v>
      </c>
      <c r="I5" s="4">
        <f t="shared" si="0"/>
        <v>8.201551487503343E-5</v>
      </c>
      <c r="J5" s="4">
        <f t="shared" si="0"/>
        <v>8.201551487503343E-5</v>
      </c>
      <c r="K5" s="4">
        <f t="shared" si="0"/>
        <v>8.201551487503343E-5</v>
      </c>
      <c r="L5" s="4">
        <f t="shared" si="0"/>
        <v>8.201551487503343E-5</v>
      </c>
      <c r="M5" s="4">
        <f t="shared" si="0"/>
        <v>8.201551487503343E-5</v>
      </c>
      <c r="N5" s="4">
        <f t="shared" si="0"/>
        <v>8.201551487503343E-5</v>
      </c>
      <c r="O5" s="4">
        <f t="shared" si="0"/>
        <v>8.201551487503343E-5</v>
      </c>
      <c r="P5" s="4">
        <f t="shared" si="0"/>
        <v>8.201551487503343E-5</v>
      </c>
      <c r="Q5" s="4">
        <f t="shared" si="0"/>
        <v>8.201551487503343E-5</v>
      </c>
      <c r="R5" s="4">
        <f t="shared" si="0"/>
        <v>8.201551487503343E-5</v>
      </c>
      <c r="S5" s="4">
        <f t="shared" si="0"/>
        <v>8.201551487503343E-5</v>
      </c>
      <c r="T5" s="4">
        <f t="shared" si="0"/>
        <v>8.201551487503343E-5</v>
      </c>
      <c r="U5" s="4">
        <f t="shared" si="0"/>
        <v>8.201551487503343E-5</v>
      </c>
      <c r="V5" s="4">
        <f t="shared" si="0"/>
        <v>8.201551487503343E-5</v>
      </c>
      <c r="W5" s="4">
        <f t="shared" si="0"/>
        <v>8.201551487503343E-5</v>
      </c>
      <c r="X5" s="4">
        <f t="shared" si="0"/>
        <v>8.201551487503343E-5</v>
      </c>
      <c r="Y5" s="4">
        <f t="shared" si="0"/>
        <v>8.201551487503343E-5</v>
      </c>
      <c r="Z5" s="4">
        <f t="shared" si="0"/>
        <v>8.201551487503343E-5</v>
      </c>
      <c r="AA5" s="4">
        <f t="shared" si="0"/>
        <v>8.201551487503343E-5</v>
      </c>
      <c r="AB5" s="4">
        <f t="shared" si="0"/>
        <v>8.201551487503343E-5</v>
      </c>
      <c r="AC5" s="4">
        <f t="shared" si="0"/>
        <v>8.201551487503343E-5</v>
      </c>
      <c r="AD5" s="4">
        <f t="shared" si="0"/>
        <v>8.201551487503343E-5</v>
      </c>
      <c r="AE5" s="4">
        <f t="shared" si="0"/>
        <v>8.201551487503343E-5</v>
      </c>
      <c r="AF5" s="4">
        <f t="shared" si="0"/>
        <v>8.201551487503343E-5</v>
      </c>
      <c r="AG5" s="4">
        <f t="shared" si="0"/>
        <v>8.201551487503343E-5</v>
      </c>
      <c r="AH5" s="4">
        <f t="shared" si="0"/>
        <v>8.201551487503343E-5</v>
      </c>
      <c r="AI5" s="4">
        <f t="shared" si="0"/>
        <v>8.201551487503343E-5</v>
      </c>
      <c r="AJ5" s="4">
        <f t="shared" si="0"/>
        <v>8.201551487503343E-5</v>
      </c>
      <c r="AK5" s="4">
        <f t="shared" si="0"/>
        <v>8.201551487503343E-5</v>
      </c>
      <c r="AL5" s="4">
        <f t="shared" si="0"/>
        <v>8.201551487503343E-5</v>
      </c>
      <c r="AM5" s="4">
        <f t="shared" si="0"/>
        <v>8.201551487503343E-5</v>
      </c>
      <c r="AN5" s="4">
        <f t="shared" si="0"/>
        <v>8.201551487503343E-5</v>
      </c>
      <c r="AO5" s="4">
        <f t="shared" si="0"/>
        <v>8.201551487503343E-5</v>
      </c>
      <c r="AP5" s="4">
        <f t="shared" si="0"/>
        <v>8.201551487503343E-5</v>
      </c>
    </row>
    <row r="6" spans="1:42">
      <c r="A6" t="s">
        <v>116</v>
      </c>
      <c r="B6" s="4">
        <f>B4*(1-'Calculations Etc'!$B$20)+B2*'Calculations Etc'!$B$20</f>
        <v>1.2590686672921136E-4</v>
      </c>
      <c r="C6" s="4">
        <f t="shared" si="1"/>
        <v>1.2590686672921136E-4</v>
      </c>
      <c r="D6" s="4">
        <f t="shared" si="0"/>
        <v>1.2590686672921136E-4</v>
      </c>
      <c r="E6" s="4">
        <f t="shared" si="0"/>
        <v>1.2590686672921136E-4</v>
      </c>
      <c r="F6" s="4">
        <f t="shared" si="0"/>
        <v>1.2590686672921136E-4</v>
      </c>
      <c r="G6" s="4">
        <f t="shared" si="0"/>
        <v>1.2590686672921136E-4</v>
      </c>
      <c r="H6" s="4">
        <f t="shared" si="0"/>
        <v>1.2590686672921136E-4</v>
      </c>
      <c r="I6" s="4">
        <f t="shared" si="0"/>
        <v>1.2590686672921136E-4</v>
      </c>
      <c r="J6" s="4">
        <f t="shared" si="0"/>
        <v>1.2590686672921136E-4</v>
      </c>
      <c r="K6" s="4">
        <f t="shared" si="0"/>
        <v>1.2590686672921136E-4</v>
      </c>
      <c r="L6" s="4">
        <f t="shared" si="0"/>
        <v>1.2590686672921136E-4</v>
      </c>
      <c r="M6" s="4">
        <f t="shared" si="0"/>
        <v>1.2590686672921136E-4</v>
      </c>
      <c r="N6" s="4">
        <f t="shared" si="0"/>
        <v>1.2590686672921136E-4</v>
      </c>
      <c r="O6" s="4">
        <f t="shared" si="0"/>
        <v>1.2590686672921136E-4</v>
      </c>
      <c r="P6" s="4">
        <f t="shared" si="0"/>
        <v>1.2590686672921136E-4</v>
      </c>
      <c r="Q6" s="4">
        <f t="shared" si="0"/>
        <v>1.2590686672921136E-4</v>
      </c>
      <c r="R6" s="4">
        <f t="shared" si="0"/>
        <v>1.2590686672921136E-4</v>
      </c>
      <c r="S6" s="4">
        <f t="shared" si="0"/>
        <v>1.2590686672921136E-4</v>
      </c>
      <c r="T6" s="4">
        <f t="shared" si="0"/>
        <v>1.2590686672921136E-4</v>
      </c>
      <c r="U6" s="4">
        <f t="shared" si="0"/>
        <v>1.2590686672921136E-4</v>
      </c>
      <c r="V6" s="4">
        <f t="shared" si="0"/>
        <v>1.2590686672921136E-4</v>
      </c>
      <c r="W6" s="4">
        <f t="shared" si="0"/>
        <v>1.2590686672921136E-4</v>
      </c>
      <c r="X6" s="4">
        <f t="shared" si="0"/>
        <v>1.2590686672921136E-4</v>
      </c>
      <c r="Y6" s="4">
        <f t="shared" si="0"/>
        <v>1.2590686672921136E-4</v>
      </c>
      <c r="Z6" s="4">
        <f t="shared" si="0"/>
        <v>1.2590686672921136E-4</v>
      </c>
      <c r="AA6" s="4">
        <f t="shared" si="0"/>
        <v>1.2590686672921136E-4</v>
      </c>
      <c r="AB6" s="4">
        <f t="shared" si="0"/>
        <v>1.2590686672921136E-4</v>
      </c>
      <c r="AC6" s="4">
        <f t="shared" si="0"/>
        <v>1.2590686672921136E-4</v>
      </c>
      <c r="AD6" s="4">
        <f t="shared" si="0"/>
        <v>1.2590686672921136E-4</v>
      </c>
      <c r="AE6" s="4">
        <f t="shared" si="0"/>
        <v>1.2590686672921136E-4</v>
      </c>
      <c r="AF6" s="4">
        <f t="shared" si="0"/>
        <v>1.2590686672921136E-4</v>
      </c>
      <c r="AG6" s="4">
        <f t="shared" si="0"/>
        <v>1.2590686672921136E-4</v>
      </c>
      <c r="AH6" s="4">
        <f t="shared" si="0"/>
        <v>1.2590686672921136E-4</v>
      </c>
      <c r="AI6" s="4">
        <f t="shared" si="0"/>
        <v>1.2590686672921136E-4</v>
      </c>
      <c r="AJ6" s="4">
        <f t="shared" si="0"/>
        <v>1.2590686672921136E-4</v>
      </c>
      <c r="AK6" s="4">
        <f t="shared" si="0"/>
        <v>1.2590686672921136E-4</v>
      </c>
      <c r="AL6" s="4">
        <f t="shared" si="0"/>
        <v>1.2590686672921136E-4</v>
      </c>
      <c r="AM6" s="4">
        <f t="shared" si="0"/>
        <v>1.2590686672921136E-4</v>
      </c>
      <c r="AN6" s="4">
        <f t="shared" si="0"/>
        <v>1.2590686672921136E-4</v>
      </c>
      <c r="AO6" s="4">
        <f t="shared" si="0"/>
        <v>1.2590686672921136E-4</v>
      </c>
      <c r="AP6" s="4">
        <f t="shared" si="0"/>
        <v>1.2590686672921136E-4</v>
      </c>
    </row>
    <row r="7" spans="1:42">
      <c r="A7" t="s">
        <v>853</v>
      </c>
      <c r="B7" s="4">
        <f>INDEX('SYFAFE-freight'!$B$2:$H$2,MATCH('BNVFE-LDVs-frgt'!A7,'SYFAFE-freight'!$B$1:$H$1,0))*'Calculations Etc'!$B$104*'Calculations Etc'!B$97</f>
        <v>4.4583709051118848E-5</v>
      </c>
      <c r="C7" s="4">
        <f t="shared" si="1"/>
        <v>4.4583709051118848E-5</v>
      </c>
      <c r="D7" s="4">
        <f t="shared" si="0"/>
        <v>4.4583709051118848E-5</v>
      </c>
      <c r="E7" s="4">
        <f t="shared" si="0"/>
        <v>4.4583709051118848E-5</v>
      </c>
      <c r="F7" s="4">
        <f t="shared" si="0"/>
        <v>4.4583709051118848E-5</v>
      </c>
      <c r="G7" s="4">
        <f t="shared" si="0"/>
        <v>4.4583709051118848E-5</v>
      </c>
      <c r="H7" s="4">
        <f t="shared" si="0"/>
        <v>4.4583709051118848E-5</v>
      </c>
      <c r="I7" s="4">
        <f t="shared" si="0"/>
        <v>4.4583709051118848E-5</v>
      </c>
      <c r="J7" s="4">
        <f t="shared" si="0"/>
        <v>4.4583709051118848E-5</v>
      </c>
      <c r="K7" s="4">
        <f t="shared" si="0"/>
        <v>4.4583709051118848E-5</v>
      </c>
      <c r="L7" s="4">
        <f t="shared" si="0"/>
        <v>4.4583709051118848E-5</v>
      </c>
      <c r="M7" s="4">
        <f t="shared" si="0"/>
        <v>4.4583709051118848E-5</v>
      </c>
      <c r="N7" s="4">
        <f t="shared" si="0"/>
        <v>4.4583709051118848E-5</v>
      </c>
      <c r="O7" s="4">
        <f t="shared" si="0"/>
        <v>4.4583709051118848E-5</v>
      </c>
      <c r="P7" s="4">
        <f t="shared" si="0"/>
        <v>4.4583709051118848E-5</v>
      </c>
      <c r="Q7" s="4">
        <f t="shared" si="0"/>
        <v>4.4583709051118848E-5</v>
      </c>
      <c r="R7" s="4">
        <f t="shared" si="0"/>
        <v>4.4583709051118848E-5</v>
      </c>
      <c r="S7" s="4">
        <f t="shared" si="0"/>
        <v>4.4583709051118848E-5</v>
      </c>
      <c r="T7" s="4">
        <f t="shared" si="0"/>
        <v>4.4583709051118848E-5</v>
      </c>
      <c r="U7" s="4">
        <f t="shared" si="0"/>
        <v>4.4583709051118848E-5</v>
      </c>
      <c r="V7" s="4">
        <f t="shared" si="0"/>
        <v>4.4583709051118848E-5</v>
      </c>
      <c r="W7" s="4">
        <f t="shared" si="0"/>
        <v>4.4583709051118848E-5</v>
      </c>
      <c r="X7" s="4">
        <f t="shared" si="0"/>
        <v>4.4583709051118848E-5</v>
      </c>
      <c r="Y7" s="4">
        <f t="shared" si="0"/>
        <v>4.4583709051118848E-5</v>
      </c>
      <c r="Z7" s="4">
        <f t="shared" si="0"/>
        <v>4.4583709051118848E-5</v>
      </c>
      <c r="AA7" s="4">
        <f t="shared" si="0"/>
        <v>4.4583709051118848E-5</v>
      </c>
      <c r="AB7" s="4">
        <f t="shared" si="0"/>
        <v>4.4583709051118848E-5</v>
      </c>
      <c r="AC7" s="4">
        <f t="shared" si="0"/>
        <v>4.4583709051118848E-5</v>
      </c>
      <c r="AD7" s="4">
        <f t="shared" si="0"/>
        <v>4.4583709051118848E-5</v>
      </c>
      <c r="AE7" s="4">
        <f t="shared" si="0"/>
        <v>4.4583709051118848E-5</v>
      </c>
      <c r="AF7" s="4">
        <f t="shared" si="0"/>
        <v>4.4583709051118848E-5</v>
      </c>
      <c r="AG7" s="4">
        <f t="shared" si="0"/>
        <v>4.4583709051118848E-5</v>
      </c>
      <c r="AH7" s="4">
        <f t="shared" si="0"/>
        <v>4.4583709051118848E-5</v>
      </c>
      <c r="AI7" s="4">
        <f t="shared" si="0"/>
        <v>4.4583709051118848E-5</v>
      </c>
      <c r="AJ7" s="4">
        <f t="shared" si="0"/>
        <v>4.4583709051118848E-5</v>
      </c>
      <c r="AK7" s="4">
        <f t="shared" si="0"/>
        <v>4.4583709051118848E-5</v>
      </c>
      <c r="AL7" s="4">
        <f t="shared" si="0"/>
        <v>4.4583709051118848E-5</v>
      </c>
      <c r="AM7" s="4">
        <f t="shared" si="0"/>
        <v>4.4583709051118848E-5</v>
      </c>
      <c r="AN7" s="4">
        <f t="shared" si="0"/>
        <v>4.4583709051118848E-5</v>
      </c>
      <c r="AO7" s="4">
        <f t="shared" si="0"/>
        <v>4.4583709051118848E-5</v>
      </c>
      <c r="AP7" s="4">
        <f t="shared" si="0"/>
        <v>4.4583709051118848E-5</v>
      </c>
    </row>
    <row r="8" spans="1:42">
      <c r="A8" t="s">
        <v>854</v>
      </c>
      <c r="B8" s="4">
        <f>B5*'Calculations Etc'!$B$35</f>
        <v>2.4604654462510026E-4</v>
      </c>
      <c r="C8" s="4">
        <f t="shared" si="1"/>
        <v>2.4604654462510026E-4</v>
      </c>
      <c r="D8" s="4">
        <f t="shared" si="0"/>
        <v>2.4604654462510026E-4</v>
      </c>
      <c r="E8" s="4">
        <f t="shared" si="0"/>
        <v>2.4604654462510026E-4</v>
      </c>
      <c r="F8" s="4">
        <f t="shared" si="0"/>
        <v>2.4604654462510026E-4</v>
      </c>
      <c r="G8" s="4">
        <f t="shared" si="0"/>
        <v>2.4604654462510026E-4</v>
      </c>
      <c r="H8" s="4">
        <f t="shared" si="0"/>
        <v>2.4604654462510026E-4</v>
      </c>
      <c r="I8" s="4">
        <f t="shared" si="0"/>
        <v>2.4604654462510026E-4</v>
      </c>
      <c r="J8" s="4">
        <f t="shared" si="0"/>
        <v>2.4604654462510026E-4</v>
      </c>
      <c r="K8" s="4">
        <f t="shared" si="0"/>
        <v>2.4604654462510026E-4</v>
      </c>
      <c r="L8" s="4">
        <f t="shared" si="0"/>
        <v>2.4604654462510026E-4</v>
      </c>
      <c r="M8" s="4">
        <f t="shared" si="0"/>
        <v>2.4604654462510026E-4</v>
      </c>
      <c r="N8" s="4">
        <f t="shared" si="0"/>
        <v>2.4604654462510026E-4</v>
      </c>
      <c r="O8" s="4">
        <f t="shared" si="0"/>
        <v>2.4604654462510026E-4</v>
      </c>
      <c r="P8" s="4">
        <f t="shared" si="0"/>
        <v>2.4604654462510026E-4</v>
      </c>
      <c r="Q8" s="4">
        <f t="shared" si="0"/>
        <v>2.4604654462510026E-4</v>
      </c>
      <c r="R8" s="4">
        <f t="shared" si="0"/>
        <v>2.4604654462510026E-4</v>
      </c>
      <c r="S8" s="4">
        <f t="shared" si="0"/>
        <v>2.4604654462510026E-4</v>
      </c>
      <c r="T8" s="4">
        <f t="shared" si="0"/>
        <v>2.4604654462510026E-4</v>
      </c>
      <c r="U8" s="4">
        <f t="shared" si="0"/>
        <v>2.4604654462510026E-4</v>
      </c>
      <c r="V8" s="4">
        <f t="shared" si="0"/>
        <v>2.4604654462510026E-4</v>
      </c>
      <c r="W8" s="4">
        <f t="shared" si="0"/>
        <v>2.4604654462510026E-4</v>
      </c>
      <c r="X8" s="4">
        <f t="shared" si="0"/>
        <v>2.4604654462510026E-4</v>
      </c>
      <c r="Y8" s="4">
        <f t="shared" si="0"/>
        <v>2.4604654462510026E-4</v>
      </c>
      <c r="Z8" s="4">
        <f t="shared" si="0"/>
        <v>2.4604654462510026E-4</v>
      </c>
      <c r="AA8" s="4">
        <f t="shared" si="0"/>
        <v>2.4604654462510026E-4</v>
      </c>
      <c r="AB8" s="4">
        <f t="shared" si="0"/>
        <v>2.4604654462510026E-4</v>
      </c>
      <c r="AC8" s="4">
        <f t="shared" si="0"/>
        <v>2.4604654462510026E-4</v>
      </c>
      <c r="AD8" s="4">
        <f t="shared" si="0"/>
        <v>2.4604654462510026E-4</v>
      </c>
      <c r="AE8" s="4">
        <f t="shared" si="0"/>
        <v>2.4604654462510026E-4</v>
      </c>
      <c r="AF8" s="4">
        <f t="shared" si="0"/>
        <v>2.4604654462510026E-4</v>
      </c>
      <c r="AG8" s="4">
        <f t="shared" si="0"/>
        <v>2.4604654462510026E-4</v>
      </c>
      <c r="AH8" s="4">
        <f t="shared" si="0"/>
        <v>2.4604654462510026E-4</v>
      </c>
      <c r="AI8" s="4">
        <f t="shared" si="0"/>
        <v>2.4604654462510026E-4</v>
      </c>
      <c r="AJ8" s="4">
        <f t="shared" si="0"/>
        <v>2.4604654462510026E-4</v>
      </c>
      <c r="AK8" s="4">
        <f t="shared" si="0"/>
        <v>2.4604654462510026E-4</v>
      </c>
      <c r="AL8" s="4">
        <f t="shared" si="0"/>
        <v>2.4604654462510026E-4</v>
      </c>
      <c r="AM8" s="4">
        <f t="shared" si="0"/>
        <v>2.4604654462510026E-4</v>
      </c>
      <c r="AN8" s="4">
        <f t="shared" ref="AN8:AP8" si="2">AM8</f>
        <v>2.4604654462510026E-4</v>
      </c>
      <c r="AO8" s="4">
        <f t="shared" si="2"/>
        <v>2.4604654462510026E-4</v>
      </c>
      <c r="AP8" s="4">
        <f t="shared" si="2"/>
        <v>2.4604654462510026E-4</v>
      </c>
    </row>
  </sheetData>
  <phoneticPr fontId="59"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P8"/>
  <sheetViews>
    <sheetView topLeftCell="AB1" workbookViewId="0">
      <selection activeCell="AM14" sqref="AM14"/>
    </sheetView>
  </sheetViews>
  <sheetFormatPr defaultRowHeight="12.9"/>
  <cols>
    <col min="1" max="1" width="31.125" customWidth="1"/>
    <col min="3" max="3" width="9.5" bestFit="1" customWidth="1"/>
  </cols>
  <sheetData>
    <row r="1" spans="1:42">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112</v>
      </c>
      <c r="B2" s="4">
        <f>'SYFAFE-passenger'!L1*'Calculations Etc'!$B$9*'AEO 49'!$G$202/'AEO 49'!$G$131</f>
        <v>5.4621451548607569E-3</v>
      </c>
      <c r="C2" s="4">
        <f>B2</f>
        <v>5.4621451548607569E-3</v>
      </c>
      <c r="D2" s="4">
        <f t="shared" ref="D2:K2" si="0">C2</f>
        <v>5.4621451548607569E-3</v>
      </c>
      <c r="E2" s="4">
        <f t="shared" si="0"/>
        <v>5.4621451548607569E-3</v>
      </c>
      <c r="F2" s="4">
        <f t="shared" si="0"/>
        <v>5.4621451548607569E-3</v>
      </c>
      <c r="G2" s="4">
        <f t="shared" si="0"/>
        <v>5.4621451548607569E-3</v>
      </c>
      <c r="H2" s="4">
        <f t="shared" si="0"/>
        <v>5.4621451548607569E-3</v>
      </c>
      <c r="I2" s="4">
        <f t="shared" si="0"/>
        <v>5.4621451548607569E-3</v>
      </c>
      <c r="J2" s="4">
        <f t="shared" si="0"/>
        <v>5.4621451548607569E-3</v>
      </c>
      <c r="K2" s="4">
        <f t="shared" si="0"/>
        <v>5.4621451548607569E-3</v>
      </c>
      <c r="L2" s="4">
        <f t="shared" ref="L2:AP2" si="1">K2</f>
        <v>5.4621451548607569E-3</v>
      </c>
      <c r="M2" s="4">
        <f t="shared" si="1"/>
        <v>5.4621451548607569E-3</v>
      </c>
      <c r="N2" s="4">
        <f t="shared" si="1"/>
        <v>5.4621451548607569E-3</v>
      </c>
      <c r="O2" s="4">
        <f t="shared" si="1"/>
        <v>5.4621451548607569E-3</v>
      </c>
      <c r="P2" s="4">
        <f t="shared" si="1"/>
        <v>5.4621451548607569E-3</v>
      </c>
      <c r="Q2" s="4">
        <f t="shared" si="1"/>
        <v>5.4621451548607569E-3</v>
      </c>
      <c r="R2" s="4">
        <f t="shared" si="1"/>
        <v>5.4621451548607569E-3</v>
      </c>
      <c r="S2" s="4">
        <f t="shared" si="1"/>
        <v>5.4621451548607569E-3</v>
      </c>
      <c r="T2" s="4">
        <f t="shared" si="1"/>
        <v>5.4621451548607569E-3</v>
      </c>
      <c r="U2" s="4">
        <f t="shared" si="1"/>
        <v>5.4621451548607569E-3</v>
      </c>
      <c r="V2" s="4">
        <f t="shared" si="1"/>
        <v>5.4621451548607569E-3</v>
      </c>
      <c r="W2" s="4">
        <f t="shared" si="1"/>
        <v>5.4621451548607569E-3</v>
      </c>
      <c r="X2" s="4">
        <f t="shared" si="1"/>
        <v>5.4621451548607569E-3</v>
      </c>
      <c r="Y2" s="4">
        <f t="shared" si="1"/>
        <v>5.4621451548607569E-3</v>
      </c>
      <c r="Z2" s="4">
        <f t="shared" si="1"/>
        <v>5.4621451548607569E-3</v>
      </c>
      <c r="AA2" s="4">
        <f t="shared" si="1"/>
        <v>5.4621451548607569E-3</v>
      </c>
      <c r="AB2" s="4">
        <f t="shared" si="1"/>
        <v>5.4621451548607569E-3</v>
      </c>
      <c r="AC2" s="4">
        <f t="shared" si="1"/>
        <v>5.4621451548607569E-3</v>
      </c>
      <c r="AD2" s="4">
        <f t="shared" si="1"/>
        <v>5.4621451548607569E-3</v>
      </c>
      <c r="AE2" s="4">
        <f t="shared" si="1"/>
        <v>5.4621451548607569E-3</v>
      </c>
      <c r="AF2" s="4">
        <f t="shared" si="1"/>
        <v>5.4621451548607569E-3</v>
      </c>
      <c r="AG2" s="4">
        <f t="shared" si="1"/>
        <v>5.4621451548607569E-3</v>
      </c>
      <c r="AH2" s="4">
        <f t="shared" si="1"/>
        <v>5.4621451548607569E-3</v>
      </c>
      <c r="AI2" s="4">
        <f t="shared" si="1"/>
        <v>5.4621451548607569E-3</v>
      </c>
      <c r="AJ2" s="4">
        <f t="shared" si="1"/>
        <v>5.4621451548607569E-3</v>
      </c>
      <c r="AK2" s="4">
        <f t="shared" si="1"/>
        <v>5.4621451548607569E-3</v>
      </c>
      <c r="AL2" s="4">
        <f t="shared" si="1"/>
        <v>5.4621451548607569E-3</v>
      </c>
      <c r="AM2" s="4">
        <f t="shared" si="1"/>
        <v>5.4621451548607569E-3</v>
      </c>
      <c r="AN2" s="4">
        <f t="shared" si="1"/>
        <v>5.4621451548607569E-3</v>
      </c>
      <c r="AO2" s="4">
        <f t="shared" si="1"/>
        <v>5.4621451548607569E-3</v>
      </c>
      <c r="AP2" s="4">
        <f t="shared" si="1"/>
        <v>5.4621451548607569E-3</v>
      </c>
    </row>
    <row r="3" spans="1:42">
      <c r="A3" t="s">
        <v>113</v>
      </c>
      <c r="B3" s="4">
        <f>'SYFAFE-passenger'!L2*'Calculations Etc'!$B$9*'AEO 49'!$G$202/'AEO 49'!$G$131</f>
        <v>1.7491298309895858E-3</v>
      </c>
      <c r="C3" s="4">
        <f t="shared" ref="C3:K7" si="2">B3</f>
        <v>1.7491298309895858E-3</v>
      </c>
      <c r="D3" s="4">
        <f t="shared" si="2"/>
        <v>1.7491298309895858E-3</v>
      </c>
      <c r="E3" s="4">
        <f t="shared" si="2"/>
        <v>1.7491298309895858E-3</v>
      </c>
      <c r="F3" s="4">
        <f t="shared" si="2"/>
        <v>1.7491298309895858E-3</v>
      </c>
      <c r="G3" s="4">
        <f t="shared" si="2"/>
        <v>1.7491298309895858E-3</v>
      </c>
      <c r="H3" s="4">
        <f t="shared" si="2"/>
        <v>1.7491298309895858E-3</v>
      </c>
      <c r="I3" s="4">
        <f t="shared" si="2"/>
        <v>1.7491298309895858E-3</v>
      </c>
      <c r="J3" s="4">
        <f t="shared" si="2"/>
        <v>1.7491298309895858E-3</v>
      </c>
      <c r="K3" s="4">
        <f t="shared" si="2"/>
        <v>1.7491298309895858E-3</v>
      </c>
      <c r="L3" s="4">
        <f t="shared" ref="L3:AP3" si="3">K3</f>
        <v>1.7491298309895858E-3</v>
      </c>
      <c r="M3" s="4">
        <f t="shared" si="3"/>
        <v>1.7491298309895858E-3</v>
      </c>
      <c r="N3" s="4">
        <f t="shared" si="3"/>
        <v>1.7491298309895858E-3</v>
      </c>
      <c r="O3" s="4">
        <f t="shared" si="3"/>
        <v>1.7491298309895858E-3</v>
      </c>
      <c r="P3" s="4">
        <f t="shared" si="3"/>
        <v>1.7491298309895858E-3</v>
      </c>
      <c r="Q3" s="4">
        <f t="shared" si="3"/>
        <v>1.7491298309895858E-3</v>
      </c>
      <c r="R3" s="4">
        <f t="shared" si="3"/>
        <v>1.7491298309895858E-3</v>
      </c>
      <c r="S3" s="4">
        <f t="shared" si="3"/>
        <v>1.7491298309895858E-3</v>
      </c>
      <c r="T3" s="4">
        <f t="shared" si="3"/>
        <v>1.7491298309895858E-3</v>
      </c>
      <c r="U3" s="4">
        <f t="shared" si="3"/>
        <v>1.7491298309895858E-3</v>
      </c>
      <c r="V3" s="4">
        <f t="shared" si="3"/>
        <v>1.7491298309895858E-3</v>
      </c>
      <c r="W3" s="4">
        <f t="shared" si="3"/>
        <v>1.7491298309895858E-3</v>
      </c>
      <c r="X3" s="4">
        <f t="shared" si="3"/>
        <v>1.7491298309895858E-3</v>
      </c>
      <c r="Y3" s="4">
        <f t="shared" si="3"/>
        <v>1.7491298309895858E-3</v>
      </c>
      <c r="Z3" s="4">
        <f t="shared" si="3"/>
        <v>1.7491298309895858E-3</v>
      </c>
      <c r="AA3" s="4">
        <f t="shared" si="3"/>
        <v>1.7491298309895858E-3</v>
      </c>
      <c r="AB3" s="4">
        <f t="shared" si="3"/>
        <v>1.7491298309895858E-3</v>
      </c>
      <c r="AC3" s="4">
        <f t="shared" si="3"/>
        <v>1.7491298309895858E-3</v>
      </c>
      <c r="AD3" s="4">
        <f t="shared" si="3"/>
        <v>1.7491298309895858E-3</v>
      </c>
      <c r="AE3" s="4">
        <f t="shared" si="3"/>
        <v>1.7491298309895858E-3</v>
      </c>
      <c r="AF3" s="4">
        <f t="shared" si="3"/>
        <v>1.7491298309895858E-3</v>
      </c>
      <c r="AG3" s="4">
        <f t="shared" si="3"/>
        <v>1.7491298309895858E-3</v>
      </c>
      <c r="AH3" s="4">
        <f t="shared" si="3"/>
        <v>1.7491298309895858E-3</v>
      </c>
      <c r="AI3" s="4">
        <f t="shared" si="3"/>
        <v>1.7491298309895858E-3</v>
      </c>
      <c r="AJ3" s="4">
        <f t="shared" si="3"/>
        <v>1.7491298309895858E-3</v>
      </c>
      <c r="AK3" s="4">
        <f t="shared" si="3"/>
        <v>1.7491298309895858E-3</v>
      </c>
      <c r="AL3" s="4">
        <f t="shared" si="3"/>
        <v>1.7491298309895858E-3</v>
      </c>
      <c r="AM3" s="4">
        <f t="shared" si="3"/>
        <v>1.7491298309895858E-3</v>
      </c>
      <c r="AN3" s="4">
        <f t="shared" si="3"/>
        <v>1.7491298309895858E-3</v>
      </c>
      <c r="AO3" s="4">
        <f t="shared" si="3"/>
        <v>1.7491298309895858E-3</v>
      </c>
      <c r="AP3" s="4">
        <f t="shared" si="3"/>
        <v>1.7491298309895858E-3</v>
      </c>
    </row>
    <row r="4" spans="1:42">
      <c r="A4" t="s">
        <v>114</v>
      </c>
      <c r="B4" s="4">
        <f>'SYFAFE-passenger'!L3*'Calculations Etc'!$B$9*'AEO 49'!$G$202/'AEO 49'!$G$131</f>
        <v>1.8805421417188932E-3</v>
      </c>
      <c r="C4" s="4">
        <f t="shared" si="2"/>
        <v>1.8805421417188932E-3</v>
      </c>
      <c r="D4" s="4">
        <f t="shared" si="2"/>
        <v>1.8805421417188932E-3</v>
      </c>
      <c r="E4" s="4">
        <f t="shared" si="2"/>
        <v>1.8805421417188932E-3</v>
      </c>
      <c r="F4" s="4">
        <f t="shared" si="2"/>
        <v>1.8805421417188932E-3</v>
      </c>
      <c r="G4" s="4">
        <f t="shared" si="2"/>
        <v>1.8805421417188932E-3</v>
      </c>
      <c r="H4" s="4">
        <f t="shared" si="2"/>
        <v>1.8805421417188932E-3</v>
      </c>
      <c r="I4" s="4">
        <f t="shared" si="2"/>
        <v>1.8805421417188932E-3</v>
      </c>
      <c r="J4" s="4">
        <f t="shared" si="2"/>
        <v>1.8805421417188932E-3</v>
      </c>
      <c r="K4" s="4">
        <f t="shared" si="2"/>
        <v>1.8805421417188932E-3</v>
      </c>
      <c r="L4" s="4">
        <f t="shared" ref="L4:AP4" si="4">K4</f>
        <v>1.8805421417188932E-3</v>
      </c>
      <c r="M4" s="4">
        <f t="shared" si="4"/>
        <v>1.8805421417188932E-3</v>
      </c>
      <c r="N4" s="4">
        <f t="shared" si="4"/>
        <v>1.8805421417188932E-3</v>
      </c>
      <c r="O4" s="4">
        <f t="shared" si="4"/>
        <v>1.8805421417188932E-3</v>
      </c>
      <c r="P4" s="4">
        <f t="shared" si="4"/>
        <v>1.8805421417188932E-3</v>
      </c>
      <c r="Q4" s="4">
        <f t="shared" si="4"/>
        <v>1.8805421417188932E-3</v>
      </c>
      <c r="R4" s="4">
        <f t="shared" si="4"/>
        <v>1.8805421417188932E-3</v>
      </c>
      <c r="S4" s="4">
        <f t="shared" si="4"/>
        <v>1.8805421417188932E-3</v>
      </c>
      <c r="T4" s="4">
        <f t="shared" si="4"/>
        <v>1.8805421417188932E-3</v>
      </c>
      <c r="U4" s="4">
        <f t="shared" si="4"/>
        <v>1.8805421417188932E-3</v>
      </c>
      <c r="V4" s="4">
        <f t="shared" si="4"/>
        <v>1.8805421417188932E-3</v>
      </c>
      <c r="W4" s="4">
        <f t="shared" si="4"/>
        <v>1.8805421417188932E-3</v>
      </c>
      <c r="X4" s="4">
        <f t="shared" si="4"/>
        <v>1.8805421417188932E-3</v>
      </c>
      <c r="Y4" s="4">
        <f t="shared" si="4"/>
        <v>1.8805421417188932E-3</v>
      </c>
      <c r="Z4" s="4">
        <f t="shared" si="4"/>
        <v>1.8805421417188932E-3</v>
      </c>
      <c r="AA4" s="4">
        <f t="shared" si="4"/>
        <v>1.8805421417188932E-3</v>
      </c>
      <c r="AB4" s="4">
        <f t="shared" si="4"/>
        <v>1.8805421417188932E-3</v>
      </c>
      <c r="AC4" s="4">
        <f t="shared" si="4"/>
        <v>1.8805421417188932E-3</v>
      </c>
      <c r="AD4" s="4">
        <f t="shared" si="4"/>
        <v>1.8805421417188932E-3</v>
      </c>
      <c r="AE4" s="4">
        <f t="shared" si="4"/>
        <v>1.8805421417188932E-3</v>
      </c>
      <c r="AF4" s="4">
        <f t="shared" si="4"/>
        <v>1.8805421417188932E-3</v>
      </c>
      <c r="AG4" s="4">
        <f t="shared" si="4"/>
        <v>1.8805421417188932E-3</v>
      </c>
      <c r="AH4" s="4">
        <f t="shared" si="4"/>
        <v>1.8805421417188932E-3</v>
      </c>
      <c r="AI4" s="4">
        <f t="shared" si="4"/>
        <v>1.8805421417188932E-3</v>
      </c>
      <c r="AJ4" s="4">
        <f t="shared" si="4"/>
        <v>1.8805421417188932E-3</v>
      </c>
      <c r="AK4" s="4">
        <f t="shared" si="4"/>
        <v>1.8805421417188932E-3</v>
      </c>
      <c r="AL4" s="4">
        <f t="shared" si="4"/>
        <v>1.8805421417188932E-3</v>
      </c>
      <c r="AM4" s="4">
        <f t="shared" si="4"/>
        <v>1.8805421417188932E-3</v>
      </c>
      <c r="AN4" s="4">
        <f t="shared" si="4"/>
        <v>1.8805421417188932E-3</v>
      </c>
      <c r="AO4" s="4">
        <f t="shared" si="4"/>
        <v>1.8805421417188932E-3</v>
      </c>
      <c r="AP4" s="4">
        <f t="shared" si="4"/>
        <v>1.8805421417188932E-3</v>
      </c>
    </row>
    <row r="5" spans="1:42">
      <c r="A5" t="s">
        <v>115</v>
      </c>
      <c r="B5" s="4">
        <f>'SYFAFE-passenger'!L4*'Calculations Etc'!$B$9*'AEO 49'!$G$202/'AEO 49'!$G$131</f>
        <v>1.9803564238152585E-3</v>
      </c>
      <c r="C5" s="4">
        <f t="shared" si="2"/>
        <v>1.9803564238152585E-3</v>
      </c>
      <c r="D5" s="4">
        <f t="shared" si="2"/>
        <v>1.9803564238152585E-3</v>
      </c>
      <c r="E5" s="4">
        <f t="shared" si="2"/>
        <v>1.9803564238152585E-3</v>
      </c>
      <c r="F5" s="4">
        <f t="shared" si="2"/>
        <v>1.9803564238152585E-3</v>
      </c>
      <c r="G5" s="4">
        <f t="shared" si="2"/>
        <v>1.9803564238152585E-3</v>
      </c>
      <c r="H5" s="4">
        <f t="shared" si="2"/>
        <v>1.9803564238152585E-3</v>
      </c>
      <c r="I5" s="4">
        <f t="shared" si="2"/>
        <v>1.9803564238152585E-3</v>
      </c>
      <c r="J5" s="4">
        <f t="shared" si="2"/>
        <v>1.9803564238152585E-3</v>
      </c>
      <c r="K5" s="4">
        <f t="shared" si="2"/>
        <v>1.9803564238152585E-3</v>
      </c>
      <c r="L5" s="4">
        <f t="shared" ref="L5:AP5" si="5">K5</f>
        <v>1.9803564238152585E-3</v>
      </c>
      <c r="M5" s="4">
        <f t="shared" si="5"/>
        <v>1.9803564238152585E-3</v>
      </c>
      <c r="N5" s="4">
        <f t="shared" si="5"/>
        <v>1.9803564238152585E-3</v>
      </c>
      <c r="O5" s="4">
        <f t="shared" si="5"/>
        <v>1.9803564238152585E-3</v>
      </c>
      <c r="P5" s="4">
        <f t="shared" si="5"/>
        <v>1.9803564238152585E-3</v>
      </c>
      <c r="Q5" s="4">
        <f t="shared" si="5"/>
        <v>1.9803564238152585E-3</v>
      </c>
      <c r="R5" s="4">
        <f t="shared" si="5"/>
        <v>1.9803564238152585E-3</v>
      </c>
      <c r="S5" s="4">
        <f t="shared" si="5"/>
        <v>1.9803564238152585E-3</v>
      </c>
      <c r="T5" s="4">
        <f t="shared" si="5"/>
        <v>1.9803564238152585E-3</v>
      </c>
      <c r="U5" s="4">
        <f t="shared" si="5"/>
        <v>1.9803564238152585E-3</v>
      </c>
      <c r="V5" s="4">
        <f t="shared" si="5"/>
        <v>1.9803564238152585E-3</v>
      </c>
      <c r="W5" s="4">
        <f t="shared" si="5"/>
        <v>1.9803564238152585E-3</v>
      </c>
      <c r="X5" s="4">
        <f t="shared" si="5"/>
        <v>1.9803564238152585E-3</v>
      </c>
      <c r="Y5" s="4">
        <f t="shared" si="5"/>
        <v>1.9803564238152585E-3</v>
      </c>
      <c r="Z5" s="4">
        <f t="shared" si="5"/>
        <v>1.9803564238152585E-3</v>
      </c>
      <c r="AA5" s="4">
        <f t="shared" si="5"/>
        <v>1.9803564238152585E-3</v>
      </c>
      <c r="AB5" s="4">
        <f t="shared" si="5"/>
        <v>1.9803564238152585E-3</v>
      </c>
      <c r="AC5" s="4">
        <f t="shared" si="5"/>
        <v>1.9803564238152585E-3</v>
      </c>
      <c r="AD5" s="4">
        <f t="shared" si="5"/>
        <v>1.9803564238152585E-3</v>
      </c>
      <c r="AE5" s="4">
        <f t="shared" si="5"/>
        <v>1.9803564238152585E-3</v>
      </c>
      <c r="AF5" s="4">
        <f t="shared" si="5"/>
        <v>1.9803564238152585E-3</v>
      </c>
      <c r="AG5" s="4">
        <f t="shared" si="5"/>
        <v>1.9803564238152585E-3</v>
      </c>
      <c r="AH5" s="4">
        <f t="shared" si="5"/>
        <v>1.9803564238152585E-3</v>
      </c>
      <c r="AI5" s="4">
        <f t="shared" si="5"/>
        <v>1.9803564238152585E-3</v>
      </c>
      <c r="AJ5" s="4">
        <f t="shared" si="5"/>
        <v>1.9803564238152585E-3</v>
      </c>
      <c r="AK5" s="4">
        <f t="shared" si="5"/>
        <v>1.9803564238152585E-3</v>
      </c>
      <c r="AL5" s="4">
        <f t="shared" si="5"/>
        <v>1.9803564238152585E-3</v>
      </c>
      <c r="AM5" s="4">
        <f t="shared" si="5"/>
        <v>1.9803564238152585E-3</v>
      </c>
      <c r="AN5" s="4">
        <f t="shared" si="5"/>
        <v>1.9803564238152585E-3</v>
      </c>
      <c r="AO5" s="4">
        <f t="shared" si="5"/>
        <v>1.9803564238152585E-3</v>
      </c>
      <c r="AP5" s="4">
        <f t="shared" si="5"/>
        <v>1.9803564238152585E-3</v>
      </c>
    </row>
    <row r="6" spans="1:42">
      <c r="A6" t="s">
        <v>116</v>
      </c>
      <c r="B6" s="4">
        <f>'SYFAFE-passenger'!L5*'Calculations Etc'!$B$9*'AEO 49'!$G$202/'AEO 49'!$G$131</f>
        <v>2.1889510529607913E-3</v>
      </c>
      <c r="C6" s="4">
        <f t="shared" si="2"/>
        <v>2.1889510529607913E-3</v>
      </c>
      <c r="D6" s="4">
        <f t="shared" si="2"/>
        <v>2.1889510529607913E-3</v>
      </c>
      <c r="E6" s="4">
        <f t="shared" si="2"/>
        <v>2.1889510529607913E-3</v>
      </c>
      <c r="F6" s="4">
        <f t="shared" si="2"/>
        <v>2.1889510529607913E-3</v>
      </c>
      <c r="G6" s="4">
        <f t="shared" si="2"/>
        <v>2.1889510529607913E-3</v>
      </c>
      <c r="H6" s="4">
        <f t="shared" si="2"/>
        <v>2.1889510529607913E-3</v>
      </c>
      <c r="I6" s="4">
        <f t="shared" si="2"/>
        <v>2.1889510529607913E-3</v>
      </c>
      <c r="J6" s="4">
        <f t="shared" si="2"/>
        <v>2.1889510529607913E-3</v>
      </c>
      <c r="K6" s="4">
        <f t="shared" si="2"/>
        <v>2.1889510529607913E-3</v>
      </c>
      <c r="L6" s="4">
        <f t="shared" ref="L6:AP6" si="6">K6</f>
        <v>2.1889510529607913E-3</v>
      </c>
      <c r="M6" s="4">
        <f t="shared" si="6"/>
        <v>2.1889510529607913E-3</v>
      </c>
      <c r="N6" s="4">
        <f t="shared" si="6"/>
        <v>2.1889510529607913E-3</v>
      </c>
      <c r="O6" s="4">
        <f t="shared" si="6"/>
        <v>2.1889510529607913E-3</v>
      </c>
      <c r="P6" s="4">
        <f t="shared" si="6"/>
        <v>2.1889510529607913E-3</v>
      </c>
      <c r="Q6" s="4">
        <f t="shared" si="6"/>
        <v>2.1889510529607913E-3</v>
      </c>
      <c r="R6" s="4">
        <f t="shared" si="6"/>
        <v>2.1889510529607913E-3</v>
      </c>
      <c r="S6" s="4">
        <f t="shared" si="6"/>
        <v>2.1889510529607913E-3</v>
      </c>
      <c r="T6" s="4">
        <f t="shared" si="6"/>
        <v>2.1889510529607913E-3</v>
      </c>
      <c r="U6" s="4">
        <f t="shared" si="6"/>
        <v>2.1889510529607913E-3</v>
      </c>
      <c r="V6" s="4">
        <f t="shared" si="6"/>
        <v>2.1889510529607913E-3</v>
      </c>
      <c r="W6" s="4">
        <f t="shared" si="6"/>
        <v>2.1889510529607913E-3</v>
      </c>
      <c r="X6" s="4">
        <f t="shared" si="6"/>
        <v>2.1889510529607913E-3</v>
      </c>
      <c r="Y6" s="4">
        <f t="shared" si="6"/>
        <v>2.1889510529607913E-3</v>
      </c>
      <c r="Z6" s="4">
        <f t="shared" si="6"/>
        <v>2.1889510529607913E-3</v>
      </c>
      <c r="AA6" s="4">
        <f t="shared" si="6"/>
        <v>2.1889510529607913E-3</v>
      </c>
      <c r="AB6" s="4">
        <f t="shared" si="6"/>
        <v>2.1889510529607913E-3</v>
      </c>
      <c r="AC6" s="4">
        <f t="shared" si="6"/>
        <v>2.1889510529607913E-3</v>
      </c>
      <c r="AD6" s="4">
        <f t="shared" si="6"/>
        <v>2.1889510529607913E-3</v>
      </c>
      <c r="AE6" s="4">
        <f t="shared" si="6"/>
        <v>2.1889510529607913E-3</v>
      </c>
      <c r="AF6" s="4">
        <f t="shared" si="6"/>
        <v>2.1889510529607913E-3</v>
      </c>
      <c r="AG6" s="4">
        <f t="shared" si="6"/>
        <v>2.1889510529607913E-3</v>
      </c>
      <c r="AH6" s="4">
        <f t="shared" si="6"/>
        <v>2.1889510529607913E-3</v>
      </c>
      <c r="AI6" s="4">
        <f t="shared" si="6"/>
        <v>2.1889510529607913E-3</v>
      </c>
      <c r="AJ6" s="4">
        <f t="shared" si="6"/>
        <v>2.1889510529607913E-3</v>
      </c>
      <c r="AK6" s="4">
        <f t="shared" si="6"/>
        <v>2.1889510529607913E-3</v>
      </c>
      <c r="AL6" s="4">
        <f t="shared" si="6"/>
        <v>2.1889510529607913E-3</v>
      </c>
      <c r="AM6" s="4">
        <f t="shared" si="6"/>
        <v>2.1889510529607913E-3</v>
      </c>
      <c r="AN6" s="4">
        <f t="shared" si="6"/>
        <v>2.1889510529607913E-3</v>
      </c>
      <c r="AO6" s="4">
        <f t="shared" si="6"/>
        <v>2.1889510529607913E-3</v>
      </c>
      <c r="AP6" s="4">
        <f t="shared" si="6"/>
        <v>2.1889510529607913E-3</v>
      </c>
    </row>
    <row r="7" spans="1:42">
      <c r="A7" t="s">
        <v>853</v>
      </c>
      <c r="B7" s="4">
        <f>'SYFAFE-passenger'!L6*'Calculations Etc'!$B$9*'AEO 49'!$G$202/'AEO 49'!$G$131</f>
        <v>9.9117357089409863E-4</v>
      </c>
      <c r="C7" s="4">
        <f t="shared" si="2"/>
        <v>9.9117357089409863E-4</v>
      </c>
      <c r="D7" s="4">
        <f t="shared" si="2"/>
        <v>9.9117357089409863E-4</v>
      </c>
      <c r="E7" s="4">
        <f t="shared" si="2"/>
        <v>9.9117357089409863E-4</v>
      </c>
      <c r="F7" s="4">
        <f t="shared" si="2"/>
        <v>9.9117357089409863E-4</v>
      </c>
      <c r="G7" s="4">
        <f t="shared" si="2"/>
        <v>9.9117357089409863E-4</v>
      </c>
      <c r="H7" s="4">
        <f t="shared" si="2"/>
        <v>9.9117357089409863E-4</v>
      </c>
      <c r="I7" s="4">
        <f t="shared" si="2"/>
        <v>9.9117357089409863E-4</v>
      </c>
      <c r="J7" s="4">
        <f t="shared" si="2"/>
        <v>9.9117357089409863E-4</v>
      </c>
      <c r="K7" s="4">
        <f t="shared" si="2"/>
        <v>9.9117357089409863E-4</v>
      </c>
      <c r="L7" s="4">
        <f t="shared" ref="L7:AP7" si="7">K7</f>
        <v>9.9117357089409863E-4</v>
      </c>
      <c r="M7" s="4">
        <f t="shared" si="7"/>
        <v>9.9117357089409863E-4</v>
      </c>
      <c r="N7" s="4">
        <f t="shared" si="7"/>
        <v>9.9117357089409863E-4</v>
      </c>
      <c r="O7" s="4">
        <f t="shared" si="7"/>
        <v>9.9117357089409863E-4</v>
      </c>
      <c r="P7" s="4">
        <f t="shared" si="7"/>
        <v>9.9117357089409863E-4</v>
      </c>
      <c r="Q7" s="4">
        <f t="shared" si="7"/>
        <v>9.9117357089409863E-4</v>
      </c>
      <c r="R7" s="4">
        <f t="shared" si="7"/>
        <v>9.9117357089409863E-4</v>
      </c>
      <c r="S7" s="4">
        <f t="shared" si="7"/>
        <v>9.9117357089409863E-4</v>
      </c>
      <c r="T7" s="4">
        <f t="shared" si="7"/>
        <v>9.9117357089409863E-4</v>
      </c>
      <c r="U7" s="4">
        <f t="shared" si="7"/>
        <v>9.9117357089409863E-4</v>
      </c>
      <c r="V7" s="4">
        <f t="shared" si="7"/>
        <v>9.9117357089409863E-4</v>
      </c>
      <c r="W7" s="4">
        <f t="shared" si="7"/>
        <v>9.9117357089409863E-4</v>
      </c>
      <c r="X7" s="4">
        <f t="shared" si="7"/>
        <v>9.9117357089409863E-4</v>
      </c>
      <c r="Y7" s="4">
        <f t="shared" si="7"/>
        <v>9.9117357089409863E-4</v>
      </c>
      <c r="Z7" s="4">
        <f t="shared" si="7"/>
        <v>9.9117357089409863E-4</v>
      </c>
      <c r="AA7" s="4">
        <f t="shared" si="7"/>
        <v>9.9117357089409863E-4</v>
      </c>
      <c r="AB7" s="4">
        <f t="shared" si="7"/>
        <v>9.9117357089409863E-4</v>
      </c>
      <c r="AC7" s="4">
        <f t="shared" si="7"/>
        <v>9.9117357089409863E-4</v>
      </c>
      <c r="AD7" s="4">
        <f t="shared" si="7"/>
        <v>9.9117357089409863E-4</v>
      </c>
      <c r="AE7" s="4">
        <f t="shared" si="7"/>
        <v>9.9117357089409863E-4</v>
      </c>
      <c r="AF7" s="4">
        <f t="shared" si="7"/>
        <v>9.9117357089409863E-4</v>
      </c>
      <c r="AG7" s="4">
        <f t="shared" si="7"/>
        <v>9.9117357089409863E-4</v>
      </c>
      <c r="AH7" s="4">
        <f t="shared" si="7"/>
        <v>9.9117357089409863E-4</v>
      </c>
      <c r="AI7" s="4">
        <f t="shared" si="7"/>
        <v>9.9117357089409863E-4</v>
      </c>
      <c r="AJ7" s="4">
        <f t="shared" si="7"/>
        <v>9.9117357089409863E-4</v>
      </c>
      <c r="AK7" s="4">
        <f t="shared" si="7"/>
        <v>9.9117357089409863E-4</v>
      </c>
      <c r="AL7" s="4">
        <f t="shared" si="7"/>
        <v>9.9117357089409863E-4</v>
      </c>
      <c r="AM7" s="4">
        <f t="shared" si="7"/>
        <v>9.9117357089409863E-4</v>
      </c>
      <c r="AN7" s="4">
        <f t="shared" si="7"/>
        <v>9.9117357089409863E-4</v>
      </c>
      <c r="AO7" s="4">
        <f t="shared" si="7"/>
        <v>9.9117357089409863E-4</v>
      </c>
      <c r="AP7" s="4">
        <f t="shared" si="7"/>
        <v>9.9117357089409863E-4</v>
      </c>
    </row>
    <row r="8" spans="1:42">
      <c r="A8" t="s">
        <v>854</v>
      </c>
      <c r="B8" s="4">
        <f>'SYFAFE-passenger'!L7*'Calculations Etc'!$B$9*'AEO 49'!$G$202/'AEO 49'!$G$131</f>
        <v>1.615564059888393E-3</v>
      </c>
      <c r="C8" s="4">
        <f>B8</f>
        <v>1.615564059888393E-3</v>
      </c>
      <c r="D8" s="4">
        <f t="shared" ref="D8:K8" si="8">C8</f>
        <v>1.615564059888393E-3</v>
      </c>
      <c r="E8" s="4">
        <f t="shared" si="8"/>
        <v>1.615564059888393E-3</v>
      </c>
      <c r="F8" s="4">
        <f t="shared" si="8"/>
        <v>1.615564059888393E-3</v>
      </c>
      <c r="G8" s="4">
        <f t="shared" si="8"/>
        <v>1.615564059888393E-3</v>
      </c>
      <c r="H8" s="4">
        <f t="shared" si="8"/>
        <v>1.615564059888393E-3</v>
      </c>
      <c r="I8" s="4">
        <f t="shared" si="8"/>
        <v>1.615564059888393E-3</v>
      </c>
      <c r="J8" s="4">
        <f t="shared" si="8"/>
        <v>1.615564059888393E-3</v>
      </c>
      <c r="K8" s="4">
        <f t="shared" si="8"/>
        <v>1.615564059888393E-3</v>
      </c>
      <c r="L8" s="4">
        <f t="shared" ref="L8:AP8" si="9">K8</f>
        <v>1.615564059888393E-3</v>
      </c>
      <c r="M8" s="4">
        <f t="shared" si="9"/>
        <v>1.615564059888393E-3</v>
      </c>
      <c r="N8" s="4">
        <f t="shared" si="9"/>
        <v>1.615564059888393E-3</v>
      </c>
      <c r="O8" s="4">
        <f t="shared" si="9"/>
        <v>1.615564059888393E-3</v>
      </c>
      <c r="P8" s="4">
        <f t="shared" si="9"/>
        <v>1.615564059888393E-3</v>
      </c>
      <c r="Q8" s="4">
        <f t="shared" si="9"/>
        <v>1.615564059888393E-3</v>
      </c>
      <c r="R8" s="4">
        <f t="shared" si="9"/>
        <v>1.615564059888393E-3</v>
      </c>
      <c r="S8" s="4">
        <f t="shared" si="9"/>
        <v>1.615564059888393E-3</v>
      </c>
      <c r="T8" s="4">
        <f t="shared" si="9"/>
        <v>1.615564059888393E-3</v>
      </c>
      <c r="U8" s="4">
        <f t="shared" si="9"/>
        <v>1.615564059888393E-3</v>
      </c>
      <c r="V8" s="4">
        <f t="shared" si="9"/>
        <v>1.615564059888393E-3</v>
      </c>
      <c r="W8" s="4">
        <f t="shared" si="9"/>
        <v>1.615564059888393E-3</v>
      </c>
      <c r="X8" s="4">
        <f t="shared" si="9"/>
        <v>1.615564059888393E-3</v>
      </c>
      <c r="Y8" s="4">
        <f t="shared" si="9"/>
        <v>1.615564059888393E-3</v>
      </c>
      <c r="Z8" s="4">
        <f t="shared" si="9"/>
        <v>1.615564059888393E-3</v>
      </c>
      <c r="AA8" s="4">
        <f t="shared" si="9"/>
        <v>1.615564059888393E-3</v>
      </c>
      <c r="AB8" s="4">
        <f t="shared" si="9"/>
        <v>1.615564059888393E-3</v>
      </c>
      <c r="AC8" s="4">
        <f t="shared" si="9"/>
        <v>1.615564059888393E-3</v>
      </c>
      <c r="AD8" s="4">
        <f t="shared" si="9"/>
        <v>1.615564059888393E-3</v>
      </c>
      <c r="AE8" s="4">
        <f t="shared" si="9"/>
        <v>1.615564059888393E-3</v>
      </c>
      <c r="AF8" s="4">
        <f t="shared" si="9"/>
        <v>1.615564059888393E-3</v>
      </c>
      <c r="AG8" s="4">
        <f t="shared" si="9"/>
        <v>1.615564059888393E-3</v>
      </c>
      <c r="AH8" s="4">
        <f t="shared" si="9"/>
        <v>1.615564059888393E-3</v>
      </c>
      <c r="AI8" s="4">
        <f t="shared" si="9"/>
        <v>1.615564059888393E-3</v>
      </c>
      <c r="AJ8" s="4">
        <f t="shared" si="9"/>
        <v>1.615564059888393E-3</v>
      </c>
      <c r="AK8" s="4">
        <f t="shared" si="9"/>
        <v>1.615564059888393E-3</v>
      </c>
      <c r="AL8" s="4">
        <f t="shared" si="9"/>
        <v>1.615564059888393E-3</v>
      </c>
      <c r="AM8" s="4">
        <f t="shared" si="9"/>
        <v>1.615564059888393E-3</v>
      </c>
      <c r="AN8" s="4">
        <f t="shared" si="9"/>
        <v>1.615564059888393E-3</v>
      </c>
      <c r="AO8" s="4">
        <f t="shared" si="9"/>
        <v>1.615564059888393E-3</v>
      </c>
      <c r="AP8" s="4">
        <f t="shared" si="9"/>
        <v>1.615564059888393E-3</v>
      </c>
    </row>
  </sheetData>
  <phoneticPr fontId="59"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P8"/>
  <sheetViews>
    <sheetView topLeftCell="AB1" workbookViewId="0">
      <selection activeCell="AE1" sqref="AE1:AP8"/>
    </sheetView>
  </sheetViews>
  <sheetFormatPr defaultRowHeight="12.9"/>
  <cols>
    <col min="1" max="1" width="31.125" customWidth="1"/>
    <col min="3" max="3" width="9.5" bestFit="1" customWidth="1"/>
  </cols>
  <sheetData>
    <row r="1" spans="1:42">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112</v>
      </c>
      <c r="B2" s="4">
        <f>INDEX('AEO 49'!$197:$197,MATCH('BNVFE-HDVs-frgt'!B1,'AEO 49'!1:1,0))*'Calculations Etc'!$B$25/'Calculations Etc'!$B$29</f>
        <v>1.0008488993658489E-3</v>
      </c>
      <c r="C2" s="4">
        <f>B2</f>
        <v>1.0008488993658489E-3</v>
      </c>
      <c r="D2" s="4">
        <f t="shared" ref="D2:AF8" si="0">C2</f>
        <v>1.0008488993658489E-3</v>
      </c>
      <c r="E2" s="4">
        <f t="shared" si="0"/>
        <v>1.0008488993658489E-3</v>
      </c>
      <c r="F2" s="4">
        <f t="shared" si="0"/>
        <v>1.0008488993658489E-3</v>
      </c>
      <c r="G2" s="4">
        <f t="shared" si="0"/>
        <v>1.0008488993658489E-3</v>
      </c>
      <c r="H2" s="4">
        <f t="shared" si="0"/>
        <v>1.0008488993658489E-3</v>
      </c>
      <c r="I2" s="4">
        <f t="shared" si="0"/>
        <v>1.0008488993658489E-3</v>
      </c>
      <c r="J2" s="4">
        <f t="shared" si="0"/>
        <v>1.0008488993658489E-3</v>
      </c>
      <c r="K2" s="4">
        <f t="shared" si="0"/>
        <v>1.0008488993658489E-3</v>
      </c>
      <c r="L2" s="4">
        <f t="shared" si="0"/>
        <v>1.0008488993658489E-3</v>
      </c>
      <c r="M2" s="4">
        <f t="shared" si="0"/>
        <v>1.0008488993658489E-3</v>
      </c>
      <c r="N2" s="4">
        <f t="shared" si="0"/>
        <v>1.0008488993658489E-3</v>
      </c>
      <c r="O2" s="4">
        <f t="shared" si="0"/>
        <v>1.0008488993658489E-3</v>
      </c>
      <c r="P2" s="4">
        <f t="shared" si="0"/>
        <v>1.0008488993658489E-3</v>
      </c>
      <c r="Q2" s="4">
        <f t="shared" si="0"/>
        <v>1.0008488993658489E-3</v>
      </c>
      <c r="R2" s="4">
        <f t="shared" si="0"/>
        <v>1.0008488993658489E-3</v>
      </c>
      <c r="S2" s="4">
        <f t="shared" si="0"/>
        <v>1.0008488993658489E-3</v>
      </c>
      <c r="T2" s="4">
        <f t="shared" si="0"/>
        <v>1.0008488993658489E-3</v>
      </c>
      <c r="U2" s="4">
        <f t="shared" si="0"/>
        <v>1.0008488993658489E-3</v>
      </c>
      <c r="V2" s="4">
        <f t="shared" si="0"/>
        <v>1.0008488993658489E-3</v>
      </c>
      <c r="W2" s="4">
        <f t="shared" si="0"/>
        <v>1.0008488993658489E-3</v>
      </c>
      <c r="X2" s="4">
        <f t="shared" si="0"/>
        <v>1.0008488993658489E-3</v>
      </c>
      <c r="Y2" s="4">
        <f t="shared" si="0"/>
        <v>1.0008488993658489E-3</v>
      </c>
      <c r="Z2" s="4">
        <f t="shared" si="0"/>
        <v>1.0008488993658489E-3</v>
      </c>
      <c r="AA2" s="4">
        <f t="shared" si="0"/>
        <v>1.0008488993658489E-3</v>
      </c>
      <c r="AB2" s="4">
        <f t="shared" si="0"/>
        <v>1.0008488993658489E-3</v>
      </c>
      <c r="AC2" s="4">
        <f t="shared" si="0"/>
        <v>1.0008488993658489E-3</v>
      </c>
      <c r="AD2" s="4">
        <f t="shared" si="0"/>
        <v>1.0008488993658489E-3</v>
      </c>
      <c r="AE2" s="4">
        <f t="shared" si="0"/>
        <v>1.0008488993658489E-3</v>
      </c>
      <c r="AF2" s="4">
        <f t="shared" si="0"/>
        <v>1.0008488993658489E-3</v>
      </c>
      <c r="AG2" s="4">
        <f t="shared" ref="AG2:AP2" si="1">AF2</f>
        <v>1.0008488993658489E-3</v>
      </c>
      <c r="AH2" s="4">
        <f t="shared" si="1"/>
        <v>1.0008488993658489E-3</v>
      </c>
      <c r="AI2" s="4">
        <f t="shared" si="1"/>
        <v>1.0008488993658489E-3</v>
      </c>
      <c r="AJ2" s="4">
        <f t="shared" si="1"/>
        <v>1.0008488993658489E-3</v>
      </c>
      <c r="AK2" s="4">
        <f t="shared" si="1"/>
        <v>1.0008488993658489E-3</v>
      </c>
      <c r="AL2" s="4">
        <f t="shared" si="1"/>
        <v>1.0008488993658489E-3</v>
      </c>
      <c r="AM2" s="4">
        <f t="shared" si="1"/>
        <v>1.0008488993658489E-3</v>
      </c>
      <c r="AN2" s="4">
        <f t="shared" si="1"/>
        <v>1.0008488993658489E-3</v>
      </c>
      <c r="AO2" s="4">
        <f t="shared" si="1"/>
        <v>1.0008488993658489E-3</v>
      </c>
      <c r="AP2" s="4">
        <f t="shared" si="1"/>
        <v>1.0008488993658489E-3</v>
      </c>
    </row>
    <row r="3" spans="1:42">
      <c r="A3" t="s">
        <v>113</v>
      </c>
      <c r="B3" s="4">
        <f>INDEX('SYFAFE-freight'!$B$3:$H$3,MATCH($A3,'SYFAFE-freight'!$B$1:$H$1,0))*'AEO 49'!H$201/'AEO 49 (2020)'!$F$201*('AEO 49'!$G$201/'AEO 49'!$G$130)</f>
        <v>4.9961543882058763E-4</v>
      </c>
      <c r="C3" s="4">
        <f>B3</f>
        <v>4.9961543882058763E-4</v>
      </c>
      <c r="D3" s="4">
        <f>C3</f>
        <v>4.9961543882058763E-4</v>
      </c>
      <c r="E3" s="4">
        <f>D3</f>
        <v>4.9961543882058763E-4</v>
      </c>
      <c r="F3" s="4">
        <f>E3</f>
        <v>4.9961543882058763E-4</v>
      </c>
      <c r="G3" s="4">
        <f>F3</f>
        <v>4.9961543882058763E-4</v>
      </c>
      <c r="H3" s="4">
        <f>G3</f>
        <v>4.9961543882058763E-4</v>
      </c>
      <c r="I3" s="4">
        <f>H3</f>
        <v>4.9961543882058763E-4</v>
      </c>
      <c r="J3" s="4">
        <f>I3</f>
        <v>4.9961543882058763E-4</v>
      </c>
      <c r="K3" s="4">
        <f>J3</f>
        <v>4.9961543882058763E-4</v>
      </c>
      <c r="L3" s="4">
        <f>K3</f>
        <v>4.9961543882058763E-4</v>
      </c>
      <c r="M3" s="4">
        <f>L3</f>
        <v>4.9961543882058763E-4</v>
      </c>
      <c r="N3" s="4">
        <f>M3</f>
        <v>4.9961543882058763E-4</v>
      </c>
      <c r="O3" s="4">
        <f>N3</f>
        <v>4.9961543882058763E-4</v>
      </c>
      <c r="P3" s="4">
        <f>O3</f>
        <v>4.9961543882058763E-4</v>
      </c>
      <c r="Q3" s="4">
        <f>P3</f>
        <v>4.9961543882058763E-4</v>
      </c>
      <c r="R3" s="4">
        <f>Q3</f>
        <v>4.9961543882058763E-4</v>
      </c>
      <c r="S3" s="4">
        <f t="shared" si="0"/>
        <v>4.9961543882058763E-4</v>
      </c>
      <c r="T3" s="4">
        <f t="shared" si="0"/>
        <v>4.9961543882058763E-4</v>
      </c>
      <c r="U3" s="4">
        <f t="shared" si="0"/>
        <v>4.9961543882058763E-4</v>
      </c>
      <c r="V3" s="4">
        <f t="shared" si="0"/>
        <v>4.9961543882058763E-4</v>
      </c>
      <c r="W3" s="4">
        <f t="shared" si="0"/>
        <v>4.9961543882058763E-4</v>
      </c>
      <c r="X3" s="4">
        <f t="shared" si="0"/>
        <v>4.9961543882058763E-4</v>
      </c>
      <c r="Y3" s="4">
        <f t="shared" si="0"/>
        <v>4.9961543882058763E-4</v>
      </c>
      <c r="Z3" s="4">
        <f t="shared" si="0"/>
        <v>4.9961543882058763E-4</v>
      </c>
      <c r="AA3" s="4">
        <f t="shared" si="0"/>
        <v>4.9961543882058763E-4</v>
      </c>
      <c r="AB3" s="4">
        <f t="shared" si="0"/>
        <v>4.9961543882058763E-4</v>
      </c>
      <c r="AC3" s="4">
        <f t="shared" si="0"/>
        <v>4.9961543882058763E-4</v>
      </c>
      <c r="AD3" s="4">
        <f t="shared" si="0"/>
        <v>4.9961543882058763E-4</v>
      </c>
      <c r="AE3" s="4">
        <f t="shared" si="0"/>
        <v>4.9961543882058763E-4</v>
      </c>
      <c r="AF3" s="4">
        <f t="shared" si="0"/>
        <v>4.9961543882058763E-4</v>
      </c>
      <c r="AG3" s="4">
        <f t="shared" ref="AG3:AP3" si="2">AF3</f>
        <v>4.9961543882058763E-4</v>
      </c>
      <c r="AH3" s="4">
        <f t="shared" si="2"/>
        <v>4.9961543882058763E-4</v>
      </c>
      <c r="AI3" s="4">
        <f t="shared" si="2"/>
        <v>4.9961543882058763E-4</v>
      </c>
      <c r="AJ3" s="4">
        <f t="shared" si="2"/>
        <v>4.9961543882058763E-4</v>
      </c>
      <c r="AK3" s="4">
        <f t="shared" si="2"/>
        <v>4.9961543882058763E-4</v>
      </c>
      <c r="AL3" s="4">
        <f t="shared" si="2"/>
        <v>4.9961543882058763E-4</v>
      </c>
      <c r="AM3" s="4">
        <f t="shared" si="2"/>
        <v>4.9961543882058763E-4</v>
      </c>
      <c r="AN3" s="4">
        <f t="shared" si="2"/>
        <v>4.9961543882058763E-4</v>
      </c>
      <c r="AO3" s="4">
        <f t="shared" si="2"/>
        <v>4.9961543882058763E-4</v>
      </c>
      <c r="AP3" s="4">
        <f t="shared" si="2"/>
        <v>4.9961543882058763E-4</v>
      </c>
    </row>
    <row r="4" spans="1:42">
      <c r="A4" t="s">
        <v>114</v>
      </c>
      <c r="B4" s="4">
        <f>INDEX('SYFAFE-freight'!$B$3:$H$3,MATCH($A4,'SYFAFE-freight'!$B$1:$H$1,0))*'AEO 49'!H$201/'AEO 49 (2020)'!$F$201*('AEO 49'!$G$201/'AEO 49'!$G$130)</f>
        <v>7.1576826677045109E-3</v>
      </c>
      <c r="C4" s="4">
        <f>B4</f>
        <v>7.1576826677045109E-3</v>
      </c>
      <c r="D4" s="4">
        <f t="shared" si="0"/>
        <v>7.1576826677045109E-3</v>
      </c>
      <c r="E4" s="4">
        <f t="shared" si="0"/>
        <v>7.1576826677045109E-3</v>
      </c>
      <c r="F4" s="4">
        <f t="shared" si="0"/>
        <v>7.1576826677045109E-3</v>
      </c>
      <c r="G4" s="4">
        <f t="shared" si="0"/>
        <v>7.1576826677045109E-3</v>
      </c>
      <c r="H4" s="4">
        <f t="shared" si="0"/>
        <v>7.1576826677045109E-3</v>
      </c>
      <c r="I4" s="4">
        <f t="shared" si="0"/>
        <v>7.1576826677045109E-3</v>
      </c>
      <c r="J4" s="4">
        <f t="shared" si="0"/>
        <v>7.1576826677045109E-3</v>
      </c>
      <c r="K4" s="4">
        <f t="shared" si="0"/>
        <v>7.1576826677045109E-3</v>
      </c>
      <c r="L4" s="4">
        <f t="shared" si="0"/>
        <v>7.1576826677045109E-3</v>
      </c>
      <c r="M4" s="4">
        <f t="shared" si="0"/>
        <v>7.1576826677045109E-3</v>
      </c>
      <c r="N4" s="4">
        <f t="shared" si="0"/>
        <v>7.1576826677045109E-3</v>
      </c>
      <c r="O4" s="4">
        <f t="shared" si="0"/>
        <v>7.1576826677045109E-3</v>
      </c>
      <c r="P4" s="4">
        <f t="shared" si="0"/>
        <v>7.1576826677045109E-3</v>
      </c>
      <c r="Q4" s="4">
        <f t="shared" si="0"/>
        <v>7.1576826677045109E-3</v>
      </c>
      <c r="R4" s="4">
        <f t="shared" si="0"/>
        <v>7.1576826677045109E-3</v>
      </c>
      <c r="S4" s="4">
        <f t="shared" si="0"/>
        <v>7.1576826677045109E-3</v>
      </c>
      <c r="T4" s="4">
        <f t="shared" si="0"/>
        <v>7.1576826677045109E-3</v>
      </c>
      <c r="U4" s="4">
        <f t="shared" si="0"/>
        <v>7.1576826677045109E-3</v>
      </c>
      <c r="V4" s="4">
        <f t="shared" si="0"/>
        <v>7.1576826677045109E-3</v>
      </c>
      <c r="W4" s="4">
        <f t="shared" si="0"/>
        <v>7.1576826677045109E-3</v>
      </c>
      <c r="X4" s="4">
        <f t="shared" si="0"/>
        <v>7.1576826677045109E-3</v>
      </c>
      <c r="Y4" s="4">
        <f t="shared" si="0"/>
        <v>7.1576826677045109E-3</v>
      </c>
      <c r="Z4" s="4">
        <f t="shared" si="0"/>
        <v>7.1576826677045109E-3</v>
      </c>
      <c r="AA4" s="4">
        <f t="shared" si="0"/>
        <v>7.1576826677045109E-3</v>
      </c>
      <c r="AB4" s="4">
        <f t="shared" si="0"/>
        <v>7.1576826677045109E-3</v>
      </c>
      <c r="AC4" s="4">
        <f t="shared" si="0"/>
        <v>7.1576826677045109E-3</v>
      </c>
      <c r="AD4" s="4">
        <f t="shared" si="0"/>
        <v>7.1576826677045109E-3</v>
      </c>
      <c r="AE4" s="4">
        <f t="shared" si="0"/>
        <v>7.1576826677045109E-3</v>
      </c>
      <c r="AF4" s="4">
        <f t="shared" si="0"/>
        <v>7.1576826677045109E-3</v>
      </c>
      <c r="AG4" s="4">
        <f t="shared" ref="AG4:AP4" si="3">AF4</f>
        <v>7.1576826677045109E-3</v>
      </c>
      <c r="AH4" s="4">
        <f t="shared" si="3"/>
        <v>7.1576826677045109E-3</v>
      </c>
      <c r="AI4" s="4">
        <f t="shared" si="3"/>
        <v>7.1576826677045109E-3</v>
      </c>
      <c r="AJ4" s="4">
        <f t="shared" si="3"/>
        <v>7.1576826677045109E-3</v>
      </c>
      <c r="AK4" s="4">
        <f t="shared" si="3"/>
        <v>7.1576826677045109E-3</v>
      </c>
      <c r="AL4" s="4">
        <f t="shared" si="3"/>
        <v>7.1576826677045109E-3</v>
      </c>
      <c r="AM4" s="4">
        <f t="shared" si="3"/>
        <v>7.1576826677045109E-3</v>
      </c>
      <c r="AN4" s="4">
        <f t="shared" si="3"/>
        <v>7.1576826677045109E-3</v>
      </c>
      <c r="AO4" s="4">
        <f t="shared" si="3"/>
        <v>7.1576826677045109E-3</v>
      </c>
      <c r="AP4" s="4">
        <f t="shared" si="3"/>
        <v>7.1576826677045109E-3</v>
      </c>
    </row>
    <row r="5" spans="1:42">
      <c r="A5" t="s">
        <v>115</v>
      </c>
      <c r="B5" s="4">
        <f>INDEX('SYFAFE-freight'!$B$3:$H$3,MATCH($A5,'SYFAFE-freight'!$B$1:$H$1,0))*'AEO 49'!H$201/'AEO 49 (2020)'!$F$201*('AEO 49'!$G$201/'AEO 49'!$G$130)</f>
        <v>7.2928093510090471E-4</v>
      </c>
      <c r="C5" s="4">
        <f>B5</f>
        <v>7.2928093510090471E-4</v>
      </c>
      <c r="D5" s="4">
        <f t="shared" si="0"/>
        <v>7.2928093510090471E-4</v>
      </c>
      <c r="E5" s="4">
        <f t="shared" si="0"/>
        <v>7.2928093510090471E-4</v>
      </c>
      <c r="F5" s="4">
        <f t="shared" si="0"/>
        <v>7.2928093510090471E-4</v>
      </c>
      <c r="G5" s="4">
        <f t="shared" si="0"/>
        <v>7.2928093510090471E-4</v>
      </c>
      <c r="H5" s="4">
        <f t="shared" si="0"/>
        <v>7.2928093510090471E-4</v>
      </c>
      <c r="I5" s="4">
        <f t="shared" si="0"/>
        <v>7.2928093510090471E-4</v>
      </c>
      <c r="J5" s="4">
        <f t="shared" si="0"/>
        <v>7.2928093510090471E-4</v>
      </c>
      <c r="K5" s="4">
        <f t="shared" si="0"/>
        <v>7.2928093510090471E-4</v>
      </c>
      <c r="L5" s="4">
        <f t="shared" si="0"/>
        <v>7.2928093510090471E-4</v>
      </c>
      <c r="M5" s="4">
        <f t="shared" si="0"/>
        <v>7.2928093510090471E-4</v>
      </c>
      <c r="N5" s="4">
        <f t="shared" si="0"/>
        <v>7.2928093510090471E-4</v>
      </c>
      <c r="O5" s="4">
        <f t="shared" si="0"/>
        <v>7.2928093510090471E-4</v>
      </c>
      <c r="P5" s="4">
        <f t="shared" si="0"/>
        <v>7.2928093510090471E-4</v>
      </c>
      <c r="Q5" s="4">
        <f t="shared" si="0"/>
        <v>7.2928093510090471E-4</v>
      </c>
      <c r="R5" s="4">
        <f t="shared" si="0"/>
        <v>7.2928093510090471E-4</v>
      </c>
      <c r="S5" s="4">
        <f t="shared" si="0"/>
        <v>7.2928093510090471E-4</v>
      </c>
      <c r="T5" s="4">
        <f t="shared" si="0"/>
        <v>7.2928093510090471E-4</v>
      </c>
      <c r="U5" s="4">
        <f t="shared" si="0"/>
        <v>7.2928093510090471E-4</v>
      </c>
      <c r="V5" s="4">
        <f t="shared" si="0"/>
        <v>7.2928093510090471E-4</v>
      </c>
      <c r="W5" s="4">
        <f t="shared" si="0"/>
        <v>7.2928093510090471E-4</v>
      </c>
      <c r="X5" s="4">
        <f t="shared" si="0"/>
        <v>7.2928093510090471E-4</v>
      </c>
      <c r="Y5" s="4">
        <f t="shared" si="0"/>
        <v>7.2928093510090471E-4</v>
      </c>
      <c r="Z5" s="4">
        <f t="shared" si="0"/>
        <v>7.2928093510090471E-4</v>
      </c>
      <c r="AA5" s="4">
        <f t="shared" si="0"/>
        <v>7.2928093510090471E-4</v>
      </c>
      <c r="AB5" s="4">
        <f t="shared" si="0"/>
        <v>7.2928093510090471E-4</v>
      </c>
      <c r="AC5" s="4">
        <f t="shared" si="0"/>
        <v>7.2928093510090471E-4</v>
      </c>
      <c r="AD5" s="4">
        <f t="shared" si="0"/>
        <v>7.2928093510090471E-4</v>
      </c>
      <c r="AE5" s="4">
        <f t="shared" si="0"/>
        <v>7.2928093510090471E-4</v>
      </c>
      <c r="AF5" s="4">
        <f t="shared" si="0"/>
        <v>7.2928093510090471E-4</v>
      </c>
      <c r="AG5" s="4">
        <f t="shared" ref="AG5:AP5" si="4">AF5</f>
        <v>7.2928093510090471E-4</v>
      </c>
      <c r="AH5" s="4">
        <f t="shared" si="4"/>
        <v>7.2928093510090471E-4</v>
      </c>
      <c r="AI5" s="4">
        <f t="shared" si="4"/>
        <v>7.2928093510090471E-4</v>
      </c>
      <c r="AJ5" s="4">
        <f t="shared" si="4"/>
        <v>7.2928093510090471E-4</v>
      </c>
      <c r="AK5" s="4">
        <f t="shared" si="4"/>
        <v>7.2928093510090471E-4</v>
      </c>
      <c r="AL5" s="4">
        <f t="shared" si="4"/>
        <v>7.2928093510090471E-4</v>
      </c>
      <c r="AM5" s="4">
        <f t="shared" si="4"/>
        <v>7.2928093510090471E-4</v>
      </c>
      <c r="AN5" s="4">
        <f t="shared" si="4"/>
        <v>7.2928093510090471E-4</v>
      </c>
      <c r="AO5" s="4">
        <f t="shared" si="4"/>
        <v>7.2928093510090471E-4</v>
      </c>
      <c r="AP5" s="4">
        <f t="shared" si="4"/>
        <v>7.2928093510090471E-4</v>
      </c>
    </row>
    <row r="6" spans="1:42">
      <c r="A6" t="s">
        <v>116</v>
      </c>
      <c r="B6" s="4">
        <f>INDEX('SYFAFE-freight'!$B$3:$H$3,MATCH($A6,'SYFAFE-freight'!$B$1:$H$1,0))*'AEO 49'!H$201/'AEO 49 (2020)'!$F$201*('AEO 49'!$G$201/'AEO 49'!$G$130)</f>
        <v>1.1466008681806548E-3</v>
      </c>
      <c r="C6" s="4">
        <f>B6</f>
        <v>1.1466008681806548E-3</v>
      </c>
      <c r="D6" s="4">
        <f t="shared" si="0"/>
        <v>1.1466008681806548E-3</v>
      </c>
      <c r="E6" s="4">
        <f t="shared" si="0"/>
        <v>1.1466008681806548E-3</v>
      </c>
      <c r="F6" s="4">
        <f t="shared" si="0"/>
        <v>1.1466008681806548E-3</v>
      </c>
      <c r="G6" s="4">
        <f t="shared" si="0"/>
        <v>1.1466008681806548E-3</v>
      </c>
      <c r="H6" s="4">
        <f t="shared" si="0"/>
        <v>1.1466008681806548E-3</v>
      </c>
      <c r="I6" s="4">
        <f t="shared" si="0"/>
        <v>1.1466008681806548E-3</v>
      </c>
      <c r="J6" s="4">
        <f t="shared" si="0"/>
        <v>1.1466008681806548E-3</v>
      </c>
      <c r="K6" s="4">
        <f t="shared" si="0"/>
        <v>1.1466008681806548E-3</v>
      </c>
      <c r="L6" s="4">
        <f t="shared" si="0"/>
        <v>1.1466008681806548E-3</v>
      </c>
      <c r="M6" s="4">
        <f t="shared" si="0"/>
        <v>1.1466008681806548E-3</v>
      </c>
      <c r="N6" s="4">
        <f t="shared" si="0"/>
        <v>1.1466008681806548E-3</v>
      </c>
      <c r="O6" s="4">
        <f t="shared" si="0"/>
        <v>1.1466008681806548E-3</v>
      </c>
      <c r="P6" s="4">
        <f t="shared" si="0"/>
        <v>1.1466008681806548E-3</v>
      </c>
      <c r="Q6" s="4">
        <f t="shared" si="0"/>
        <v>1.1466008681806548E-3</v>
      </c>
      <c r="R6" s="4">
        <f t="shared" si="0"/>
        <v>1.1466008681806548E-3</v>
      </c>
      <c r="S6" s="4">
        <f t="shared" si="0"/>
        <v>1.1466008681806548E-3</v>
      </c>
      <c r="T6" s="4">
        <f t="shared" si="0"/>
        <v>1.1466008681806548E-3</v>
      </c>
      <c r="U6" s="4">
        <f t="shared" si="0"/>
        <v>1.1466008681806548E-3</v>
      </c>
      <c r="V6" s="4">
        <f t="shared" si="0"/>
        <v>1.1466008681806548E-3</v>
      </c>
      <c r="W6" s="4">
        <f t="shared" si="0"/>
        <v>1.1466008681806548E-3</v>
      </c>
      <c r="X6" s="4">
        <f t="shared" si="0"/>
        <v>1.1466008681806548E-3</v>
      </c>
      <c r="Y6" s="4">
        <f t="shared" si="0"/>
        <v>1.1466008681806548E-3</v>
      </c>
      <c r="Z6" s="4">
        <f t="shared" si="0"/>
        <v>1.1466008681806548E-3</v>
      </c>
      <c r="AA6" s="4">
        <f t="shared" si="0"/>
        <v>1.1466008681806548E-3</v>
      </c>
      <c r="AB6" s="4">
        <f t="shared" si="0"/>
        <v>1.1466008681806548E-3</v>
      </c>
      <c r="AC6" s="4">
        <f t="shared" si="0"/>
        <v>1.1466008681806548E-3</v>
      </c>
      <c r="AD6" s="4">
        <f t="shared" si="0"/>
        <v>1.1466008681806548E-3</v>
      </c>
      <c r="AE6" s="4">
        <f t="shared" si="0"/>
        <v>1.1466008681806548E-3</v>
      </c>
      <c r="AF6" s="4">
        <f t="shared" si="0"/>
        <v>1.1466008681806548E-3</v>
      </c>
      <c r="AG6" s="4">
        <f t="shared" ref="AG6:AP6" si="5">AF6</f>
        <v>1.1466008681806548E-3</v>
      </c>
      <c r="AH6" s="4">
        <f t="shared" si="5"/>
        <v>1.1466008681806548E-3</v>
      </c>
      <c r="AI6" s="4">
        <f t="shared" si="5"/>
        <v>1.1466008681806548E-3</v>
      </c>
      <c r="AJ6" s="4">
        <f t="shared" si="5"/>
        <v>1.1466008681806548E-3</v>
      </c>
      <c r="AK6" s="4">
        <f t="shared" si="5"/>
        <v>1.1466008681806548E-3</v>
      </c>
      <c r="AL6" s="4">
        <f t="shared" si="5"/>
        <v>1.1466008681806548E-3</v>
      </c>
      <c r="AM6" s="4">
        <f t="shared" si="5"/>
        <v>1.1466008681806548E-3</v>
      </c>
      <c r="AN6" s="4">
        <f t="shared" si="5"/>
        <v>1.1466008681806548E-3</v>
      </c>
      <c r="AO6" s="4">
        <f t="shared" si="5"/>
        <v>1.1466008681806548E-3</v>
      </c>
      <c r="AP6" s="4">
        <f t="shared" si="5"/>
        <v>1.1466008681806548E-3</v>
      </c>
    </row>
    <row r="7" spans="1:42">
      <c r="A7" t="s">
        <v>853</v>
      </c>
      <c r="B7" s="4">
        <f>INDEX('SYFAFE-freight'!$B$3:$H$3,MATCH($A7,'SYFAFE-freight'!$B$1:$H$1,0))*'AEO 49'!H$201/'AEO 49 (2020)'!$F$201*('AEO 49'!$G$201/'AEO 49'!$G$130)</f>
        <v>3.092059196585414E-3</v>
      </c>
      <c r="C7" s="4">
        <f>B7</f>
        <v>3.092059196585414E-3</v>
      </c>
      <c r="D7" s="4">
        <f t="shared" si="0"/>
        <v>3.092059196585414E-3</v>
      </c>
      <c r="E7" s="4">
        <f t="shared" si="0"/>
        <v>3.092059196585414E-3</v>
      </c>
      <c r="F7" s="4">
        <f t="shared" si="0"/>
        <v>3.092059196585414E-3</v>
      </c>
      <c r="G7" s="4">
        <f t="shared" si="0"/>
        <v>3.092059196585414E-3</v>
      </c>
      <c r="H7" s="4">
        <f t="shared" si="0"/>
        <v>3.092059196585414E-3</v>
      </c>
      <c r="I7" s="4">
        <f t="shared" si="0"/>
        <v>3.092059196585414E-3</v>
      </c>
      <c r="J7" s="4">
        <f t="shared" si="0"/>
        <v>3.092059196585414E-3</v>
      </c>
      <c r="K7" s="4">
        <f t="shared" si="0"/>
        <v>3.092059196585414E-3</v>
      </c>
      <c r="L7" s="4">
        <f t="shared" si="0"/>
        <v>3.092059196585414E-3</v>
      </c>
      <c r="M7" s="4">
        <f t="shared" si="0"/>
        <v>3.092059196585414E-3</v>
      </c>
      <c r="N7" s="4">
        <f t="shared" si="0"/>
        <v>3.092059196585414E-3</v>
      </c>
      <c r="O7" s="4">
        <f t="shared" si="0"/>
        <v>3.092059196585414E-3</v>
      </c>
      <c r="P7" s="4">
        <f t="shared" si="0"/>
        <v>3.092059196585414E-3</v>
      </c>
      <c r="Q7" s="4">
        <f t="shared" si="0"/>
        <v>3.092059196585414E-3</v>
      </c>
      <c r="R7" s="4">
        <f t="shared" si="0"/>
        <v>3.092059196585414E-3</v>
      </c>
      <c r="S7" s="4">
        <f t="shared" si="0"/>
        <v>3.092059196585414E-3</v>
      </c>
      <c r="T7" s="4">
        <f t="shared" si="0"/>
        <v>3.092059196585414E-3</v>
      </c>
      <c r="U7" s="4">
        <f t="shared" si="0"/>
        <v>3.092059196585414E-3</v>
      </c>
      <c r="V7" s="4">
        <f t="shared" si="0"/>
        <v>3.092059196585414E-3</v>
      </c>
      <c r="W7" s="4">
        <f t="shared" si="0"/>
        <v>3.092059196585414E-3</v>
      </c>
      <c r="X7" s="4">
        <f t="shared" si="0"/>
        <v>3.092059196585414E-3</v>
      </c>
      <c r="Y7" s="4">
        <f t="shared" si="0"/>
        <v>3.092059196585414E-3</v>
      </c>
      <c r="Z7" s="4">
        <f t="shared" si="0"/>
        <v>3.092059196585414E-3</v>
      </c>
      <c r="AA7" s="4">
        <f t="shared" si="0"/>
        <v>3.092059196585414E-3</v>
      </c>
      <c r="AB7" s="4">
        <f t="shared" si="0"/>
        <v>3.092059196585414E-3</v>
      </c>
      <c r="AC7" s="4">
        <f t="shared" si="0"/>
        <v>3.092059196585414E-3</v>
      </c>
      <c r="AD7" s="4">
        <f t="shared" si="0"/>
        <v>3.092059196585414E-3</v>
      </c>
      <c r="AE7" s="4">
        <f t="shared" si="0"/>
        <v>3.092059196585414E-3</v>
      </c>
      <c r="AF7" s="4">
        <f t="shared" si="0"/>
        <v>3.092059196585414E-3</v>
      </c>
      <c r="AG7" s="4">
        <f t="shared" ref="AG7:AP7" si="6">AF7</f>
        <v>3.092059196585414E-3</v>
      </c>
      <c r="AH7" s="4">
        <f t="shared" si="6"/>
        <v>3.092059196585414E-3</v>
      </c>
      <c r="AI7" s="4">
        <f t="shared" si="6"/>
        <v>3.092059196585414E-3</v>
      </c>
      <c r="AJ7" s="4">
        <f t="shared" si="6"/>
        <v>3.092059196585414E-3</v>
      </c>
      <c r="AK7" s="4">
        <f t="shared" si="6"/>
        <v>3.092059196585414E-3</v>
      </c>
      <c r="AL7" s="4">
        <f t="shared" si="6"/>
        <v>3.092059196585414E-3</v>
      </c>
      <c r="AM7" s="4">
        <f t="shared" si="6"/>
        <v>3.092059196585414E-3</v>
      </c>
      <c r="AN7" s="4">
        <f t="shared" si="6"/>
        <v>3.092059196585414E-3</v>
      </c>
      <c r="AO7" s="4">
        <f t="shared" si="6"/>
        <v>3.092059196585414E-3</v>
      </c>
      <c r="AP7" s="4">
        <f t="shared" si="6"/>
        <v>3.092059196585414E-3</v>
      </c>
    </row>
    <row r="8" spans="1:42">
      <c r="A8" t="s">
        <v>854</v>
      </c>
      <c r="B8" s="4">
        <f>INDEX('SYFAFE-freight'!$B$3:$H$3,MATCH($A8,'SYFAFE-freight'!$B$1:$H$1,0))*'AEO 49'!H$201/'AEO 49 (2020)'!$F$201*('AEO 49'!$G$201/'AEO 49'!$G$130)</f>
        <v>2.9126393532984403E-3</v>
      </c>
      <c r="C8" s="4">
        <f>B8</f>
        <v>2.9126393532984403E-3</v>
      </c>
      <c r="D8" s="4">
        <f t="shared" si="0"/>
        <v>2.9126393532984403E-3</v>
      </c>
      <c r="E8" s="4">
        <f t="shared" si="0"/>
        <v>2.9126393532984403E-3</v>
      </c>
      <c r="F8" s="4">
        <f t="shared" si="0"/>
        <v>2.9126393532984403E-3</v>
      </c>
      <c r="G8" s="4">
        <f t="shared" si="0"/>
        <v>2.9126393532984403E-3</v>
      </c>
      <c r="H8" s="4">
        <f t="shared" si="0"/>
        <v>2.9126393532984403E-3</v>
      </c>
      <c r="I8" s="4">
        <f t="shared" si="0"/>
        <v>2.9126393532984403E-3</v>
      </c>
      <c r="J8" s="4">
        <f t="shared" si="0"/>
        <v>2.9126393532984403E-3</v>
      </c>
      <c r="K8" s="4">
        <f t="shared" si="0"/>
        <v>2.9126393532984403E-3</v>
      </c>
      <c r="L8" s="4">
        <f t="shared" si="0"/>
        <v>2.9126393532984403E-3</v>
      </c>
      <c r="M8" s="4">
        <f t="shared" si="0"/>
        <v>2.9126393532984403E-3</v>
      </c>
      <c r="N8" s="4">
        <f t="shared" si="0"/>
        <v>2.9126393532984403E-3</v>
      </c>
      <c r="O8" s="4">
        <f t="shared" si="0"/>
        <v>2.9126393532984403E-3</v>
      </c>
      <c r="P8" s="4">
        <f t="shared" si="0"/>
        <v>2.9126393532984403E-3</v>
      </c>
      <c r="Q8" s="4">
        <f t="shared" si="0"/>
        <v>2.9126393532984403E-3</v>
      </c>
      <c r="R8" s="4">
        <f t="shared" si="0"/>
        <v>2.9126393532984403E-3</v>
      </c>
      <c r="S8" s="4">
        <f t="shared" si="0"/>
        <v>2.9126393532984403E-3</v>
      </c>
      <c r="T8" s="4">
        <f t="shared" si="0"/>
        <v>2.9126393532984403E-3</v>
      </c>
      <c r="U8" s="4">
        <f t="shared" si="0"/>
        <v>2.9126393532984403E-3</v>
      </c>
      <c r="V8" s="4">
        <f t="shared" si="0"/>
        <v>2.9126393532984403E-3</v>
      </c>
      <c r="W8" s="4">
        <f t="shared" si="0"/>
        <v>2.9126393532984403E-3</v>
      </c>
      <c r="X8" s="4">
        <f t="shared" si="0"/>
        <v>2.9126393532984403E-3</v>
      </c>
      <c r="Y8" s="4">
        <f t="shared" si="0"/>
        <v>2.9126393532984403E-3</v>
      </c>
      <c r="Z8" s="4">
        <f t="shared" si="0"/>
        <v>2.9126393532984403E-3</v>
      </c>
      <c r="AA8" s="4">
        <f t="shared" si="0"/>
        <v>2.9126393532984403E-3</v>
      </c>
      <c r="AB8" s="4">
        <f t="shared" si="0"/>
        <v>2.9126393532984403E-3</v>
      </c>
      <c r="AC8" s="4">
        <f t="shared" si="0"/>
        <v>2.9126393532984403E-3</v>
      </c>
      <c r="AD8" s="4">
        <f t="shared" si="0"/>
        <v>2.9126393532984403E-3</v>
      </c>
      <c r="AE8" s="4">
        <f t="shared" si="0"/>
        <v>2.9126393532984403E-3</v>
      </c>
      <c r="AF8" s="4">
        <f t="shared" si="0"/>
        <v>2.9126393532984403E-3</v>
      </c>
      <c r="AG8" s="4">
        <f t="shared" ref="AG8:AP8" si="7">AF8</f>
        <v>2.9126393532984403E-3</v>
      </c>
      <c r="AH8" s="4">
        <f t="shared" si="7"/>
        <v>2.9126393532984403E-3</v>
      </c>
      <c r="AI8" s="4">
        <f t="shared" si="7"/>
        <v>2.9126393532984403E-3</v>
      </c>
      <c r="AJ8" s="4">
        <f t="shared" si="7"/>
        <v>2.9126393532984403E-3</v>
      </c>
      <c r="AK8" s="4">
        <f t="shared" si="7"/>
        <v>2.9126393532984403E-3</v>
      </c>
      <c r="AL8" s="4">
        <f t="shared" si="7"/>
        <v>2.9126393532984403E-3</v>
      </c>
      <c r="AM8" s="4">
        <f t="shared" si="7"/>
        <v>2.9126393532984403E-3</v>
      </c>
      <c r="AN8" s="4">
        <f t="shared" si="7"/>
        <v>2.9126393532984403E-3</v>
      </c>
      <c r="AO8" s="4">
        <f t="shared" si="7"/>
        <v>2.9126393532984403E-3</v>
      </c>
      <c r="AP8" s="4">
        <f t="shared" si="7"/>
        <v>2.9126393532984403E-3</v>
      </c>
    </row>
  </sheetData>
  <phoneticPr fontId="59"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P8"/>
  <sheetViews>
    <sheetView workbookViewId="0">
      <selection activeCell="C1" sqref="C1:AP8"/>
    </sheetView>
  </sheetViews>
  <sheetFormatPr defaultRowHeight="12.9"/>
  <cols>
    <col min="1" max="1" width="31.125" customWidth="1"/>
    <col min="3" max="3" width="9.5" bestFit="1" customWidth="1"/>
  </cols>
  <sheetData>
    <row r="1" spans="1:42">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112</v>
      </c>
      <c r="B2" s="4">
        <f>B$5/(1-'Calculations Etc'!$B$17)</f>
        <v>1.8152721732299845E-3</v>
      </c>
      <c r="C2" s="4">
        <f>B2</f>
        <v>1.8152721732299845E-3</v>
      </c>
      <c r="D2" s="4">
        <f t="shared" ref="D2:AP2" si="0">C2</f>
        <v>1.8152721732299845E-3</v>
      </c>
      <c r="E2" s="4">
        <f t="shared" si="0"/>
        <v>1.8152721732299845E-3</v>
      </c>
      <c r="F2" s="4">
        <f t="shared" si="0"/>
        <v>1.8152721732299845E-3</v>
      </c>
      <c r="G2" s="4">
        <f t="shared" si="0"/>
        <v>1.8152721732299845E-3</v>
      </c>
      <c r="H2" s="4">
        <f t="shared" si="0"/>
        <v>1.8152721732299845E-3</v>
      </c>
      <c r="I2" s="4">
        <f t="shared" si="0"/>
        <v>1.8152721732299845E-3</v>
      </c>
      <c r="J2" s="4">
        <f t="shared" si="0"/>
        <v>1.8152721732299845E-3</v>
      </c>
      <c r="K2" s="4">
        <f t="shared" si="0"/>
        <v>1.8152721732299845E-3</v>
      </c>
      <c r="L2" s="4">
        <f t="shared" si="0"/>
        <v>1.8152721732299845E-3</v>
      </c>
      <c r="M2" s="4">
        <f t="shared" si="0"/>
        <v>1.8152721732299845E-3</v>
      </c>
      <c r="N2" s="4">
        <f t="shared" si="0"/>
        <v>1.8152721732299845E-3</v>
      </c>
      <c r="O2" s="4">
        <f t="shared" si="0"/>
        <v>1.8152721732299845E-3</v>
      </c>
      <c r="P2" s="4">
        <f t="shared" si="0"/>
        <v>1.8152721732299845E-3</v>
      </c>
      <c r="Q2" s="4">
        <f t="shared" si="0"/>
        <v>1.8152721732299845E-3</v>
      </c>
      <c r="R2" s="4">
        <f t="shared" si="0"/>
        <v>1.8152721732299845E-3</v>
      </c>
      <c r="S2" s="4">
        <f t="shared" si="0"/>
        <v>1.8152721732299845E-3</v>
      </c>
      <c r="T2" s="4">
        <f t="shared" si="0"/>
        <v>1.8152721732299845E-3</v>
      </c>
      <c r="U2" s="4">
        <f t="shared" si="0"/>
        <v>1.8152721732299845E-3</v>
      </c>
      <c r="V2" s="4">
        <f t="shared" si="0"/>
        <v>1.8152721732299845E-3</v>
      </c>
      <c r="W2" s="4">
        <f t="shared" si="0"/>
        <v>1.8152721732299845E-3</v>
      </c>
      <c r="X2" s="4">
        <f t="shared" si="0"/>
        <v>1.8152721732299845E-3</v>
      </c>
      <c r="Y2" s="4">
        <f t="shared" si="0"/>
        <v>1.8152721732299845E-3</v>
      </c>
      <c r="Z2" s="4">
        <f t="shared" si="0"/>
        <v>1.8152721732299845E-3</v>
      </c>
      <c r="AA2" s="4">
        <f t="shared" si="0"/>
        <v>1.8152721732299845E-3</v>
      </c>
      <c r="AB2" s="4">
        <f t="shared" si="0"/>
        <v>1.8152721732299845E-3</v>
      </c>
      <c r="AC2" s="4">
        <f t="shared" si="0"/>
        <v>1.8152721732299845E-3</v>
      </c>
      <c r="AD2" s="4">
        <f t="shared" si="0"/>
        <v>1.8152721732299845E-3</v>
      </c>
      <c r="AE2" s="4">
        <f t="shared" si="0"/>
        <v>1.8152721732299845E-3</v>
      </c>
      <c r="AF2" s="4">
        <f t="shared" si="0"/>
        <v>1.8152721732299845E-3</v>
      </c>
      <c r="AG2" s="4">
        <f t="shared" si="0"/>
        <v>1.8152721732299845E-3</v>
      </c>
      <c r="AH2" s="4">
        <f t="shared" si="0"/>
        <v>1.8152721732299845E-3</v>
      </c>
      <c r="AI2" s="4">
        <f t="shared" si="0"/>
        <v>1.8152721732299845E-3</v>
      </c>
      <c r="AJ2" s="4">
        <f t="shared" si="0"/>
        <v>1.8152721732299845E-3</v>
      </c>
      <c r="AK2" s="4">
        <f t="shared" si="0"/>
        <v>1.8152721732299845E-3</v>
      </c>
      <c r="AL2" s="4">
        <f t="shared" si="0"/>
        <v>1.8152721732299845E-3</v>
      </c>
      <c r="AM2" s="4">
        <f t="shared" si="0"/>
        <v>1.8152721732299845E-3</v>
      </c>
      <c r="AN2" s="4">
        <f t="shared" si="0"/>
        <v>1.8152721732299845E-3</v>
      </c>
      <c r="AO2" s="4">
        <f t="shared" si="0"/>
        <v>1.8152721732299845E-3</v>
      </c>
      <c r="AP2" s="4">
        <f t="shared" si="0"/>
        <v>1.8152721732299845E-3</v>
      </c>
    </row>
    <row r="3" spans="1:42">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115</v>
      </c>
      <c r="B5" s="4">
        <f>'SYFAFE-passenger'!E4*('AEO 7'!C49/'AEO 7 (2020)'!C49)*'Calculations Etc'!B8*('AEO 7'!C49/'AEO 7'!$C$49)</f>
        <v>5.6489388476721079E-4</v>
      </c>
      <c r="C5" s="4">
        <f t="shared" ref="C3:R8" si="1">B5</f>
        <v>5.6489388476721079E-4</v>
      </c>
      <c r="D5" s="4">
        <f t="shared" si="1"/>
        <v>5.6489388476721079E-4</v>
      </c>
      <c r="E5" s="4">
        <f t="shared" si="1"/>
        <v>5.6489388476721079E-4</v>
      </c>
      <c r="F5" s="4">
        <f t="shared" si="1"/>
        <v>5.6489388476721079E-4</v>
      </c>
      <c r="G5" s="4">
        <f t="shared" si="1"/>
        <v>5.6489388476721079E-4</v>
      </c>
      <c r="H5" s="4">
        <f t="shared" si="1"/>
        <v>5.6489388476721079E-4</v>
      </c>
      <c r="I5" s="4">
        <f t="shared" si="1"/>
        <v>5.6489388476721079E-4</v>
      </c>
      <c r="J5" s="4">
        <f t="shared" si="1"/>
        <v>5.6489388476721079E-4</v>
      </c>
      <c r="K5" s="4">
        <f t="shared" si="1"/>
        <v>5.6489388476721079E-4</v>
      </c>
      <c r="L5" s="4">
        <f t="shared" si="1"/>
        <v>5.6489388476721079E-4</v>
      </c>
      <c r="M5" s="4">
        <f t="shared" si="1"/>
        <v>5.6489388476721079E-4</v>
      </c>
      <c r="N5" s="4">
        <f t="shared" si="1"/>
        <v>5.6489388476721079E-4</v>
      </c>
      <c r="O5" s="4">
        <f t="shared" si="1"/>
        <v>5.6489388476721079E-4</v>
      </c>
      <c r="P5" s="4">
        <f t="shared" si="1"/>
        <v>5.6489388476721079E-4</v>
      </c>
      <c r="Q5" s="4">
        <f t="shared" si="1"/>
        <v>5.6489388476721079E-4</v>
      </c>
      <c r="R5" s="4">
        <f t="shared" si="1"/>
        <v>5.6489388476721079E-4</v>
      </c>
      <c r="S5" s="4">
        <f t="shared" ref="D5:AP8" si="2">R5</f>
        <v>5.6489388476721079E-4</v>
      </c>
      <c r="T5" s="4">
        <f t="shared" si="2"/>
        <v>5.6489388476721079E-4</v>
      </c>
      <c r="U5" s="4">
        <f t="shared" si="2"/>
        <v>5.6489388476721079E-4</v>
      </c>
      <c r="V5" s="4">
        <f t="shared" si="2"/>
        <v>5.6489388476721079E-4</v>
      </c>
      <c r="W5" s="4">
        <f t="shared" si="2"/>
        <v>5.6489388476721079E-4</v>
      </c>
      <c r="X5" s="4">
        <f t="shared" si="2"/>
        <v>5.6489388476721079E-4</v>
      </c>
      <c r="Y5" s="4">
        <f t="shared" si="2"/>
        <v>5.6489388476721079E-4</v>
      </c>
      <c r="Z5" s="4">
        <f t="shared" si="2"/>
        <v>5.6489388476721079E-4</v>
      </c>
      <c r="AA5" s="4">
        <f t="shared" si="2"/>
        <v>5.6489388476721079E-4</v>
      </c>
      <c r="AB5" s="4">
        <f t="shared" si="2"/>
        <v>5.6489388476721079E-4</v>
      </c>
      <c r="AC5" s="4">
        <f t="shared" si="2"/>
        <v>5.6489388476721079E-4</v>
      </c>
      <c r="AD5" s="4">
        <f t="shared" si="2"/>
        <v>5.6489388476721079E-4</v>
      </c>
      <c r="AE5" s="4">
        <f t="shared" si="2"/>
        <v>5.6489388476721079E-4</v>
      </c>
      <c r="AF5" s="4">
        <f t="shared" si="2"/>
        <v>5.6489388476721079E-4</v>
      </c>
      <c r="AG5" s="4">
        <f t="shared" si="2"/>
        <v>5.6489388476721079E-4</v>
      </c>
      <c r="AH5" s="4">
        <f t="shared" si="2"/>
        <v>5.6489388476721079E-4</v>
      </c>
      <c r="AI5" s="4">
        <f t="shared" si="2"/>
        <v>5.6489388476721079E-4</v>
      </c>
      <c r="AJ5" s="4">
        <f t="shared" si="2"/>
        <v>5.6489388476721079E-4</v>
      </c>
      <c r="AK5" s="4">
        <f t="shared" si="2"/>
        <v>5.6489388476721079E-4</v>
      </c>
      <c r="AL5" s="4">
        <f t="shared" si="2"/>
        <v>5.6489388476721079E-4</v>
      </c>
      <c r="AM5" s="4">
        <f t="shared" si="2"/>
        <v>5.6489388476721079E-4</v>
      </c>
      <c r="AN5" s="4">
        <f t="shared" si="2"/>
        <v>5.6489388476721079E-4</v>
      </c>
      <c r="AO5" s="4">
        <f t="shared" si="2"/>
        <v>5.6489388476721079E-4</v>
      </c>
      <c r="AP5" s="4">
        <f t="shared" si="2"/>
        <v>5.6489388476721079E-4</v>
      </c>
    </row>
    <row r="6" spans="1:42">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854</v>
      </c>
      <c r="B8" s="4">
        <f>B$5*'Calculations Etc'!$B$35</f>
        <v>1.6946816543016322E-3</v>
      </c>
      <c r="C8" s="4">
        <f t="shared" si="1"/>
        <v>1.6946816543016322E-3</v>
      </c>
      <c r="D8" s="4">
        <f t="shared" si="2"/>
        <v>1.6946816543016322E-3</v>
      </c>
      <c r="E8" s="4">
        <f t="shared" si="2"/>
        <v>1.6946816543016322E-3</v>
      </c>
      <c r="F8" s="4">
        <f t="shared" si="2"/>
        <v>1.6946816543016322E-3</v>
      </c>
      <c r="G8" s="4">
        <f t="shared" si="2"/>
        <v>1.6946816543016322E-3</v>
      </c>
      <c r="H8" s="4">
        <f t="shared" si="2"/>
        <v>1.6946816543016322E-3</v>
      </c>
      <c r="I8" s="4">
        <f t="shared" si="2"/>
        <v>1.6946816543016322E-3</v>
      </c>
      <c r="J8" s="4">
        <f t="shared" si="2"/>
        <v>1.6946816543016322E-3</v>
      </c>
      <c r="K8" s="4">
        <f t="shared" si="2"/>
        <v>1.6946816543016322E-3</v>
      </c>
      <c r="L8" s="4">
        <f t="shared" si="2"/>
        <v>1.6946816543016322E-3</v>
      </c>
      <c r="M8" s="4">
        <f t="shared" si="2"/>
        <v>1.6946816543016322E-3</v>
      </c>
      <c r="N8" s="4">
        <f t="shared" si="2"/>
        <v>1.6946816543016322E-3</v>
      </c>
      <c r="O8" s="4">
        <f t="shared" si="2"/>
        <v>1.6946816543016322E-3</v>
      </c>
      <c r="P8" s="4">
        <f t="shared" si="2"/>
        <v>1.6946816543016322E-3</v>
      </c>
      <c r="Q8" s="4">
        <f t="shared" si="2"/>
        <v>1.6946816543016322E-3</v>
      </c>
      <c r="R8" s="4">
        <f t="shared" si="2"/>
        <v>1.6946816543016322E-3</v>
      </c>
      <c r="S8" s="4">
        <f t="shared" si="2"/>
        <v>1.6946816543016322E-3</v>
      </c>
      <c r="T8" s="4">
        <f t="shared" si="2"/>
        <v>1.6946816543016322E-3</v>
      </c>
      <c r="U8" s="4">
        <f t="shared" si="2"/>
        <v>1.6946816543016322E-3</v>
      </c>
      <c r="V8" s="4">
        <f t="shared" si="2"/>
        <v>1.6946816543016322E-3</v>
      </c>
      <c r="W8" s="4">
        <f t="shared" si="2"/>
        <v>1.6946816543016322E-3</v>
      </c>
      <c r="X8" s="4">
        <f t="shared" si="2"/>
        <v>1.6946816543016322E-3</v>
      </c>
      <c r="Y8" s="4">
        <f t="shared" si="2"/>
        <v>1.6946816543016322E-3</v>
      </c>
      <c r="Z8" s="4">
        <f t="shared" si="2"/>
        <v>1.6946816543016322E-3</v>
      </c>
      <c r="AA8" s="4">
        <f t="shared" si="2"/>
        <v>1.6946816543016322E-3</v>
      </c>
      <c r="AB8" s="4">
        <f t="shared" si="2"/>
        <v>1.6946816543016322E-3</v>
      </c>
      <c r="AC8" s="4">
        <f t="shared" si="2"/>
        <v>1.6946816543016322E-3</v>
      </c>
      <c r="AD8" s="4">
        <f t="shared" si="2"/>
        <v>1.6946816543016322E-3</v>
      </c>
      <c r="AE8" s="4">
        <f t="shared" si="2"/>
        <v>1.6946816543016322E-3</v>
      </c>
      <c r="AF8" s="4">
        <f t="shared" si="2"/>
        <v>1.6946816543016322E-3</v>
      </c>
      <c r="AG8" s="4">
        <f t="shared" si="2"/>
        <v>1.6946816543016322E-3</v>
      </c>
      <c r="AH8" s="4">
        <f t="shared" si="2"/>
        <v>1.6946816543016322E-3</v>
      </c>
      <c r="AI8" s="4">
        <f t="shared" si="2"/>
        <v>1.6946816543016322E-3</v>
      </c>
      <c r="AJ8" s="4">
        <f t="shared" si="2"/>
        <v>1.6946816543016322E-3</v>
      </c>
      <c r="AK8" s="4">
        <f t="shared" si="2"/>
        <v>1.6946816543016322E-3</v>
      </c>
      <c r="AL8" s="4">
        <f t="shared" si="2"/>
        <v>1.6946816543016322E-3</v>
      </c>
      <c r="AM8" s="4">
        <f t="shared" si="2"/>
        <v>1.6946816543016322E-3</v>
      </c>
      <c r="AN8" s="4">
        <f t="shared" si="2"/>
        <v>1.6946816543016322E-3</v>
      </c>
      <c r="AO8" s="4">
        <f t="shared" si="2"/>
        <v>1.6946816543016322E-3</v>
      </c>
      <c r="AP8" s="4">
        <f t="shared" si="2"/>
        <v>1.6946816543016322E-3</v>
      </c>
    </row>
  </sheetData>
  <phoneticPr fontId="59"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P8"/>
  <sheetViews>
    <sheetView topLeftCell="T1" workbookViewId="0">
      <selection activeCell="AL22" sqref="AL22"/>
    </sheetView>
  </sheetViews>
  <sheetFormatPr defaultRowHeight="12.9"/>
  <cols>
    <col min="1" max="1" width="31.125" customWidth="1"/>
    <col min="3" max="3" width="9.5" bestFit="1" customWidth="1"/>
  </cols>
  <sheetData>
    <row r="1" spans="1:42">
      <c r="A1" s="1"/>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112</v>
      </c>
      <c r="B2" s="4">
        <f>B$5/(1-'Calculations Etc'!$B$17)</f>
        <v>3.8569771061435794E-4</v>
      </c>
      <c r="C2" s="4">
        <f>B2</f>
        <v>3.8569771061435794E-4</v>
      </c>
      <c r="D2" s="4">
        <f t="shared" ref="D2:Q2" si="0">C2</f>
        <v>3.8569771061435794E-4</v>
      </c>
      <c r="E2" s="4">
        <f t="shared" si="0"/>
        <v>3.8569771061435794E-4</v>
      </c>
      <c r="F2" s="4">
        <f t="shared" si="0"/>
        <v>3.8569771061435794E-4</v>
      </c>
      <c r="G2" s="4">
        <f t="shared" si="0"/>
        <v>3.8569771061435794E-4</v>
      </c>
      <c r="H2" s="4">
        <f t="shared" si="0"/>
        <v>3.8569771061435794E-4</v>
      </c>
      <c r="I2" s="4">
        <f t="shared" si="0"/>
        <v>3.8569771061435794E-4</v>
      </c>
      <c r="J2" s="4">
        <f t="shared" si="0"/>
        <v>3.8569771061435794E-4</v>
      </c>
      <c r="K2" s="4">
        <f t="shared" si="0"/>
        <v>3.8569771061435794E-4</v>
      </c>
      <c r="L2" s="4">
        <f t="shared" si="0"/>
        <v>3.8569771061435794E-4</v>
      </c>
      <c r="M2" s="4">
        <f t="shared" si="0"/>
        <v>3.8569771061435794E-4</v>
      </c>
      <c r="N2" s="4">
        <f t="shared" si="0"/>
        <v>3.8569771061435794E-4</v>
      </c>
      <c r="O2" s="4">
        <f t="shared" si="0"/>
        <v>3.8569771061435794E-4</v>
      </c>
      <c r="P2" s="4">
        <f t="shared" si="0"/>
        <v>3.8569771061435794E-4</v>
      </c>
      <c r="Q2" s="4">
        <f t="shared" si="0"/>
        <v>3.8569771061435794E-4</v>
      </c>
      <c r="R2" s="4">
        <f>Q2</f>
        <v>3.8569771061435794E-4</v>
      </c>
      <c r="S2" s="4">
        <f t="shared" ref="S2:AF2" si="1">R2</f>
        <v>3.8569771061435794E-4</v>
      </c>
      <c r="T2" s="4">
        <f t="shared" si="1"/>
        <v>3.8569771061435794E-4</v>
      </c>
      <c r="U2" s="4">
        <f t="shared" si="1"/>
        <v>3.8569771061435794E-4</v>
      </c>
      <c r="V2" s="4">
        <f t="shared" si="1"/>
        <v>3.8569771061435794E-4</v>
      </c>
      <c r="W2" s="4">
        <f t="shared" si="1"/>
        <v>3.8569771061435794E-4</v>
      </c>
      <c r="X2" s="4">
        <f t="shared" si="1"/>
        <v>3.8569771061435794E-4</v>
      </c>
      <c r="Y2" s="4">
        <f t="shared" si="1"/>
        <v>3.8569771061435794E-4</v>
      </c>
      <c r="Z2" s="4">
        <f t="shared" si="1"/>
        <v>3.8569771061435794E-4</v>
      </c>
      <c r="AA2" s="4">
        <f t="shared" si="1"/>
        <v>3.8569771061435794E-4</v>
      </c>
      <c r="AB2" s="4">
        <f t="shared" si="1"/>
        <v>3.8569771061435794E-4</v>
      </c>
      <c r="AC2" s="4">
        <f t="shared" si="1"/>
        <v>3.8569771061435794E-4</v>
      </c>
      <c r="AD2" s="4">
        <f t="shared" si="1"/>
        <v>3.8569771061435794E-4</v>
      </c>
      <c r="AE2" s="4">
        <f t="shared" si="1"/>
        <v>3.8569771061435794E-4</v>
      </c>
      <c r="AF2" s="4">
        <f t="shared" si="1"/>
        <v>3.8569771061435794E-4</v>
      </c>
      <c r="AG2" s="4">
        <f t="shared" ref="AG2:AP2" si="2">AF2</f>
        <v>3.8569771061435794E-4</v>
      </c>
      <c r="AH2" s="4">
        <f t="shared" si="2"/>
        <v>3.8569771061435794E-4</v>
      </c>
      <c r="AI2" s="4">
        <f t="shared" si="2"/>
        <v>3.8569771061435794E-4</v>
      </c>
      <c r="AJ2" s="4">
        <f t="shared" si="2"/>
        <v>3.8569771061435794E-4</v>
      </c>
      <c r="AK2" s="4">
        <f t="shared" si="2"/>
        <v>3.8569771061435794E-4</v>
      </c>
      <c r="AL2" s="4">
        <f t="shared" si="2"/>
        <v>3.8569771061435794E-4</v>
      </c>
      <c r="AM2" s="4">
        <f t="shared" si="2"/>
        <v>3.8569771061435794E-4</v>
      </c>
      <c r="AN2" s="4">
        <f t="shared" si="2"/>
        <v>3.8569771061435794E-4</v>
      </c>
      <c r="AO2" s="4">
        <f t="shared" si="2"/>
        <v>3.8569771061435794E-4</v>
      </c>
      <c r="AP2" s="4">
        <f t="shared" si="2"/>
        <v>3.8569771061435794E-4</v>
      </c>
    </row>
    <row r="3" spans="1:42">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115</v>
      </c>
      <c r="B5" s="4">
        <f>'SYFAFE-freight'!E4*('AEO 7'!C49/'AEO 7 (2020)'!C49)*'Calculations Etc'!B8*('AEO 7'!C49/'AEO 7'!$C$49)</f>
        <v>1.2002512973417359E-4</v>
      </c>
      <c r="C5" s="4">
        <f>B5</f>
        <v>1.2002512973417359E-4</v>
      </c>
      <c r="D5" s="4">
        <f t="shared" ref="D5:Q5" si="3">C5</f>
        <v>1.2002512973417359E-4</v>
      </c>
      <c r="E5" s="4">
        <f t="shared" si="3"/>
        <v>1.2002512973417359E-4</v>
      </c>
      <c r="F5" s="4">
        <f t="shared" si="3"/>
        <v>1.2002512973417359E-4</v>
      </c>
      <c r="G5" s="4">
        <f t="shared" si="3"/>
        <v>1.2002512973417359E-4</v>
      </c>
      <c r="H5" s="4">
        <f t="shared" si="3"/>
        <v>1.2002512973417359E-4</v>
      </c>
      <c r="I5" s="4">
        <f t="shared" si="3"/>
        <v>1.2002512973417359E-4</v>
      </c>
      <c r="J5" s="4">
        <f t="shared" si="3"/>
        <v>1.2002512973417359E-4</v>
      </c>
      <c r="K5" s="4">
        <f t="shared" si="3"/>
        <v>1.2002512973417359E-4</v>
      </c>
      <c r="L5" s="4">
        <f t="shared" si="3"/>
        <v>1.2002512973417359E-4</v>
      </c>
      <c r="M5" s="4">
        <f t="shared" si="3"/>
        <v>1.2002512973417359E-4</v>
      </c>
      <c r="N5" s="4">
        <f t="shared" si="3"/>
        <v>1.2002512973417359E-4</v>
      </c>
      <c r="O5" s="4">
        <f t="shared" si="3"/>
        <v>1.2002512973417359E-4</v>
      </c>
      <c r="P5" s="4">
        <f t="shared" si="3"/>
        <v>1.2002512973417359E-4</v>
      </c>
      <c r="Q5" s="4">
        <f t="shared" si="3"/>
        <v>1.2002512973417359E-4</v>
      </c>
      <c r="R5" s="4">
        <f>Q5</f>
        <v>1.2002512973417359E-4</v>
      </c>
      <c r="S5" s="4">
        <f t="shared" ref="S5:AF5" si="4">R5</f>
        <v>1.2002512973417359E-4</v>
      </c>
      <c r="T5" s="4">
        <f t="shared" si="4"/>
        <v>1.2002512973417359E-4</v>
      </c>
      <c r="U5" s="4">
        <f t="shared" si="4"/>
        <v>1.2002512973417359E-4</v>
      </c>
      <c r="V5" s="4">
        <f t="shared" si="4"/>
        <v>1.2002512973417359E-4</v>
      </c>
      <c r="W5" s="4">
        <f t="shared" si="4"/>
        <v>1.2002512973417359E-4</v>
      </c>
      <c r="X5" s="4">
        <f t="shared" si="4"/>
        <v>1.2002512973417359E-4</v>
      </c>
      <c r="Y5" s="4">
        <f t="shared" si="4"/>
        <v>1.2002512973417359E-4</v>
      </c>
      <c r="Z5" s="4">
        <f t="shared" si="4"/>
        <v>1.2002512973417359E-4</v>
      </c>
      <c r="AA5" s="4">
        <f t="shared" si="4"/>
        <v>1.2002512973417359E-4</v>
      </c>
      <c r="AB5" s="4">
        <f t="shared" si="4"/>
        <v>1.2002512973417359E-4</v>
      </c>
      <c r="AC5" s="4">
        <f t="shared" si="4"/>
        <v>1.2002512973417359E-4</v>
      </c>
      <c r="AD5" s="4">
        <f t="shared" si="4"/>
        <v>1.2002512973417359E-4</v>
      </c>
      <c r="AE5" s="4">
        <f t="shared" si="4"/>
        <v>1.2002512973417359E-4</v>
      </c>
      <c r="AF5" s="4">
        <f t="shared" si="4"/>
        <v>1.2002512973417359E-4</v>
      </c>
      <c r="AG5" s="4">
        <f t="shared" ref="AG5:AP5" si="5">AF5</f>
        <v>1.2002512973417359E-4</v>
      </c>
      <c r="AH5" s="4">
        <f t="shared" si="5"/>
        <v>1.2002512973417359E-4</v>
      </c>
      <c r="AI5" s="4">
        <f t="shared" si="5"/>
        <v>1.2002512973417359E-4</v>
      </c>
      <c r="AJ5" s="4">
        <f t="shared" si="5"/>
        <v>1.2002512973417359E-4</v>
      </c>
      <c r="AK5" s="4">
        <f t="shared" si="5"/>
        <v>1.2002512973417359E-4</v>
      </c>
      <c r="AL5" s="4">
        <f t="shared" si="5"/>
        <v>1.2002512973417359E-4</v>
      </c>
      <c r="AM5" s="4">
        <f t="shared" si="5"/>
        <v>1.2002512973417359E-4</v>
      </c>
      <c r="AN5" s="4">
        <f t="shared" si="5"/>
        <v>1.2002512973417359E-4</v>
      </c>
      <c r="AO5" s="4">
        <f t="shared" si="5"/>
        <v>1.2002512973417359E-4</v>
      </c>
      <c r="AP5" s="4">
        <f t="shared" si="5"/>
        <v>1.2002512973417359E-4</v>
      </c>
    </row>
    <row r="6" spans="1:42">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854</v>
      </c>
      <c r="B8" s="4">
        <f>B$5*'Calculations Etc'!$B$35</f>
        <v>3.600753892025207E-4</v>
      </c>
      <c r="C8" s="4">
        <f>C$5*'Calculations Etc'!$B$35</f>
        <v>3.600753892025207E-4</v>
      </c>
      <c r="D8" s="4">
        <f>D$5*'Calculations Etc'!$B$35</f>
        <v>3.600753892025207E-4</v>
      </c>
      <c r="E8" s="4">
        <f>E$5*'Calculations Etc'!$B$35</f>
        <v>3.600753892025207E-4</v>
      </c>
      <c r="F8" s="4">
        <f>F$5*'Calculations Etc'!$B$35</f>
        <v>3.600753892025207E-4</v>
      </c>
      <c r="G8" s="4">
        <f>G$5*'Calculations Etc'!$B$35</f>
        <v>3.600753892025207E-4</v>
      </c>
      <c r="H8" s="4">
        <f>H$5*'Calculations Etc'!$B$35</f>
        <v>3.600753892025207E-4</v>
      </c>
      <c r="I8" s="4">
        <f>I$5*'Calculations Etc'!$B$35</f>
        <v>3.600753892025207E-4</v>
      </c>
      <c r="J8" s="4">
        <f>J$5*'Calculations Etc'!$B$35</f>
        <v>3.600753892025207E-4</v>
      </c>
      <c r="K8" s="4">
        <f>K$5*'Calculations Etc'!$B$35</f>
        <v>3.600753892025207E-4</v>
      </c>
      <c r="L8" s="4">
        <f>L$5*'Calculations Etc'!$B$35</f>
        <v>3.600753892025207E-4</v>
      </c>
      <c r="M8" s="4">
        <f>M$5*'Calculations Etc'!$B$35</f>
        <v>3.600753892025207E-4</v>
      </c>
      <c r="N8" s="4">
        <f>N$5*'Calculations Etc'!$B$35</f>
        <v>3.600753892025207E-4</v>
      </c>
      <c r="O8" s="4">
        <f>O$5*'Calculations Etc'!$B$35</f>
        <v>3.600753892025207E-4</v>
      </c>
      <c r="P8" s="4">
        <f>P$5*'Calculations Etc'!$B$35</f>
        <v>3.600753892025207E-4</v>
      </c>
      <c r="Q8" s="4">
        <f>Q$5*'Calculations Etc'!$B$35</f>
        <v>3.600753892025207E-4</v>
      </c>
      <c r="R8" s="4">
        <f>R$5*'Calculations Etc'!$B$35</f>
        <v>3.600753892025207E-4</v>
      </c>
      <c r="S8" s="4">
        <f>S$5*'Calculations Etc'!$B$35</f>
        <v>3.600753892025207E-4</v>
      </c>
      <c r="T8" s="4">
        <f>T$5*'Calculations Etc'!$B$35</f>
        <v>3.600753892025207E-4</v>
      </c>
      <c r="U8" s="4">
        <f>U$5*'Calculations Etc'!$B$35</f>
        <v>3.600753892025207E-4</v>
      </c>
      <c r="V8" s="4">
        <f>V$5*'Calculations Etc'!$B$35</f>
        <v>3.600753892025207E-4</v>
      </c>
      <c r="W8" s="4">
        <f>W$5*'Calculations Etc'!$B$35</f>
        <v>3.600753892025207E-4</v>
      </c>
      <c r="X8" s="4">
        <f>X$5*'Calculations Etc'!$B$35</f>
        <v>3.600753892025207E-4</v>
      </c>
      <c r="Y8" s="4">
        <f>Y$5*'Calculations Etc'!$B$35</f>
        <v>3.600753892025207E-4</v>
      </c>
      <c r="Z8" s="4">
        <f>Z$5*'Calculations Etc'!$B$35</f>
        <v>3.600753892025207E-4</v>
      </c>
      <c r="AA8" s="4">
        <f>AA$5*'Calculations Etc'!$B$35</f>
        <v>3.600753892025207E-4</v>
      </c>
      <c r="AB8" s="4">
        <f>AB$5*'Calculations Etc'!$B$35</f>
        <v>3.600753892025207E-4</v>
      </c>
      <c r="AC8" s="4">
        <f>AC$5*'Calculations Etc'!$B$35</f>
        <v>3.600753892025207E-4</v>
      </c>
      <c r="AD8" s="4">
        <f>AD$5*'Calculations Etc'!$B$35</f>
        <v>3.600753892025207E-4</v>
      </c>
      <c r="AE8" s="4">
        <f>AE$5*'Calculations Etc'!$B$35</f>
        <v>3.600753892025207E-4</v>
      </c>
      <c r="AF8" s="4">
        <f>AF$5*'Calculations Etc'!$B$35</f>
        <v>3.600753892025207E-4</v>
      </c>
      <c r="AG8" s="4">
        <f>AG$5*'Calculations Etc'!$B$35</f>
        <v>3.600753892025207E-4</v>
      </c>
      <c r="AH8" s="4">
        <f>AH$5*'Calculations Etc'!$B$35</f>
        <v>3.600753892025207E-4</v>
      </c>
      <c r="AI8" s="4">
        <f>AI$5*'Calculations Etc'!$B$35</f>
        <v>3.600753892025207E-4</v>
      </c>
      <c r="AJ8" s="4">
        <f>AJ$5*'Calculations Etc'!$B$35</f>
        <v>3.600753892025207E-4</v>
      </c>
      <c r="AK8" s="4">
        <f>AK$5*'Calculations Etc'!$B$35</f>
        <v>3.600753892025207E-4</v>
      </c>
      <c r="AL8" s="4">
        <f>AL$5*'Calculations Etc'!$B$35</f>
        <v>3.600753892025207E-4</v>
      </c>
      <c r="AM8" s="4">
        <f>AM$5*'Calculations Etc'!$B$35</f>
        <v>3.600753892025207E-4</v>
      </c>
      <c r="AN8" s="4">
        <f>AN$5*'Calculations Etc'!$B$35</f>
        <v>3.600753892025207E-4</v>
      </c>
      <c r="AO8" s="4">
        <f>AO$5*'Calculations Etc'!$B$35</f>
        <v>3.600753892025207E-4</v>
      </c>
      <c r="AP8" s="4">
        <f>AP$5*'Calculations Etc'!$B$35</f>
        <v>3.600753892025207E-4</v>
      </c>
    </row>
  </sheetData>
  <phoneticPr fontId="59"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P10"/>
  <sheetViews>
    <sheetView topLeftCell="X1" workbookViewId="0">
      <selection activeCell="C1" sqref="C1:AP8"/>
    </sheetView>
  </sheetViews>
  <sheetFormatPr defaultRowHeight="12.9"/>
  <cols>
    <col min="1" max="1" width="31.125" customWidth="1"/>
    <col min="3" max="3" width="9.5" bestFit="1" customWidth="1"/>
  </cols>
  <sheetData>
    <row r="1" spans="1:42">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112</v>
      </c>
      <c r="B2" s="4">
        <f>'Calculations Etc'!E68</f>
        <v>1.2490429545241593E-3</v>
      </c>
      <c r="C2" s="4">
        <f>B2</f>
        <v>1.2490429545241593E-3</v>
      </c>
      <c r="D2" s="4">
        <f t="shared" ref="D2:N2" si="0">C2</f>
        <v>1.2490429545241593E-3</v>
      </c>
      <c r="E2" s="4">
        <f t="shared" si="0"/>
        <v>1.2490429545241593E-3</v>
      </c>
      <c r="F2" s="4">
        <f t="shared" si="0"/>
        <v>1.2490429545241593E-3</v>
      </c>
      <c r="G2" s="4">
        <f t="shared" si="0"/>
        <v>1.2490429545241593E-3</v>
      </c>
      <c r="H2" s="4">
        <f t="shared" si="0"/>
        <v>1.2490429545241593E-3</v>
      </c>
      <c r="I2" s="4">
        <f t="shared" si="0"/>
        <v>1.2490429545241593E-3</v>
      </c>
      <c r="J2" s="4">
        <f t="shared" si="0"/>
        <v>1.2490429545241593E-3</v>
      </c>
      <c r="K2" s="4">
        <f t="shared" si="0"/>
        <v>1.2490429545241593E-3</v>
      </c>
      <c r="L2" s="4">
        <f t="shared" si="0"/>
        <v>1.2490429545241593E-3</v>
      </c>
      <c r="M2" s="4">
        <f t="shared" si="0"/>
        <v>1.2490429545241593E-3</v>
      </c>
      <c r="N2" s="4">
        <f t="shared" si="0"/>
        <v>1.2490429545241593E-3</v>
      </c>
      <c r="O2" s="4">
        <f t="shared" ref="O2:AP2" si="1">N2</f>
        <v>1.2490429545241593E-3</v>
      </c>
      <c r="P2" s="4">
        <f t="shared" si="1"/>
        <v>1.2490429545241593E-3</v>
      </c>
      <c r="Q2" s="4">
        <f t="shared" si="1"/>
        <v>1.2490429545241593E-3</v>
      </c>
      <c r="R2" s="4">
        <f t="shared" si="1"/>
        <v>1.2490429545241593E-3</v>
      </c>
      <c r="S2" s="4">
        <f t="shared" si="1"/>
        <v>1.2490429545241593E-3</v>
      </c>
      <c r="T2" s="4">
        <f t="shared" si="1"/>
        <v>1.2490429545241593E-3</v>
      </c>
      <c r="U2" s="4">
        <f t="shared" si="1"/>
        <v>1.2490429545241593E-3</v>
      </c>
      <c r="V2" s="4">
        <f t="shared" si="1"/>
        <v>1.2490429545241593E-3</v>
      </c>
      <c r="W2" s="4">
        <f t="shared" si="1"/>
        <v>1.2490429545241593E-3</v>
      </c>
      <c r="X2" s="4">
        <f t="shared" si="1"/>
        <v>1.2490429545241593E-3</v>
      </c>
      <c r="Y2" s="4">
        <f t="shared" si="1"/>
        <v>1.2490429545241593E-3</v>
      </c>
      <c r="Z2" s="4">
        <f t="shared" si="1"/>
        <v>1.2490429545241593E-3</v>
      </c>
      <c r="AA2" s="4">
        <f t="shared" si="1"/>
        <v>1.2490429545241593E-3</v>
      </c>
      <c r="AB2" s="4">
        <f t="shared" si="1"/>
        <v>1.2490429545241593E-3</v>
      </c>
      <c r="AC2" s="4">
        <f t="shared" si="1"/>
        <v>1.2490429545241593E-3</v>
      </c>
      <c r="AD2" s="4">
        <f t="shared" si="1"/>
        <v>1.2490429545241593E-3</v>
      </c>
      <c r="AE2" s="4">
        <f t="shared" si="1"/>
        <v>1.2490429545241593E-3</v>
      </c>
      <c r="AF2" s="4">
        <f t="shared" si="1"/>
        <v>1.2490429545241593E-3</v>
      </c>
      <c r="AG2" s="4">
        <f t="shared" si="1"/>
        <v>1.2490429545241593E-3</v>
      </c>
      <c r="AH2" s="4">
        <f t="shared" si="1"/>
        <v>1.2490429545241593E-3</v>
      </c>
      <c r="AI2" s="4">
        <f t="shared" si="1"/>
        <v>1.2490429545241593E-3</v>
      </c>
      <c r="AJ2" s="4">
        <f t="shared" si="1"/>
        <v>1.2490429545241593E-3</v>
      </c>
      <c r="AK2" s="4">
        <f t="shared" si="1"/>
        <v>1.2490429545241593E-3</v>
      </c>
      <c r="AL2" s="4">
        <f t="shared" si="1"/>
        <v>1.2490429545241593E-3</v>
      </c>
      <c r="AM2" s="4">
        <f t="shared" si="1"/>
        <v>1.2490429545241593E-3</v>
      </c>
      <c r="AN2" s="4">
        <f t="shared" si="1"/>
        <v>1.2490429545241593E-3</v>
      </c>
      <c r="AO2" s="4">
        <f t="shared" si="1"/>
        <v>1.2490429545241593E-3</v>
      </c>
      <c r="AP2" s="4">
        <f t="shared" si="1"/>
        <v>1.2490429545241593E-3</v>
      </c>
    </row>
    <row r="3" spans="1:42">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s="52" customFormat="1">
      <c r="A5" s="52" t="s">
        <v>115</v>
      </c>
      <c r="B5" s="34">
        <f>'Calculations Etc'!E69</f>
        <v>3.8868922094850749E-4</v>
      </c>
      <c r="C5" s="34">
        <f>B5</f>
        <v>3.8868922094850749E-4</v>
      </c>
      <c r="D5" s="34">
        <f t="shared" ref="D5:N5" si="2">C5</f>
        <v>3.8868922094850749E-4</v>
      </c>
      <c r="E5" s="34">
        <f t="shared" si="2"/>
        <v>3.8868922094850749E-4</v>
      </c>
      <c r="F5" s="34">
        <f t="shared" si="2"/>
        <v>3.8868922094850749E-4</v>
      </c>
      <c r="G5" s="34">
        <f t="shared" si="2"/>
        <v>3.8868922094850749E-4</v>
      </c>
      <c r="H5" s="34">
        <f t="shared" si="2"/>
        <v>3.8868922094850749E-4</v>
      </c>
      <c r="I5" s="34">
        <f t="shared" si="2"/>
        <v>3.8868922094850749E-4</v>
      </c>
      <c r="J5" s="34">
        <f t="shared" si="2"/>
        <v>3.8868922094850749E-4</v>
      </c>
      <c r="K5" s="34">
        <f t="shared" si="2"/>
        <v>3.8868922094850749E-4</v>
      </c>
      <c r="L5" s="34">
        <f t="shared" si="2"/>
        <v>3.8868922094850749E-4</v>
      </c>
      <c r="M5" s="34">
        <f t="shared" si="2"/>
        <v>3.8868922094850749E-4</v>
      </c>
      <c r="N5" s="34">
        <f t="shared" si="2"/>
        <v>3.8868922094850749E-4</v>
      </c>
      <c r="O5" s="34">
        <f t="shared" ref="O5:AP5" si="3">N5</f>
        <v>3.8868922094850749E-4</v>
      </c>
      <c r="P5" s="34">
        <f t="shared" si="3"/>
        <v>3.8868922094850749E-4</v>
      </c>
      <c r="Q5" s="34">
        <f t="shared" si="3"/>
        <v>3.8868922094850749E-4</v>
      </c>
      <c r="R5" s="34">
        <f t="shared" si="3"/>
        <v>3.8868922094850749E-4</v>
      </c>
      <c r="S5" s="34">
        <f t="shared" si="3"/>
        <v>3.8868922094850749E-4</v>
      </c>
      <c r="T5" s="34">
        <f t="shared" si="3"/>
        <v>3.8868922094850749E-4</v>
      </c>
      <c r="U5" s="34">
        <f t="shared" si="3"/>
        <v>3.8868922094850749E-4</v>
      </c>
      <c r="V5" s="34">
        <f t="shared" si="3"/>
        <v>3.8868922094850749E-4</v>
      </c>
      <c r="W5" s="34">
        <f t="shared" si="3"/>
        <v>3.8868922094850749E-4</v>
      </c>
      <c r="X5" s="34">
        <f t="shared" si="3"/>
        <v>3.8868922094850749E-4</v>
      </c>
      <c r="Y5" s="34">
        <f t="shared" si="3"/>
        <v>3.8868922094850749E-4</v>
      </c>
      <c r="Z5" s="34">
        <f t="shared" si="3"/>
        <v>3.8868922094850749E-4</v>
      </c>
      <c r="AA5" s="34">
        <f t="shared" si="3"/>
        <v>3.8868922094850749E-4</v>
      </c>
      <c r="AB5" s="34">
        <f t="shared" si="3"/>
        <v>3.8868922094850749E-4</v>
      </c>
      <c r="AC5" s="34">
        <f t="shared" si="3"/>
        <v>3.8868922094850749E-4</v>
      </c>
      <c r="AD5" s="34">
        <f t="shared" si="3"/>
        <v>3.8868922094850749E-4</v>
      </c>
      <c r="AE5" s="34">
        <f t="shared" si="3"/>
        <v>3.8868922094850749E-4</v>
      </c>
      <c r="AF5" s="34">
        <f t="shared" si="3"/>
        <v>3.8868922094850749E-4</v>
      </c>
      <c r="AG5" s="34">
        <f t="shared" si="3"/>
        <v>3.8868922094850749E-4</v>
      </c>
      <c r="AH5" s="34">
        <f t="shared" si="3"/>
        <v>3.8868922094850749E-4</v>
      </c>
      <c r="AI5" s="34">
        <f t="shared" si="3"/>
        <v>3.8868922094850749E-4</v>
      </c>
      <c r="AJ5" s="34">
        <f t="shared" si="3"/>
        <v>3.8868922094850749E-4</v>
      </c>
      <c r="AK5" s="34">
        <f t="shared" si="3"/>
        <v>3.8868922094850749E-4</v>
      </c>
      <c r="AL5" s="34">
        <f t="shared" si="3"/>
        <v>3.8868922094850749E-4</v>
      </c>
      <c r="AM5" s="34">
        <f t="shared" si="3"/>
        <v>3.8868922094850749E-4</v>
      </c>
      <c r="AN5" s="34">
        <f t="shared" si="3"/>
        <v>3.8868922094850749E-4</v>
      </c>
      <c r="AO5" s="34">
        <f t="shared" si="3"/>
        <v>3.8868922094850749E-4</v>
      </c>
      <c r="AP5" s="34">
        <f t="shared" si="3"/>
        <v>3.8868922094850749E-4</v>
      </c>
    </row>
    <row r="6" spans="1:42">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854</v>
      </c>
      <c r="B8" s="4">
        <f>B$5*'Calculations Etc'!$B$35</f>
        <v>1.1660676628455222E-3</v>
      </c>
      <c r="C8" s="4">
        <f>C$5*'Calculations Etc'!$B$35</f>
        <v>1.1660676628455222E-3</v>
      </c>
      <c r="D8" s="4">
        <f>D$5*'Calculations Etc'!$B$35</f>
        <v>1.1660676628455222E-3</v>
      </c>
      <c r="E8" s="4">
        <f>E$5*'Calculations Etc'!$B$35</f>
        <v>1.1660676628455222E-3</v>
      </c>
      <c r="F8" s="4">
        <f>F$5*'Calculations Etc'!$B$35</f>
        <v>1.1660676628455222E-3</v>
      </c>
      <c r="G8" s="4">
        <f>G$5*'Calculations Etc'!$B$35</f>
        <v>1.1660676628455222E-3</v>
      </c>
      <c r="H8" s="4">
        <f>H$5*'Calculations Etc'!$B$35</f>
        <v>1.1660676628455222E-3</v>
      </c>
      <c r="I8" s="4">
        <f>I$5*'Calculations Etc'!$B$35</f>
        <v>1.1660676628455222E-3</v>
      </c>
      <c r="J8" s="4">
        <f>J$5*'Calculations Etc'!$B$35</f>
        <v>1.1660676628455222E-3</v>
      </c>
      <c r="K8" s="4">
        <f>K$5*'Calculations Etc'!$B$35</f>
        <v>1.1660676628455222E-3</v>
      </c>
      <c r="L8" s="4">
        <f>L$5*'Calculations Etc'!$B$35</f>
        <v>1.1660676628455222E-3</v>
      </c>
      <c r="M8" s="4">
        <f>M$5*'Calculations Etc'!$B$35</f>
        <v>1.1660676628455222E-3</v>
      </c>
      <c r="N8" s="4">
        <f>N$5*'Calculations Etc'!$B$35</f>
        <v>1.1660676628455222E-3</v>
      </c>
      <c r="O8" s="4">
        <f>O$5*'Calculations Etc'!$B$35</f>
        <v>1.1660676628455222E-3</v>
      </c>
      <c r="P8" s="4">
        <f>P$5*'Calculations Etc'!$B$35</f>
        <v>1.1660676628455222E-3</v>
      </c>
      <c r="Q8" s="4">
        <f>Q$5*'Calculations Etc'!$B$35</f>
        <v>1.1660676628455222E-3</v>
      </c>
      <c r="R8" s="4">
        <f>R$5*'Calculations Etc'!$B$35</f>
        <v>1.1660676628455222E-3</v>
      </c>
      <c r="S8" s="4">
        <f>S$5*'Calculations Etc'!$B$35</f>
        <v>1.1660676628455222E-3</v>
      </c>
      <c r="T8" s="4">
        <f>T$5*'Calculations Etc'!$B$35</f>
        <v>1.1660676628455222E-3</v>
      </c>
      <c r="U8" s="4">
        <f>U$5*'Calculations Etc'!$B$35</f>
        <v>1.1660676628455222E-3</v>
      </c>
      <c r="V8" s="4">
        <f>V$5*'Calculations Etc'!$B$35</f>
        <v>1.1660676628455222E-3</v>
      </c>
      <c r="W8" s="4">
        <f>W$5*'Calculations Etc'!$B$35</f>
        <v>1.1660676628455222E-3</v>
      </c>
      <c r="X8" s="4">
        <f>X$5*'Calculations Etc'!$B$35</f>
        <v>1.1660676628455222E-3</v>
      </c>
      <c r="Y8" s="4">
        <f>Y$5*'Calculations Etc'!$B$35</f>
        <v>1.1660676628455222E-3</v>
      </c>
      <c r="Z8" s="4">
        <f>Z$5*'Calculations Etc'!$B$35</f>
        <v>1.1660676628455222E-3</v>
      </c>
      <c r="AA8" s="4">
        <f>AA$5*'Calculations Etc'!$B$35</f>
        <v>1.1660676628455222E-3</v>
      </c>
      <c r="AB8" s="4">
        <f>AB$5*'Calculations Etc'!$B$35</f>
        <v>1.1660676628455222E-3</v>
      </c>
      <c r="AC8" s="4">
        <f>AC$5*'Calculations Etc'!$B$35</f>
        <v>1.1660676628455222E-3</v>
      </c>
      <c r="AD8" s="4">
        <f>AD$5*'Calculations Etc'!$B$35</f>
        <v>1.1660676628455222E-3</v>
      </c>
      <c r="AE8" s="4">
        <f>AE$5*'Calculations Etc'!$B$35</f>
        <v>1.1660676628455222E-3</v>
      </c>
      <c r="AF8" s="4">
        <f>AF$5*'Calculations Etc'!$B$35</f>
        <v>1.1660676628455222E-3</v>
      </c>
      <c r="AG8" s="4">
        <f>AG$5*'Calculations Etc'!$B$35</f>
        <v>1.1660676628455222E-3</v>
      </c>
      <c r="AH8" s="4">
        <f>AH$5*'Calculations Etc'!$B$35</f>
        <v>1.1660676628455222E-3</v>
      </c>
      <c r="AI8" s="4">
        <f>AI$5*'Calculations Etc'!$B$35</f>
        <v>1.1660676628455222E-3</v>
      </c>
      <c r="AJ8" s="4">
        <f>AJ$5*'Calculations Etc'!$B$35</f>
        <v>1.1660676628455222E-3</v>
      </c>
      <c r="AK8" s="4">
        <f>AK$5*'Calculations Etc'!$B$35</f>
        <v>1.1660676628455222E-3</v>
      </c>
      <c r="AL8" s="4">
        <f>AL$5*'Calculations Etc'!$B$35</f>
        <v>1.1660676628455222E-3</v>
      </c>
      <c r="AM8" s="4">
        <f>AM$5*'Calculations Etc'!$B$35</f>
        <v>1.1660676628455222E-3</v>
      </c>
      <c r="AN8" s="4">
        <f>AN$5*'Calculations Etc'!$B$35</f>
        <v>1.1660676628455222E-3</v>
      </c>
      <c r="AO8" s="4">
        <f>AO$5*'Calculations Etc'!$B$35</f>
        <v>1.1660676628455222E-3</v>
      </c>
      <c r="AP8" s="4">
        <f>AP$5*'Calculations Etc'!$B$35</f>
        <v>1.1660676628455222E-3</v>
      </c>
    </row>
    <row r="10" spans="1:42">
      <c r="B10" s="57"/>
    </row>
  </sheetData>
  <phoneticPr fontId="59"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P12"/>
  <sheetViews>
    <sheetView topLeftCell="X1" workbookViewId="0">
      <selection activeCell="C1" sqref="C1:AP8"/>
    </sheetView>
  </sheetViews>
  <sheetFormatPr defaultRowHeight="12.9"/>
  <cols>
    <col min="1" max="1" width="31.125" customWidth="1"/>
    <col min="3" max="3" width="10.75" bestFit="1" customWidth="1"/>
    <col min="6" max="6" width="10.75" bestFit="1" customWidth="1"/>
  </cols>
  <sheetData>
    <row r="1" spans="1:42">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112</v>
      </c>
      <c r="B2" s="4">
        <f>B$5/(1-'Calculations Etc'!$B$17)</f>
        <v>1.1213005219530657E-2</v>
      </c>
      <c r="C2" s="4">
        <f>B2</f>
        <v>1.1213005219530657E-2</v>
      </c>
      <c r="D2" s="4">
        <f t="shared" ref="D2:Q2" si="0">C2</f>
        <v>1.1213005219530657E-2</v>
      </c>
      <c r="E2" s="4">
        <f t="shared" si="0"/>
        <v>1.1213005219530657E-2</v>
      </c>
      <c r="F2" s="4">
        <f t="shared" si="0"/>
        <v>1.1213005219530657E-2</v>
      </c>
      <c r="G2" s="4">
        <f t="shared" si="0"/>
        <v>1.1213005219530657E-2</v>
      </c>
      <c r="H2" s="4">
        <f t="shared" si="0"/>
        <v>1.1213005219530657E-2</v>
      </c>
      <c r="I2" s="4">
        <f t="shared" si="0"/>
        <v>1.1213005219530657E-2</v>
      </c>
      <c r="J2" s="4">
        <f t="shared" si="0"/>
        <v>1.1213005219530657E-2</v>
      </c>
      <c r="K2" s="4">
        <f t="shared" si="0"/>
        <v>1.1213005219530657E-2</v>
      </c>
      <c r="L2" s="4">
        <f t="shared" si="0"/>
        <v>1.1213005219530657E-2</v>
      </c>
      <c r="M2" s="4">
        <f t="shared" si="0"/>
        <v>1.1213005219530657E-2</v>
      </c>
      <c r="N2" s="4">
        <f t="shared" si="0"/>
        <v>1.1213005219530657E-2</v>
      </c>
      <c r="O2" s="4">
        <f t="shared" si="0"/>
        <v>1.1213005219530657E-2</v>
      </c>
      <c r="P2" s="4">
        <f t="shared" si="0"/>
        <v>1.1213005219530657E-2</v>
      </c>
      <c r="Q2" s="4">
        <f t="shared" si="0"/>
        <v>1.1213005219530657E-2</v>
      </c>
      <c r="R2" s="4">
        <f t="shared" ref="R2:AP2" si="1">Q2</f>
        <v>1.1213005219530657E-2</v>
      </c>
      <c r="S2" s="4">
        <f t="shared" si="1"/>
        <v>1.1213005219530657E-2</v>
      </c>
      <c r="T2" s="4">
        <f t="shared" si="1"/>
        <v>1.1213005219530657E-2</v>
      </c>
      <c r="U2" s="4">
        <f t="shared" si="1"/>
        <v>1.1213005219530657E-2</v>
      </c>
      <c r="V2" s="4">
        <f t="shared" si="1"/>
        <v>1.1213005219530657E-2</v>
      </c>
      <c r="W2" s="4">
        <f t="shared" si="1"/>
        <v>1.1213005219530657E-2</v>
      </c>
      <c r="X2" s="4">
        <f t="shared" si="1"/>
        <v>1.1213005219530657E-2</v>
      </c>
      <c r="Y2" s="4">
        <f t="shared" si="1"/>
        <v>1.1213005219530657E-2</v>
      </c>
      <c r="Z2" s="4">
        <f t="shared" si="1"/>
        <v>1.1213005219530657E-2</v>
      </c>
      <c r="AA2" s="4">
        <f t="shared" si="1"/>
        <v>1.1213005219530657E-2</v>
      </c>
      <c r="AB2" s="4">
        <f t="shared" si="1"/>
        <v>1.1213005219530657E-2</v>
      </c>
      <c r="AC2" s="4">
        <f t="shared" si="1"/>
        <v>1.1213005219530657E-2</v>
      </c>
      <c r="AD2" s="4">
        <f t="shared" si="1"/>
        <v>1.1213005219530657E-2</v>
      </c>
      <c r="AE2" s="4">
        <f t="shared" si="1"/>
        <v>1.1213005219530657E-2</v>
      </c>
      <c r="AF2" s="4">
        <f t="shared" si="1"/>
        <v>1.1213005219530657E-2</v>
      </c>
      <c r="AG2" s="4">
        <f t="shared" si="1"/>
        <v>1.1213005219530657E-2</v>
      </c>
      <c r="AH2" s="4">
        <f t="shared" si="1"/>
        <v>1.1213005219530657E-2</v>
      </c>
      <c r="AI2" s="4">
        <f t="shared" si="1"/>
        <v>1.1213005219530657E-2</v>
      </c>
      <c r="AJ2" s="4">
        <f t="shared" si="1"/>
        <v>1.1213005219530657E-2</v>
      </c>
      <c r="AK2" s="4">
        <f t="shared" si="1"/>
        <v>1.1213005219530657E-2</v>
      </c>
      <c r="AL2" s="4">
        <f t="shared" si="1"/>
        <v>1.1213005219530657E-2</v>
      </c>
      <c r="AM2" s="4">
        <f t="shared" si="1"/>
        <v>1.1213005219530657E-2</v>
      </c>
      <c r="AN2" s="4">
        <f t="shared" si="1"/>
        <v>1.1213005219530657E-2</v>
      </c>
      <c r="AO2" s="4">
        <f t="shared" si="1"/>
        <v>1.1213005219530657E-2</v>
      </c>
      <c r="AP2" s="4">
        <f t="shared" si="1"/>
        <v>1.1213005219530657E-2</v>
      </c>
    </row>
    <row r="3" spans="1:42">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s="52" customFormat="1">
      <c r="A5" s="52" t="s">
        <v>115</v>
      </c>
      <c r="B5" s="34">
        <f>INDEX('AEO 7'!$C$51:$AJ$51,MATCH(B$1,'AEO 7'!$C$1:$AJ$1,0))/10^3</f>
        <v>3.4893709999999998E-3</v>
      </c>
      <c r="C5" s="34">
        <f>B5</f>
        <v>3.4893709999999998E-3</v>
      </c>
      <c r="D5" s="34">
        <f t="shared" ref="D5:Q5" si="2">C5</f>
        <v>3.4893709999999998E-3</v>
      </c>
      <c r="E5" s="34">
        <f t="shared" si="2"/>
        <v>3.4893709999999998E-3</v>
      </c>
      <c r="F5" s="34">
        <f t="shared" si="2"/>
        <v>3.4893709999999998E-3</v>
      </c>
      <c r="G5" s="34">
        <f t="shared" si="2"/>
        <v>3.4893709999999998E-3</v>
      </c>
      <c r="H5" s="34">
        <f t="shared" si="2"/>
        <v>3.4893709999999998E-3</v>
      </c>
      <c r="I5" s="34">
        <f t="shared" si="2"/>
        <v>3.4893709999999998E-3</v>
      </c>
      <c r="J5" s="34">
        <f t="shared" si="2"/>
        <v>3.4893709999999998E-3</v>
      </c>
      <c r="K5" s="34">
        <f t="shared" si="2"/>
        <v>3.4893709999999998E-3</v>
      </c>
      <c r="L5" s="34">
        <f t="shared" si="2"/>
        <v>3.4893709999999998E-3</v>
      </c>
      <c r="M5" s="34">
        <f t="shared" si="2"/>
        <v>3.4893709999999998E-3</v>
      </c>
      <c r="N5" s="34">
        <f t="shared" si="2"/>
        <v>3.4893709999999998E-3</v>
      </c>
      <c r="O5" s="34">
        <f t="shared" si="2"/>
        <v>3.4893709999999998E-3</v>
      </c>
      <c r="P5" s="34">
        <f t="shared" si="2"/>
        <v>3.4893709999999998E-3</v>
      </c>
      <c r="Q5" s="34">
        <f t="shared" si="2"/>
        <v>3.4893709999999998E-3</v>
      </c>
      <c r="R5" s="34">
        <f t="shared" ref="R5:AP5" si="3">Q5</f>
        <v>3.4893709999999998E-3</v>
      </c>
      <c r="S5" s="34">
        <f t="shared" si="3"/>
        <v>3.4893709999999998E-3</v>
      </c>
      <c r="T5" s="34">
        <f t="shared" si="3"/>
        <v>3.4893709999999998E-3</v>
      </c>
      <c r="U5" s="34">
        <f t="shared" si="3"/>
        <v>3.4893709999999998E-3</v>
      </c>
      <c r="V5" s="34">
        <f t="shared" si="3"/>
        <v>3.4893709999999998E-3</v>
      </c>
      <c r="W5" s="34">
        <f t="shared" si="3"/>
        <v>3.4893709999999998E-3</v>
      </c>
      <c r="X5" s="34">
        <f t="shared" si="3"/>
        <v>3.4893709999999998E-3</v>
      </c>
      <c r="Y5" s="34">
        <f t="shared" si="3"/>
        <v>3.4893709999999998E-3</v>
      </c>
      <c r="Z5" s="34">
        <f t="shared" si="3"/>
        <v>3.4893709999999998E-3</v>
      </c>
      <c r="AA5" s="34">
        <f t="shared" si="3"/>
        <v>3.4893709999999998E-3</v>
      </c>
      <c r="AB5" s="34">
        <f t="shared" si="3"/>
        <v>3.4893709999999998E-3</v>
      </c>
      <c r="AC5" s="34">
        <f t="shared" si="3"/>
        <v>3.4893709999999998E-3</v>
      </c>
      <c r="AD5" s="34">
        <f t="shared" si="3"/>
        <v>3.4893709999999998E-3</v>
      </c>
      <c r="AE5" s="34">
        <f t="shared" si="3"/>
        <v>3.4893709999999998E-3</v>
      </c>
      <c r="AF5" s="34">
        <f t="shared" si="3"/>
        <v>3.4893709999999998E-3</v>
      </c>
      <c r="AG5" s="34">
        <f t="shared" si="3"/>
        <v>3.4893709999999998E-3</v>
      </c>
      <c r="AH5" s="34">
        <f t="shared" si="3"/>
        <v>3.4893709999999998E-3</v>
      </c>
      <c r="AI5" s="34">
        <f t="shared" si="3"/>
        <v>3.4893709999999998E-3</v>
      </c>
      <c r="AJ5" s="34">
        <f t="shared" si="3"/>
        <v>3.4893709999999998E-3</v>
      </c>
      <c r="AK5" s="34">
        <f t="shared" si="3"/>
        <v>3.4893709999999998E-3</v>
      </c>
      <c r="AL5" s="34">
        <f t="shared" si="3"/>
        <v>3.4893709999999998E-3</v>
      </c>
      <c r="AM5" s="34">
        <f t="shared" si="3"/>
        <v>3.4893709999999998E-3</v>
      </c>
      <c r="AN5" s="34">
        <f t="shared" si="3"/>
        <v>3.4893709999999998E-3</v>
      </c>
      <c r="AO5" s="34">
        <f t="shared" si="3"/>
        <v>3.4893709999999998E-3</v>
      </c>
      <c r="AP5" s="34">
        <f t="shared" si="3"/>
        <v>3.4893709999999998E-3</v>
      </c>
    </row>
    <row r="6" spans="1:42">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854</v>
      </c>
      <c r="B8" s="4">
        <f>B$5*'Calculations Etc'!$B$35</f>
        <v>1.0468112999999998E-2</v>
      </c>
      <c r="C8" s="4">
        <f>C$5*'Calculations Etc'!$B$35</f>
        <v>1.0468112999999998E-2</v>
      </c>
      <c r="D8" s="4">
        <f>D$5*'Calculations Etc'!$B$35</f>
        <v>1.0468112999999998E-2</v>
      </c>
      <c r="E8" s="4">
        <f>E$5*'Calculations Etc'!$B$35</f>
        <v>1.0468112999999998E-2</v>
      </c>
      <c r="F8" s="4">
        <f>F$5*'Calculations Etc'!$B$35</f>
        <v>1.0468112999999998E-2</v>
      </c>
      <c r="G8" s="4">
        <f>G$5*'Calculations Etc'!$B$35</f>
        <v>1.0468112999999998E-2</v>
      </c>
      <c r="H8" s="4">
        <f>H$5*'Calculations Etc'!$B$35</f>
        <v>1.0468112999999998E-2</v>
      </c>
      <c r="I8" s="4">
        <f>I$5*'Calculations Etc'!$B$35</f>
        <v>1.0468112999999998E-2</v>
      </c>
      <c r="J8" s="4">
        <f>J$5*'Calculations Etc'!$B$35</f>
        <v>1.0468112999999998E-2</v>
      </c>
      <c r="K8" s="4">
        <f>K$5*'Calculations Etc'!$B$35</f>
        <v>1.0468112999999998E-2</v>
      </c>
      <c r="L8" s="4">
        <f>L$5*'Calculations Etc'!$B$35</f>
        <v>1.0468112999999998E-2</v>
      </c>
      <c r="M8" s="4">
        <f>M$5*'Calculations Etc'!$B$35</f>
        <v>1.0468112999999998E-2</v>
      </c>
      <c r="N8" s="4">
        <f>N$5*'Calculations Etc'!$B$35</f>
        <v>1.0468112999999998E-2</v>
      </c>
      <c r="O8" s="4">
        <f>O$5*'Calculations Etc'!$B$35</f>
        <v>1.0468112999999998E-2</v>
      </c>
      <c r="P8" s="4">
        <f>P$5*'Calculations Etc'!$B$35</f>
        <v>1.0468112999999998E-2</v>
      </c>
      <c r="Q8" s="4">
        <f>Q$5*'Calculations Etc'!$B$35</f>
        <v>1.0468112999999998E-2</v>
      </c>
      <c r="R8" s="4">
        <f>R$5*'Calculations Etc'!$B$35</f>
        <v>1.0468112999999998E-2</v>
      </c>
      <c r="S8" s="4">
        <f>S$5*'Calculations Etc'!$B$35</f>
        <v>1.0468112999999998E-2</v>
      </c>
      <c r="T8" s="4">
        <f>T$5*'Calculations Etc'!$B$35</f>
        <v>1.0468112999999998E-2</v>
      </c>
      <c r="U8" s="4">
        <f>U$5*'Calculations Etc'!$B$35</f>
        <v>1.0468112999999998E-2</v>
      </c>
      <c r="V8" s="4">
        <f>V$5*'Calculations Etc'!$B$35</f>
        <v>1.0468112999999998E-2</v>
      </c>
      <c r="W8" s="4">
        <f>W$5*'Calculations Etc'!$B$35</f>
        <v>1.0468112999999998E-2</v>
      </c>
      <c r="X8" s="4">
        <f>X$5*'Calculations Etc'!$B$35</f>
        <v>1.0468112999999998E-2</v>
      </c>
      <c r="Y8" s="4">
        <f>Y$5*'Calculations Etc'!$B$35</f>
        <v>1.0468112999999998E-2</v>
      </c>
      <c r="Z8" s="4">
        <f>Z$5*'Calculations Etc'!$B$35</f>
        <v>1.0468112999999998E-2</v>
      </c>
      <c r="AA8" s="4">
        <f>AA$5*'Calculations Etc'!$B$35</f>
        <v>1.0468112999999998E-2</v>
      </c>
      <c r="AB8" s="4">
        <f>AB$5*'Calculations Etc'!$B$35</f>
        <v>1.0468112999999998E-2</v>
      </c>
      <c r="AC8" s="4">
        <f>AC$5*'Calculations Etc'!$B$35</f>
        <v>1.0468112999999998E-2</v>
      </c>
      <c r="AD8" s="4">
        <f>AD$5*'Calculations Etc'!$B$35</f>
        <v>1.0468112999999998E-2</v>
      </c>
      <c r="AE8" s="4">
        <f>AE$5*'Calculations Etc'!$B$35</f>
        <v>1.0468112999999998E-2</v>
      </c>
      <c r="AF8" s="4">
        <f>AF$5*'Calculations Etc'!$B$35</f>
        <v>1.0468112999999998E-2</v>
      </c>
      <c r="AG8" s="4">
        <f>AG$5*'Calculations Etc'!$B$35</f>
        <v>1.0468112999999998E-2</v>
      </c>
      <c r="AH8" s="4">
        <f>AH$5*'Calculations Etc'!$B$35</f>
        <v>1.0468112999999998E-2</v>
      </c>
      <c r="AI8" s="4">
        <f>AI$5*'Calculations Etc'!$B$35</f>
        <v>1.0468112999999998E-2</v>
      </c>
      <c r="AJ8" s="4">
        <f>AJ$5*'Calculations Etc'!$B$35</f>
        <v>1.0468112999999998E-2</v>
      </c>
      <c r="AK8" s="4">
        <f>AK$5*'Calculations Etc'!$B$35</f>
        <v>1.0468112999999998E-2</v>
      </c>
      <c r="AL8" s="4">
        <f>AL$5*'Calculations Etc'!$B$35</f>
        <v>1.0468112999999998E-2</v>
      </c>
      <c r="AM8" s="4">
        <f>AM$5*'Calculations Etc'!$B$35</f>
        <v>1.0468112999999998E-2</v>
      </c>
      <c r="AN8" s="4">
        <f>AN$5*'Calculations Etc'!$B$35</f>
        <v>1.0468112999999998E-2</v>
      </c>
      <c r="AO8" s="4">
        <f>AO$5*'Calculations Etc'!$B$35</f>
        <v>1.0468112999999998E-2</v>
      </c>
      <c r="AP8" s="4">
        <f>AP$5*'Calculations Etc'!$B$35</f>
        <v>1.0468112999999998E-2</v>
      </c>
    </row>
    <row r="11" spans="1:42">
      <c r="B11" s="4"/>
    </row>
    <row r="12" spans="1:42">
      <c r="D12" s="1"/>
    </row>
  </sheetData>
  <phoneticPr fontId="59"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P9"/>
  <sheetViews>
    <sheetView topLeftCell="Y1" workbookViewId="0">
      <selection activeCell="AE1" sqref="AE1:AP8"/>
    </sheetView>
  </sheetViews>
  <sheetFormatPr defaultRowHeight="12.9"/>
  <cols>
    <col min="1" max="1" width="31.125" customWidth="1"/>
    <col min="2" max="2" width="11.625" bestFit="1" customWidth="1"/>
  </cols>
  <sheetData>
    <row r="1" spans="1:42">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112</v>
      </c>
      <c r="B2" s="4">
        <f t="array" ref="B2:B8">TRANSPOSE('SYFAFE-passenger'!B6:H6)</f>
        <v>3.2293482418666772E-5</v>
      </c>
      <c r="C2" s="4">
        <f>B2</f>
        <v>3.2293482418666772E-5</v>
      </c>
      <c r="D2" s="4">
        <f t="shared" ref="D2:AF8" si="0">C2</f>
        <v>3.2293482418666772E-5</v>
      </c>
      <c r="E2" s="4">
        <f t="shared" si="0"/>
        <v>3.2293482418666772E-5</v>
      </c>
      <c r="F2" s="4">
        <f t="shared" si="0"/>
        <v>3.2293482418666772E-5</v>
      </c>
      <c r="G2" s="4">
        <f t="shared" si="0"/>
        <v>3.2293482418666772E-5</v>
      </c>
      <c r="H2" s="4">
        <f t="shared" si="0"/>
        <v>3.2293482418666772E-5</v>
      </c>
      <c r="I2" s="4">
        <f t="shared" si="0"/>
        <v>3.2293482418666772E-5</v>
      </c>
      <c r="J2" s="4">
        <f t="shared" si="0"/>
        <v>3.2293482418666772E-5</v>
      </c>
      <c r="K2" s="4">
        <f t="shared" si="0"/>
        <v>3.2293482418666772E-5</v>
      </c>
      <c r="L2" s="4">
        <f t="shared" si="0"/>
        <v>3.2293482418666772E-5</v>
      </c>
      <c r="M2" s="4">
        <f t="shared" si="0"/>
        <v>3.2293482418666772E-5</v>
      </c>
      <c r="N2" s="4">
        <f t="shared" si="0"/>
        <v>3.2293482418666772E-5</v>
      </c>
      <c r="O2" s="4">
        <f t="shared" si="0"/>
        <v>3.2293482418666772E-5</v>
      </c>
      <c r="P2" s="4">
        <f t="shared" si="0"/>
        <v>3.2293482418666772E-5</v>
      </c>
      <c r="Q2" s="4">
        <f t="shared" si="0"/>
        <v>3.2293482418666772E-5</v>
      </c>
      <c r="R2" s="4">
        <f t="shared" si="0"/>
        <v>3.2293482418666772E-5</v>
      </c>
      <c r="S2" s="4">
        <f t="shared" si="0"/>
        <v>3.2293482418666772E-5</v>
      </c>
      <c r="T2" s="4">
        <f t="shared" si="0"/>
        <v>3.2293482418666772E-5</v>
      </c>
      <c r="U2" s="4">
        <f t="shared" si="0"/>
        <v>3.2293482418666772E-5</v>
      </c>
      <c r="V2" s="4">
        <f t="shared" si="0"/>
        <v>3.2293482418666772E-5</v>
      </c>
      <c r="W2" s="4">
        <f t="shared" si="0"/>
        <v>3.2293482418666772E-5</v>
      </c>
      <c r="X2" s="4">
        <f t="shared" si="0"/>
        <v>3.2293482418666772E-5</v>
      </c>
      <c r="Y2" s="4">
        <f t="shared" si="0"/>
        <v>3.2293482418666772E-5</v>
      </c>
      <c r="Z2" s="4">
        <f t="shared" si="0"/>
        <v>3.2293482418666772E-5</v>
      </c>
      <c r="AA2" s="4">
        <f t="shared" si="0"/>
        <v>3.2293482418666772E-5</v>
      </c>
      <c r="AB2" s="4">
        <f t="shared" si="0"/>
        <v>3.2293482418666772E-5</v>
      </c>
      <c r="AC2" s="4">
        <f t="shared" si="0"/>
        <v>3.2293482418666772E-5</v>
      </c>
      <c r="AD2" s="4">
        <f t="shared" si="0"/>
        <v>3.2293482418666772E-5</v>
      </c>
      <c r="AE2" s="4">
        <f t="shared" si="0"/>
        <v>3.2293482418666772E-5</v>
      </c>
      <c r="AF2" s="4">
        <f t="shared" si="0"/>
        <v>3.2293482418666772E-5</v>
      </c>
      <c r="AG2" s="4">
        <f t="shared" ref="AG2:AG8" si="1">AF2</f>
        <v>3.2293482418666772E-5</v>
      </c>
      <c r="AH2" s="4">
        <f t="shared" ref="AH2:AH8" si="2">AG2</f>
        <v>3.2293482418666772E-5</v>
      </c>
      <c r="AI2" s="4">
        <f t="shared" ref="AI2:AI8" si="3">AH2</f>
        <v>3.2293482418666772E-5</v>
      </c>
      <c r="AJ2" s="4">
        <f t="shared" ref="AJ2:AJ8" si="4">AI2</f>
        <v>3.2293482418666772E-5</v>
      </c>
      <c r="AK2" s="4">
        <f t="shared" ref="AK2:AK8" si="5">AJ2</f>
        <v>3.2293482418666772E-5</v>
      </c>
      <c r="AL2" s="4">
        <f t="shared" ref="AL2:AL8" si="6">AK2</f>
        <v>3.2293482418666772E-5</v>
      </c>
      <c r="AM2" s="4">
        <f t="shared" ref="AM2:AM8" si="7">AL2</f>
        <v>3.2293482418666772E-5</v>
      </c>
      <c r="AN2" s="4">
        <f t="shared" ref="AN2:AN8" si="8">AM2</f>
        <v>3.2293482418666772E-5</v>
      </c>
      <c r="AO2" s="4">
        <f t="shared" ref="AO2:AO8" si="9">AN2</f>
        <v>3.2293482418666772E-5</v>
      </c>
      <c r="AP2" s="4">
        <f t="shared" ref="AP2:AP8" si="10">AO2</f>
        <v>3.2293482418666772E-5</v>
      </c>
    </row>
    <row r="3" spans="1:42">
      <c r="A3" t="s">
        <v>113</v>
      </c>
      <c r="B3">
        <v>0</v>
      </c>
      <c r="C3" s="4">
        <f t="shared" ref="C3:R8" si="11">B3</f>
        <v>0</v>
      </c>
      <c r="D3" s="4">
        <f t="shared" si="11"/>
        <v>0</v>
      </c>
      <c r="E3" s="4">
        <f t="shared" si="11"/>
        <v>0</v>
      </c>
      <c r="F3" s="4">
        <f t="shared" si="11"/>
        <v>0</v>
      </c>
      <c r="G3" s="4">
        <f t="shared" si="11"/>
        <v>0</v>
      </c>
      <c r="H3" s="4">
        <f t="shared" si="11"/>
        <v>0</v>
      </c>
      <c r="I3" s="4">
        <f t="shared" si="11"/>
        <v>0</v>
      </c>
      <c r="J3" s="4">
        <f t="shared" si="11"/>
        <v>0</v>
      </c>
      <c r="K3" s="4">
        <f t="shared" si="11"/>
        <v>0</v>
      </c>
      <c r="L3" s="4">
        <f t="shared" si="11"/>
        <v>0</v>
      </c>
      <c r="M3" s="4">
        <f t="shared" si="11"/>
        <v>0</v>
      </c>
      <c r="N3" s="4">
        <f t="shared" si="11"/>
        <v>0</v>
      </c>
      <c r="O3" s="4">
        <f t="shared" si="11"/>
        <v>0</v>
      </c>
      <c r="P3" s="4">
        <f t="shared" si="11"/>
        <v>0</v>
      </c>
      <c r="Q3" s="4">
        <f t="shared" si="11"/>
        <v>0</v>
      </c>
      <c r="R3" s="4">
        <f t="shared" si="11"/>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1"/>
        <v>0</v>
      </c>
      <c r="AH3" s="4">
        <f t="shared" si="2"/>
        <v>0</v>
      </c>
      <c r="AI3" s="4">
        <f t="shared" si="3"/>
        <v>0</v>
      </c>
      <c r="AJ3" s="4">
        <f t="shared" si="4"/>
        <v>0</v>
      </c>
      <c r="AK3" s="4">
        <f t="shared" si="5"/>
        <v>0</v>
      </c>
      <c r="AL3" s="4">
        <f t="shared" si="6"/>
        <v>0</v>
      </c>
      <c r="AM3" s="4">
        <f t="shared" si="7"/>
        <v>0</v>
      </c>
      <c r="AN3" s="4">
        <f t="shared" si="8"/>
        <v>0</v>
      </c>
      <c r="AO3" s="4">
        <f t="shared" si="9"/>
        <v>0</v>
      </c>
      <c r="AP3" s="4">
        <f t="shared" si="10"/>
        <v>0</v>
      </c>
    </row>
    <row r="4" spans="1:42">
      <c r="A4" t="s">
        <v>114</v>
      </c>
      <c r="B4" s="4">
        <v>1.0049397002369564E-5</v>
      </c>
      <c r="C4" s="4">
        <f t="shared" si="11"/>
        <v>1.0049397002369564E-5</v>
      </c>
      <c r="D4" s="4">
        <f t="shared" si="0"/>
        <v>1.0049397002369564E-5</v>
      </c>
      <c r="E4" s="4">
        <f t="shared" si="0"/>
        <v>1.0049397002369564E-5</v>
      </c>
      <c r="F4" s="4">
        <f t="shared" si="0"/>
        <v>1.0049397002369564E-5</v>
      </c>
      <c r="G4" s="4">
        <f t="shared" si="0"/>
        <v>1.0049397002369564E-5</v>
      </c>
      <c r="H4" s="4">
        <f t="shared" si="0"/>
        <v>1.0049397002369564E-5</v>
      </c>
      <c r="I4" s="4">
        <f t="shared" si="0"/>
        <v>1.0049397002369564E-5</v>
      </c>
      <c r="J4" s="4">
        <f t="shared" si="0"/>
        <v>1.0049397002369564E-5</v>
      </c>
      <c r="K4" s="4">
        <f t="shared" si="0"/>
        <v>1.0049397002369564E-5</v>
      </c>
      <c r="L4" s="4">
        <f t="shared" si="0"/>
        <v>1.0049397002369564E-5</v>
      </c>
      <c r="M4" s="4">
        <f t="shared" si="0"/>
        <v>1.0049397002369564E-5</v>
      </c>
      <c r="N4" s="4">
        <f t="shared" si="0"/>
        <v>1.0049397002369564E-5</v>
      </c>
      <c r="O4" s="4">
        <f t="shared" si="0"/>
        <v>1.0049397002369564E-5</v>
      </c>
      <c r="P4" s="4">
        <f t="shared" si="0"/>
        <v>1.0049397002369564E-5</v>
      </c>
      <c r="Q4" s="4">
        <f t="shared" si="0"/>
        <v>1.0049397002369564E-5</v>
      </c>
      <c r="R4" s="4">
        <f t="shared" si="0"/>
        <v>1.0049397002369564E-5</v>
      </c>
      <c r="S4" s="4">
        <f t="shared" si="0"/>
        <v>1.0049397002369564E-5</v>
      </c>
      <c r="T4" s="4">
        <f t="shared" si="0"/>
        <v>1.0049397002369564E-5</v>
      </c>
      <c r="U4" s="4">
        <f t="shared" si="0"/>
        <v>1.0049397002369564E-5</v>
      </c>
      <c r="V4" s="4">
        <f t="shared" si="0"/>
        <v>1.0049397002369564E-5</v>
      </c>
      <c r="W4" s="4">
        <f t="shared" si="0"/>
        <v>1.0049397002369564E-5</v>
      </c>
      <c r="X4" s="4">
        <f t="shared" si="0"/>
        <v>1.0049397002369564E-5</v>
      </c>
      <c r="Y4" s="4">
        <f t="shared" si="0"/>
        <v>1.0049397002369564E-5</v>
      </c>
      <c r="Z4" s="4">
        <f t="shared" si="0"/>
        <v>1.0049397002369564E-5</v>
      </c>
      <c r="AA4" s="4">
        <f t="shared" si="0"/>
        <v>1.0049397002369564E-5</v>
      </c>
      <c r="AB4" s="4">
        <f t="shared" si="0"/>
        <v>1.0049397002369564E-5</v>
      </c>
      <c r="AC4" s="4">
        <f t="shared" si="0"/>
        <v>1.0049397002369564E-5</v>
      </c>
      <c r="AD4" s="4">
        <f t="shared" si="0"/>
        <v>1.0049397002369564E-5</v>
      </c>
      <c r="AE4" s="4">
        <f t="shared" si="0"/>
        <v>1.0049397002369564E-5</v>
      </c>
      <c r="AF4" s="4">
        <f t="shared" si="0"/>
        <v>1.0049397002369564E-5</v>
      </c>
      <c r="AG4" s="4">
        <f t="shared" si="1"/>
        <v>1.0049397002369564E-5</v>
      </c>
      <c r="AH4" s="4">
        <f t="shared" si="2"/>
        <v>1.0049397002369564E-5</v>
      </c>
      <c r="AI4" s="4">
        <f t="shared" si="3"/>
        <v>1.0049397002369564E-5</v>
      </c>
      <c r="AJ4" s="4">
        <f t="shared" si="4"/>
        <v>1.0049397002369564E-5</v>
      </c>
      <c r="AK4" s="4">
        <f t="shared" si="5"/>
        <v>1.0049397002369564E-5</v>
      </c>
      <c r="AL4" s="4">
        <f t="shared" si="6"/>
        <v>1.0049397002369564E-5</v>
      </c>
      <c r="AM4" s="4">
        <f t="shared" si="7"/>
        <v>1.0049397002369564E-5</v>
      </c>
      <c r="AN4" s="4">
        <f t="shared" si="8"/>
        <v>1.0049397002369564E-5</v>
      </c>
      <c r="AO4" s="4">
        <f t="shared" si="9"/>
        <v>1.0049397002369564E-5</v>
      </c>
      <c r="AP4" s="4">
        <f t="shared" si="10"/>
        <v>1.0049397002369564E-5</v>
      </c>
    </row>
    <row r="5" spans="1:42">
      <c r="A5" t="s">
        <v>115</v>
      </c>
      <c r="B5" s="4">
        <v>1.0049397002369565E-5</v>
      </c>
      <c r="C5" s="4">
        <f t="shared" si="11"/>
        <v>1.0049397002369565E-5</v>
      </c>
      <c r="D5" s="4">
        <f t="shared" si="0"/>
        <v>1.0049397002369565E-5</v>
      </c>
      <c r="E5" s="4">
        <f t="shared" si="0"/>
        <v>1.0049397002369565E-5</v>
      </c>
      <c r="F5" s="4">
        <f t="shared" si="0"/>
        <v>1.0049397002369565E-5</v>
      </c>
      <c r="G5" s="4">
        <f t="shared" si="0"/>
        <v>1.0049397002369565E-5</v>
      </c>
      <c r="H5" s="4">
        <f t="shared" si="0"/>
        <v>1.0049397002369565E-5</v>
      </c>
      <c r="I5" s="4">
        <f t="shared" si="0"/>
        <v>1.0049397002369565E-5</v>
      </c>
      <c r="J5" s="4">
        <f t="shared" si="0"/>
        <v>1.0049397002369565E-5</v>
      </c>
      <c r="K5" s="4">
        <f t="shared" si="0"/>
        <v>1.0049397002369565E-5</v>
      </c>
      <c r="L5" s="4">
        <f t="shared" si="0"/>
        <v>1.0049397002369565E-5</v>
      </c>
      <c r="M5" s="4">
        <f t="shared" si="0"/>
        <v>1.0049397002369565E-5</v>
      </c>
      <c r="N5" s="4">
        <f t="shared" si="0"/>
        <v>1.0049397002369565E-5</v>
      </c>
      <c r="O5" s="4">
        <f t="shared" si="0"/>
        <v>1.0049397002369565E-5</v>
      </c>
      <c r="P5" s="4">
        <f t="shared" si="0"/>
        <v>1.0049397002369565E-5</v>
      </c>
      <c r="Q5" s="4">
        <f t="shared" si="0"/>
        <v>1.0049397002369565E-5</v>
      </c>
      <c r="R5" s="4">
        <f t="shared" si="0"/>
        <v>1.0049397002369565E-5</v>
      </c>
      <c r="S5" s="4">
        <f t="shared" si="0"/>
        <v>1.0049397002369565E-5</v>
      </c>
      <c r="T5" s="4">
        <f t="shared" si="0"/>
        <v>1.0049397002369565E-5</v>
      </c>
      <c r="U5" s="4">
        <f t="shared" si="0"/>
        <v>1.0049397002369565E-5</v>
      </c>
      <c r="V5" s="4">
        <f t="shared" si="0"/>
        <v>1.0049397002369565E-5</v>
      </c>
      <c r="W5" s="4">
        <f t="shared" si="0"/>
        <v>1.0049397002369565E-5</v>
      </c>
      <c r="X5" s="4">
        <f t="shared" si="0"/>
        <v>1.0049397002369565E-5</v>
      </c>
      <c r="Y5" s="4">
        <f t="shared" si="0"/>
        <v>1.0049397002369565E-5</v>
      </c>
      <c r="Z5" s="4">
        <f t="shared" si="0"/>
        <v>1.0049397002369565E-5</v>
      </c>
      <c r="AA5" s="4">
        <f t="shared" si="0"/>
        <v>1.0049397002369565E-5</v>
      </c>
      <c r="AB5" s="4">
        <f t="shared" si="0"/>
        <v>1.0049397002369565E-5</v>
      </c>
      <c r="AC5" s="4">
        <f t="shared" si="0"/>
        <v>1.0049397002369565E-5</v>
      </c>
      <c r="AD5" s="4">
        <f t="shared" si="0"/>
        <v>1.0049397002369565E-5</v>
      </c>
      <c r="AE5" s="4">
        <f t="shared" si="0"/>
        <v>1.0049397002369565E-5</v>
      </c>
      <c r="AF5" s="4">
        <f t="shared" si="0"/>
        <v>1.0049397002369565E-5</v>
      </c>
      <c r="AG5" s="4">
        <f t="shared" si="1"/>
        <v>1.0049397002369565E-5</v>
      </c>
      <c r="AH5" s="4">
        <f t="shared" si="2"/>
        <v>1.0049397002369565E-5</v>
      </c>
      <c r="AI5" s="4">
        <f t="shared" si="3"/>
        <v>1.0049397002369565E-5</v>
      </c>
      <c r="AJ5" s="4">
        <f t="shared" si="4"/>
        <v>1.0049397002369565E-5</v>
      </c>
      <c r="AK5" s="4">
        <f t="shared" si="5"/>
        <v>1.0049397002369565E-5</v>
      </c>
      <c r="AL5" s="4">
        <f t="shared" si="6"/>
        <v>1.0049397002369565E-5</v>
      </c>
      <c r="AM5" s="4">
        <f t="shared" si="7"/>
        <v>1.0049397002369565E-5</v>
      </c>
      <c r="AN5" s="4">
        <f t="shared" si="8"/>
        <v>1.0049397002369565E-5</v>
      </c>
      <c r="AO5" s="4">
        <f t="shared" si="9"/>
        <v>1.0049397002369565E-5</v>
      </c>
      <c r="AP5" s="4">
        <f t="shared" si="10"/>
        <v>1.0049397002369565E-5</v>
      </c>
    </row>
    <row r="6" spans="1:42">
      <c r="A6" t="s">
        <v>116</v>
      </c>
      <c r="B6">
        <v>0</v>
      </c>
      <c r="C6" s="4">
        <f t="shared" si="11"/>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0"/>
        <v>0</v>
      </c>
      <c r="AG6" s="4">
        <f t="shared" si="1"/>
        <v>0</v>
      </c>
      <c r="AH6" s="4">
        <f t="shared" si="2"/>
        <v>0</v>
      </c>
      <c r="AI6" s="4">
        <f t="shared" si="3"/>
        <v>0</v>
      </c>
      <c r="AJ6" s="4">
        <f t="shared" si="4"/>
        <v>0</v>
      </c>
      <c r="AK6" s="4">
        <f t="shared" si="5"/>
        <v>0</v>
      </c>
      <c r="AL6" s="4">
        <f t="shared" si="6"/>
        <v>0</v>
      </c>
      <c r="AM6" s="4">
        <f t="shared" si="7"/>
        <v>0</v>
      </c>
      <c r="AN6" s="4">
        <f t="shared" si="8"/>
        <v>0</v>
      </c>
      <c r="AO6" s="4">
        <f t="shared" si="9"/>
        <v>0</v>
      </c>
      <c r="AP6" s="4">
        <f t="shared" si="10"/>
        <v>0</v>
      </c>
    </row>
    <row r="7" spans="1:42">
      <c r="A7" t="s">
        <v>853</v>
      </c>
      <c r="B7">
        <v>0</v>
      </c>
      <c r="C7" s="4">
        <f t="shared" si="11"/>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c r="AG7" s="4">
        <f t="shared" si="1"/>
        <v>0</v>
      </c>
      <c r="AH7" s="4">
        <f t="shared" si="2"/>
        <v>0</v>
      </c>
      <c r="AI7" s="4">
        <f t="shared" si="3"/>
        <v>0</v>
      </c>
      <c r="AJ7" s="4">
        <f t="shared" si="4"/>
        <v>0</v>
      </c>
      <c r="AK7" s="4">
        <f t="shared" si="5"/>
        <v>0</v>
      </c>
      <c r="AL7" s="4">
        <f t="shared" si="6"/>
        <v>0</v>
      </c>
      <c r="AM7" s="4">
        <f t="shared" si="7"/>
        <v>0</v>
      </c>
      <c r="AN7" s="4">
        <f t="shared" si="8"/>
        <v>0</v>
      </c>
      <c r="AO7" s="4">
        <f t="shared" si="9"/>
        <v>0</v>
      </c>
      <c r="AP7" s="4">
        <f t="shared" si="10"/>
        <v>0</v>
      </c>
    </row>
    <row r="8" spans="1:42">
      <c r="A8" t="s">
        <v>854</v>
      </c>
      <c r="B8" s="4">
        <v>3.0148191007108693E-5</v>
      </c>
      <c r="C8" s="4">
        <f t="shared" si="11"/>
        <v>3.0148191007108693E-5</v>
      </c>
      <c r="D8" s="4">
        <f t="shared" si="0"/>
        <v>3.0148191007108693E-5</v>
      </c>
      <c r="E8" s="4">
        <f t="shared" si="0"/>
        <v>3.0148191007108693E-5</v>
      </c>
      <c r="F8" s="4">
        <f t="shared" si="0"/>
        <v>3.0148191007108693E-5</v>
      </c>
      <c r="G8" s="4">
        <f t="shared" si="0"/>
        <v>3.0148191007108693E-5</v>
      </c>
      <c r="H8" s="4">
        <f t="shared" si="0"/>
        <v>3.0148191007108693E-5</v>
      </c>
      <c r="I8" s="4">
        <f t="shared" si="0"/>
        <v>3.0148191007108693E-5</v>
      </c>
      <c r="J8" s="4">
        <f t="shared" si="0"/>
        <v>3.0148191007108693E-5</v>
      </c>
      <c r="K8" s="4">
        <f t="shared" si="0"/>
        <v>3.0148191007108693E-5</v>
      </c>
      <c r="L8" s="4">
        <f t="shared" si="0"/>
        <v>3.0148191007108693E-5</v>
      </c>
      <c r="M8" s="4">
        <f t="shared" si="0"/>
        <v>3.0148191007108693E-5</v>
      </c>
      <c r="N8" s="4">
        <f t="shared" si="0"/>
        <v>3.0148191007108693E-5</v>
      </c>
      <c r="O8" s="4">
        <f t="shared" si="0"/>
        <v>3.0148191007108693E-5</v>
      </c>
      <c r="P8" s="4">
        <f t="shared" si="0"/>
        <v>3.0148191007108693E-5</v>
      </c>
      <c r="Q8" s="4">
        <f t="shared" si="0"/>
        <v>3.0148191007108693E-5</v>
      </c>
      <c r="R8" s="4">
        <f t="shared" si="0"/>
        <v>3.0148191007108693E-5</v>
      </c>
      <c r="S8" s="4">
        <f t="shared" si="0"/>
        <v>3.0148191007108693E-5</v>
      </c>
      <c r="T8" s="4">
        <f t="shared" si="0"/>
        <v>3.0148191007108693E-5</v>
      </c>
      <c r="U8" s="4">
        <f t="shared" si="0"/>
        <v>3.0148191007108693E-5</v>
      </c>
      <c r="V8" s="4">
        <f t="shared" si="0"/>
        <v>3.0148191007108693E-5</v>
      </c>
      <c r="W8" s="4">
        <f t="shared" si="0"/>
        <v>3.0148191007108693E-5</v>
      </c>
      <c r="X8" s="4">
        <f t="shared" si="0"/>
        <v>3.0148191007108693E-5</v>
      </c>
      <c r="Y8" s="4">
        <f t="shared" si="0"/>
        <v>3.0148191007108693E-5</v>
      </c>
      <c r="Z8" s="4">
        <f t="shared" si="0"/>
        <v>3.0148191007108693E-5</v>
      </c>
      <c r="AA8" s="4">
        <f t="shared" si="0"/>
        <v>3.0148191007108693E-5</v>
      </c>
      <c r="AB8" s="4">
        <f t="shared" si="0"/>
        <v>3.0148191007108693E-5</v>
      </c>
      <c r="AC8" s="4">
        <f t="shared" si="0"/>
        <v>3.0148191007108693E-5</v>
      </c>
      <c r="AD8" s="4">
        <f t="shared" si="0"/>
        <v>3.0148191007108693E-5</v>
      </c>
      <c r="AE8" s="4">
        <f t="shared" si="0"/>
        <v>3.0148191007108693E-5</v>
      </c>
      <c r="AF8" s="4">
        <f t="shared" si="0"/>
        <v>3.0148191007108693E-5</v>
      </c>
      <c r="AG8" s="4">
        <f t="shared" si="1"/>
        <v>3.0148191007108693E-5</v>
      </c>
      <c r="AH8" s="4">
        <f t="shared" si="2"/>
        <v>3.0148191007108693E-5</v>
      </c>
      <c r="AI8" s="4">
        <f t="shared" si="3"/>
        <v>3.0148191007108693E-5</v>
      </c>
      <c r="AJ8" s="4">
        <f t="shared" si="4"/>
        <v>3.0148191007108693E-5</v>
      </c>
      <c r="AK8" s="4">
        <f t="shared" si="5"/>
        <v>3.0148191007108693E-5</v>
      </c>
      <c r="AL8" s="4">
        <f t="shared" si="6"/>
        <v>3.0148191007108693E-5</v>
      </c>
      <c r="AM8" s="4">
        <f t="shared" si="7"/>
        <v>3.0148191007108693E-5</v>
      </c>
      <c r="AN8" s="4">
        <f t="shared" si="8"/>
        <v>3.0148191007108693E-5</v>
      </c>
      <c r="AO8" s="4">
        <f t="shared" si="9"/>
        <v>3.0148191007108693E-5</v>
      </c>
      <c r="AP8" s="4">
        <f t="shared" si="10"/>
        <v>3.0148191007108693E-5</v>
      </c>
    </row>
    <row r="9" spans="1:42">
      <c r="AJ9" s="4"/>
    </row>
  </sheetData>
  <phoneticPr fontId="59"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P9"/>
  <sheetViews>
    <sheetView topLeftCell="V1" workbookViewId="0">
      <selection activeCell="AE1" sqref="AE1:AP8"/>
    </sheetView>
  </sheetViews>
  <sheetFormatPr defaultRowHeight="12.9"/>
  <cols>
    <col min="1" max="1" width="31.125" customWidth="1"/>
    <col min="2" max="2" width="9.5" bestFit="1" customWidth="1"/>
  </cols>
  <sheetData>
    <row r="1" spans="1:42">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112</v>
      </c>
      <c r="B2" s="4">
        <f>B$5/(1-'Calculations Etc'!$B$17)</f>
        <v>1.7597495898417057E-2</v>
      </c>
      <c r="C2" s="4">
        <f>C$5/(1-'Calculations Etc'!$B$17)</f>
        <v>1.7597495898417057E-2</v>
      </c>
      <c r="D2" s="4">
        <f>D$5/(1-'Calculations Etc'!$B$17)</f>
        <v>1.7597495898417057E-2</v>
      </c>
      <c r="E2" s="4">
        <f>E$5/(1-'Calculations Etc'!$B$17)</f>
        <v>1.7597495898417057E-2</v>
      </c>
      <c r="F2" s="4">
        <f>F$5/(1-'Calculations Etc'!$B$17)</f>
        <v>1.7597495898417057E-2</v>
      </c>
      <c r="G2" s="4">
        <f>G$5/(1-'Calculations Etc'!$B$17)</f>
        <v>1.7597495898417057E-2</v>
      </c>
      <c r="H2" s="4">
        <f>H$5/(1-'Calculations Etc'!$B$17)</f>
        <v>1.7597495898417057E-2</v>
      </c>
      <c r="I2" s="4">
        <f>I$5/(1-'Calculations Etc'!$B$17)</f>
        <v>1.7597495898417057E-2</v>
      </c>
      <c r="J2" s="4">
        <f>J$5/(1-'Calculations Etc'!$B$17)</f>
        <v>1.7597495898417057E-2</v>
      </c>
      <c r="K2" s="4">
        <f>K$5/(1-'Calculations Etc'!$B$17)</f>
        <v>1.7597495898417057E-2</v>
      </c>
      <c r="L2" s="4">
        <f>L$5/(1-'Calculations Etc'!$B$17)</f>
        <v>1.7597495898417057E-2</v>
      </c>
      <c r="M2" s="4">
        <f>M$5/(1-'Calculations Etc'!$B$17)</f>
        <v>1.7597495898417057E-2</v>
      </c>
      <c r="N2" s="4">
        <f>N$5/(1-'Calculations Etc'!$B$17)</f>
        <v>1.7597495898417057E-2</v>
      </c>
      <c r="O2" s="4">
        <f>O$5/(1-'Calculations Etc'!$B$17)</f>
        <v>1.7597495898417057E-2</v>
      </c>
      <c r="P2" s="4">
        <f>P$5/(1-'Calculations Etc'!$B$17)</f>
        <v>1.7597495898417057E-2</v>
      </c>
      <c r="Q2" s="4">
        <f>Q$5/(1-'Calculations Etc'!$B$17)</f>
        <v>1.7597495898417057E-2</v>
      </c>
      <c r="R2" s="4">
        <f>R$5/(1-'Calculations Etc'!$B$17)</f>
        <v>1.7597495898417057E-2</v>
      </c>
      <c r="S2" s="4">
        <f>S$5/(1-'Calculations Etc'!$B$17)</f>
        <v>1.7597495898417057E-2</v>
      </c>
      <c r="T2" s="4">
        <f>T$5/(1-'Calculations Etc'!$B$17)</f>
        <v>1.7597495898417057E-2</v>
      </c>
      <c r="U2" s="4">
        <f>U$5/(1-'Calculations Etc'!$B$17)</f>
        <v>1.7597495898417057E-2</v>
      </c>
      <c r="V2" s="4">
        <f>V$5/(1-'Calculations Etc'!$B$17)</f>
        <v>1.7597495898417057E-2</v>
      </c>
      <c r="W2" s="4">
        <f>W$5/(1-'Calculations Etc'!$B$17)</f>
        <v>1.7597495898417057E-2</v>
      </c>
      <c r="X2" s="4">
        <f>X$5/(1-'Calculations Etc'!$B$17)</f>
        <v>1.7597495898417057E-2</v>
      </c>
      <c r="Y2" s="4">
        <f>Y$5/(1-'Calculations Etc'!$B$17)</f>
        <v>1.7597495898417057E-2</v>
      </c>
      <c r="Z2" s="4">
        <f>Z$5/(1-'Calculations Etc'!$B$17)</f>
        <v>1.7597495898417057E-2</v>
      </c>
      <c r="AA2" s="4">
        <f>AA$5/(1-'Calculations Etc'!$B$17)</f>
        <v>1.7597495898417057E-2</v>
      </c>
      <c r="AB2" s="4">
        <f>AB$5/(1-'Calculations Etc'!$B$17)</f>
        <v>1.7597495898417057E-2</v>
      </c>
      <c r="AC2" s="4">
        <f>AC$5/(1-'Calculations Etc'!$B$17)</f>
        <v>1.7597495898417057E-2</v>
      </c>
      <c r="AD2" s="4">
        <f>AD$5/(1-'Calculations Etc'!$B$17)</f>
        <v>1.7597495898417057E-2</v>
      </c>
      <c r="AE2" s="4">
        <f>AE$5/(1-'Calculations Etc'!$B$17)</f>
        <v>1.7597495898417057E-2</v>
      </c>
      <c r="AF2" s="4">
        <f>AF$5/(1-'Calculations Etc'!$B$17)</f>
        <v>1.7597495898417057E-2</v>
      </c>
      <c r="AG2" s="4">
        <f>AG$5/(1-'Calculations Etc'!$B$17)</f>
        <v>1.7597495898417057E-2</v>
      </c>
      <c r="AH2" s="4">
        <f>AH$5/(1-'Calculations Etc'!$B$17)</f>
        <v>1.7597495898417057E-2</v>
      </c>
      <c r="AI2" s="4">
        <f>AI$5/(1-'Calculations Etc'!$B$17)</f>
        <v>1.7597495898417057E-2</v>
      </c>
      <c r="AJ2" s="4">
        <f>AJ$5/(1-'Calculations Etc'!$B$17)</f>
        <v>1.7597495898417057E-2</v>
      </c>
      <c r="AK2" s="4">
        <f>AK$5/(1-'Calculations Etc'!$B$17)</f>
        <v>1.7597495898417057E-2</v>
      </c>
      <c r="AL2" s="4">
        <f>AL$5/(1-'Calculations Etc'!$B$17)</f>
        <v>1.7597495898417057E-2</v>
      </c>
      <c r="AM2" s="4">
        <f>AM$5/(1-'Calculations Etc'!$B$17)</f>
        <v>1.7597495898417057E-2</v>
      </c>
      <c r="AN2" s="4">
        <f>AN$5/(1-'Calculations Etc'!$B$17)</f>
        <v>1.7597495898417057E-2</v>
      </c>
      <c r="AO2" s="4">
        <f>AO$5/(1-'Calculations Etc'!$B$17)</f>
        <v>1.7597495898417057E-2</v>
      </c>
      <c r="AP2" s="4">
        <f>AP$5/(1-'Calculations Etc'!$B$17)</f>
        <v>1.7597495898417057E-2</v>
      </c>
    </row>
    <row r="3" spans="1:42">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115</v>
      </c>
      <c r="B5" s="4">
        <f>'[5]SYFAFE-frgt'!$E$6</f>
        <v>5.4761583231587594E-3</v>
      </c>
      <c r="C5" s="4">
        <f>B5</f>
        <v>5.4761583231587594E-3</v>
      </c>
      <c r="D5" s="4">
        <f t="shared" ref="D5:AF5" si="0">C5</f>
        <v>5.4761583231587594E-3</v>
      </c>
      <c r="E5" s="4">
        <f t="shared" si="0"/>
        <v>5.4761583231587594E-3</v>
      </c>
      <c r="F5" s="4">
        <f t="shared" si="0"/>
        <v>5.4761583231587594E-3</v>
      </c>
      <c r="G5" s="4">
        <f t="shared" si="0"/>
        <v>5.4761583231587594E-3</v>
      </c>
      <c r="H5" s="4">
        <f t="shared" si="0"/>
        <v>5.4761583231587594E-3</v>
      </c>
      <c r="I5" s="4">
        <f t="shared" si="0"/>
        <v>5.4761583231587594E-3</v>
      </c>
      <c r="J5" s="4">
        <f t="shared" si="0"/>
        <v>5.4761583231587594E-3</v>
      </c>
      <c r="K5" s="4">
        <f t="shared" si="0"/>
        <v>5.4761583231587594E-3</v>
      </c>
      <c r="L5" s="4">
        <f t="shared" si="0"/>
        <v>5.4761583231587594E-3</v>
      </c>
      <c r="M5" s="4">
        <f t="shared" si="0"/>
        <v>5.4761583231587594E-3</v>
      </c>
      <c r="N5" s="4">
        <f t="shared" si="0"/>
        <v>5.4761583231587594E-3</v>
      </c>
      <c r="O5" s="4">
        <f t="shared" si="0"/>
        <v>5.4761583231587594E-3</v>
      </c>
      <c r="P5" s="4">
        <f t="shared" si="0"/>
        <v>5.4761583231587594E-3</v>
      </c>
      <c r="Q5" s="4">
        <f t="shared" si="0"/>
        <v>5.4761583231587594E-3</v>
      </c>
      <c r="R5" s="4">
        <f t="shared" si="0"/>
        <v>5.4761583231587594E-3</v>
      </c>
      <c r="S5" s="4">
        <f t="shared" si="0"/>
        <v>5.4761583231587594E-3</v>
      </c>
      <c r="T5" s="4">
        <f t="shared" si="0"/>
        <v>5.4761583231587594E-3</v>
      </c>
      <c r="U5" s="4">
        <f t="shared" si="0"/>
        <v>5.4761583231587594E-3</v>
      </c>
      <c r="V5" s="4">
        <f t="shared" si="0"/>
        <v>5.4761583231587594E-3</v>
      </c>
      <c r="W5" s="4">
        <f t="shared" si="0"/>
        <v>5.4761583231587594E-3</v>
      </c>
      <c r="X5" s="4">
        <f t="shared" si="0"/>
        <v>5.4761583231587594E-3</v>
      </c>
      <c r="Y5" s="4">
        <f t="shared" si="0"/>
        <v>5.4761583231587594E-3</v>
      </c>
      <c r="Z5" s="4">
        <f t="shared" si="0"/>
        <v>5.4761583231587594E-3</v>
      </c>
      <c r="AA5" s="4">
        <f t="shared" si="0"/>
        <v>5.4761583231587594E-3</v>
      </c>
      <c r="AB5" s="4">
        <f t="shared" si="0"/>
        <v>5.4761583231587594E-3</v>
      </c>
      <c r="AC5" s="4">
        <f t="shared" si="0"/>
        <v>5.4761583231587594E-3</v>
      </c>
      <c r="AD5" s="4">
        <f t="shared" si="0"/>
        <v>5.4761583231587594E-3</v>
      </c>
      <c r="AE5" s="4">
        <f t="shared" si="0"/>
        <v>5.4761583231587594E-3</v>
      </c>
      <c r="AF5" s="4">
        <f t="shared" si="0"/>
        <v>5.4761583231587594E-3</v>
      </c>
      <c r="AG5" s="4">
        <f t="shared" ref="AG5" si="1">AF5</f>
        <v>5.4761583231587594E-3</v>
      </c>
      <c r="AH5" s="4">
        <f t="shared" ref="AH5" si="2">AG5</f>
        <v>5.4761583231587594E-3</v>
      </c>
      <c r="AI5" s="4">
        <f t="shared" ref="AI5" si="3">AH5</f>
        <v>5.4761583231587594E-3</v>
      </c>
      <c r="AJ5" s="4">
        <f t="shared" ref="AJ5" si="4">AI5</f>
        <v>5.4761583231587594E-3</v>
      </c>
      <c r="AK5" s="4">
        <f t="shared" ref="AK5" si="5">AJ5</f>
        <v>5.4761583231587594E-3</v>
      </c>
      <c r="AL5" s="4">
        <f t="shared" ref="AL5" si="6">AK5</f>
        <v>5.4761583231587594E-3</v>
      </c>
      <c r="AM5" s="4">
        <f t="shared" ref="AM5" si="7">AL5</f>
        <v>5.4761583231587594E-3</v>
      </c>
      <c r="AN5" s="4">
        <f t="shared" ref="AN5" si="8">AM5</f>
        <v>5.4761583231587594E-3</v>
      </c>
      <c r="AO5" s="4">
        <f t="shared" ref="AO5" si="9">AN5</f>
        <v>5.4761583231587594E-3</v>
      </c>
      <c r="AP5" s="4">
        <f t="shared" ref="AP5" si="10">AO5</f>
        <v>5.4761583231587594E-3</v>
      </c>
    </row>
    <row r="6" spans="1:42">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854</v>
      </c>
      <c r="B8" s="4">
        <f>B$5*'Calculations Etc'!$B$35</f>
        <v>1.6428474969476276E-2</v>
      </c>
      <c r="C8" s="4">
        <f>C$5*'Calculations Etc'!$B$35</f>
        <v>1.6428474969476276E-2</v>
      </c>
      <c r="D8" s="4">
        <f>D$5*'Calculations Etc'!$B$35</f>
        <v>1.6428474969476276E-2</v>
      </c>
      <c r="E8" s="4">
        <f>E$5*'Calculations Etc'!$B$35</f>
        <v>1.6428474969476276E-2</v>
      </c>
      <c r="F8" s="4">
        <f>F$5*'Calculations Etc'!$B$35</f>
        <v>1.6428474969476276E-2</v>
      </c>
      <c r="G8" s="4">
        <f>G$5*'Calculations Etc'!$B$35</f>
        <v>1.6428474969476276E-2</v>
      </c>
      <c r="H8" s="4">
        <f>H$5*'Calculations Etc'!$B$35</f>
        <v>1.6428474969476276E-2</v>
      </c>
      <c r="I8" s="4">
        <f>I$5*'Calculations Etc'!$B$35</f>
        <v>1.6428474969476276E-2</v>
      </c>
      <c r="J8" s="4">
        <f>J$5*'Calculations Etc'!$B$35</f>
        <v>1.6428474969476276E-2</v>
      </c>
      <c r="K8" s="4">
        <f>K$5*'Calculations Etc'!$B$35</f>
        <v>1.6428474969476276E-2</v>
      </c>
      <c r="L8" s="4">
        <f>L$5*'Calculations Etc'!$B$35</f>
        <v>1.6428474969476276E-2</v>
      </c>
      <c r="M8" s="4">
        <f>M$5*'Calculations Etc'!$B$35</f>
        <v>1.6428474969476276E-2</v>
      </c>
      <c r="N8" s="4">
        <f>N$5*'Calculations Etc'!$B$35</f>
        <v>1.6428474969476276E-2</v>
      </c>
      <c r="O8" s="4">
        <f>O$5*'Calculations Etc'!$B$35</f>
        <v>1.6428474969476276E-2</v>
      </c>
      <c r="P8" s="4">
        <f>P$5*'Calculations Etc'!$B$35</f>
        <v>1.6428474969476276E-2</v>
      </c>
      <c r="Q8" s="4">
        <f>Q$5*'Calculations Etc'!$B$35</f>
        <v>1.6428474969476276E-2</v>
      </c>
      <c r="R8" s="4">
        <f>R$5*'Calculations Etc'!$B$35</f>
        <v>1.6428474969476276E-2</v>
      </c>
      <c r="S8" s="4">
        <f>S$5*'Calculations Etc'!$B$35</f>
        <v>1.6428474969476276E-2</v>
      </c>
      <c r="T8" s="4">
        <f>T$5*'Calculations Etc'!$B$35</f>
        <v>1.6428474969476276E-2</v>
      </c>
      <c r="U8" s="4">
        <f>U$5*'Calculations Etc'!$B$35</f>
        <v>1.6428474969476276E-2</v>
      </c>
      <c r="V8" s="4">
        <f>V$5*'Calculations Etc'!$B$35</f>
        <v>1.6428474969476276E-2</v>
      </c>
      <c r="W8" s="4">
        <f>W$5*'Calculations Etc'!$B$35</f>
        <v>1.6428474969476276E-2</v>
      </c>
      <c r="X8" s="4">
        <f>X$5*'Calculations Etc'!$B$35</f>
        <v>1.6428474969476276E-2</v>
      </c>
      <c r="Y8" s="4">
        <f>Y$5*'Calculations Etc'!$B$35</f>
        <v>1.6428474969476276E-2</v>
      </c>
      <c r="Z8" s="4">
        <f>Z$5*'Calculations Etc'!$B$35</f>
        <v>1.6428474969476276E-2</v>
      </c>
      <c r="AA8" s="4">
        <f>AA$5*'Calculations Etc'!$B$35</f>
        <v>1.6428474969476276E-2</v>
      </c>
      <c r="AB8" s="4">
        <f>AB$5*'Calculations Etc'!$B$35</f>
        <v>1.6428474969476276E-2</v>
      </c>
      <c r="AC8" s="4">
        <f>AC$5*'Calculations Etc'!$B$35</f>
        <v>1.6428474969476276E-2</v>
      </c>
      <c r="AD8" s="4">
        <f>AD$5*'Calculations Etc'!$B$35</f>
        <v>1.6428474969476276E-2</v>
      </c>
      <c r="AE8" s="4">
        <f>AE$5*'Calculations Etc'!$B$35</f>
        <v>1.6428474969476276E-2</v>
      </c>
      <c r="AF8" s="4">
        <f>AF$5*'Calculations Etc'!$B$35</f>
        <v>1.6428474969476276E-2</v>
      </c>
      <c r="AG8" s="4">
        <f>AG$5*'Calculations Etc'!$B$35</f>
        <v>1.6428474969476276E-2</v>
      </c>
      <c r="AH8" s="4">
        <f>AH$5*'Calculations Etc'!$B$35</f>
        <v>1.6428474969476276E-2</v>
      </c>
      <c r="AI8" s="4">
        <f>AI$5*'Calculations Etc'!$B$35</f>
        <v>1.6428474969476276E-2</v>
      </c>
      <c r="AJ8" s="4">
        <f>AJ$5*'Calculations Etc'!$B$35</f>
        <v>1.6428474969476276E-2</v>
      </c>
      <c r="AK8" s="4">
        <f>AK$5*'Calculations Etc'!$B$35</f>
        <v>1.6428474969476276E-2</v>
      </c>
      <c r="AL8" s="4">
        <f>AL$5*'Calculations Etc'!$B$35</f>
        <v>1.6428474969476276E-2</v>
      </c>
      <c r="AM8" s="4">
        <f>AM$5*'Calculations Etc'!$B$35</f>
        <v>1.6428474969476276E-2</v>
      </c>
      <c r="AN8" s="4">
        <f>AN$5*'Calculations Etc'!$B$35</f>
        <v>1.6428474969476276E-2</v>
      </c>
      <c r="AO8" s="4">
        <f>AO$5*'Calculations Etc'!$B$35</f>
        <v>1.6428474969476276E-2</v>
      </c>
      <c r="AP8" s="4">
        <f>AP$5*'Calculations Etc'!$B$35</f>
        <v>1.6428474969476276E-2</v>
      </c>
    </row>
    <row r="9" spans="1:42">
      <c r="AJ9" s="4"/>
      <c r="AK9" s="4"/>
    </row>
  </sheetData>
  <phoneticPr fontId="59"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3"/>
  </sheetPr>
  <dimension ref="A1:AP15"/>
  <sheetViews>
    <sheetView topLeftCell="T1" workbookViewId="0">
      <selection activeCell="AE1" sqref="AE1:AP8"/>
    </sheetView>
  </sheetViews>
  <sheetFormatPr defaultRowHeight="12.9"/>
  <cols>
    <col min="1" max="1" width="31.125" customWidth="1"/>
  </cols>
  <sheetData>
    <row r="1" spans="1:42">
      <c r="A1" s="1" t="s">
        <v>856</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row>
    <row r="2" spans="1:42">
      <c r="A2" t="s">
        <v>112</v>
      </c>
      <c r="B2" s="4">
        <f>B$4/(1-'Calculations Etc'!$B$16)</f>
        <v>3.5367364645723983E-3</v>
      </c>
      <c r="C2" s="4">
        <f>C$4/(1-'Calculations Etc'!$B$16)</f>
        <v>3.5367364645723983E-3</v>
      </c>
      <c r="D2" s="4">
        <f>D$4/(1-'Calculations Etc'!$B$16)</f>
        <v>3.5367364645723983E-3</v>
      </c>
      <c r="E2" s="4">
        <f>E$4/(1-'Calculations Etc'!$B$16)</f>
        <v>3.5367364645723983E-3</v>
      </c>
      <c r="F2" s="4">
        <f>F$4/(1-'Calculations Etc'!$B$16)</f>
        <v>3.5367364645723983E-3</v>
      </c>
      <c r="G2" s="4">
        <f>G$4/(1-'Calculations Etc'!$B$16)</f>
        <v>3.5367364645723983E-3</v>
      </c>
      <c r="H2" s="4">
        <f>H$4/(1-'Calculations Etc'!$B$16)</f>
        <v>3.5367364645723983E-3</v>
      </c>
      <c r="I2" s="4">
        <f>I$4/(1-'Calculations Etc'!$B$16)</f>
        <v>3.5367364645723983E-3</v>
      </c>
      <c r="J2" s="4">
        <f>J$4/(1-'Calculations Etc'!$B$16)</f>
        <v>3.5367364645723983E-3</v>
      </c>
      <c r="K2" s="4">
        <f>K$4/(1-'Calculations Etc'!$B$16)</f>
        <v>3.5367364645723983E-3</v>
      </c>
      <c r="L2" s="4">
        <f>L$4/(1-'Calculations Etc'!$B$16)</f>
        <v>3.5367364645723983E-3</v>
      </c>
      <c r="M2" s="4">
        <f>M$4/(1-'Calculations Etc'!$B$16)</f>
        <v>3.5367364645723983E-3</v>
      </c>
      <c r="N2" s="4">
        <f>N$4/(1-'Calculations Etc'!$B$16)</f>
        <v>3.5367364645723983E-3</v>
      </c>
      <c r="O2" s="4">
        <f>O$4/(1-'Calculations Etc'!$B$16)</f>
        <v>3.5367364645723983E-3</v>
      </c>
      <c r="P2" s="4">
        <f>P$4/(1-'Calculations Etc'!$B$16)</f>
        <v>3.5367364645723983E-3</v>
      </c>
      <c r="Q2" s="4">
        <f>Q$4/(1-'Calculations Etc'!$B$16)</f>
        <v>3.5367364645723983E-3</v>
      </c>
      <c r="R2" s="4">
        <f>R$4/(1-'Calculations Etc'!$B$16)</f>
        <v>3.5367364645723983E-3</v>
      </c>
      <c r="S2" s="4">
        <f>S$4/(1-'Calculations Etc'!$B$16)</f>
        <v>3.5367364645723983E-3</v>
      </c>
      <c r="T2" s="4">
        <f>T$4/(1-'Calculations Etc'!$B$16)</f>
        <v>3.5367364645723983E-3</v>
      </c>
      <c r="U2" s="4">
        <f>U$4/(1-'Calculations Etc'!$B$16)</f>
        <v>3.5367364645723983E-3</v>
      </c>
      <c r="V2" s="4">
        <f>V$4/(1-'Calculations Etc'!$B$16)</f>
        <v>3.5367364645723983E-3</v>
      </c>
      <c r="W2" s="4">
        <f>W$4/(1-'Calculations Etc'!$B$16)</f>
        <v>3.5367364645723983E-3</v>
      </c>
      <c r="X2" s="4">
        <f>X$4/(1-'Calculations Etc'!$B$16)</f>
        <v>3.5367364645723983E-3</v>
      </c>
      <c r="Y2" s="4">
        <f>Y$4/(1-'Calculations Etc'!$B$16)</f>
        <v>3.5367364645723983E-3</v>
      </c>
      <c r="Z2" s="4">
        <f>Z$4/(1-'Calculations Etc'!$B$16)</f>
        <v>3.5367364645723983E-3</v>
      </c>
      <c r="AA2" s="4">
        <f>AA$4/(1-'Calculations Etc'!$B$16)</f>
        <v>3.5367364645723983E-3</v>
      </c>
      <c r="AB2" s="4">
        <f>AB$4/(1-'Calculations Etc'!$B$16)</f>
        <v>3.5367364645723983E-3</v>
      </c>
      <c r="AC2" s="4">
        <f>AC$4/(1-'Calculations Etc'!$B$16)</f>
        <v>3.5367364645723983E-3</v>
      </c>
      <c r="AD2" s="4">
        <f>AD$4/(1-'Calculations Etc'!$B$16)</f>
        <v>3.5367364645723983E-3</v>
      </c>
      <c r="AE2" s="4">
        <f>AE$4/(1-'Calculations Etc'!$B$16)</f>
        <v>3.5367364645723983E-3</v>
      </c>
      <c r="AF2" s="4">
        <f>AF$4/(1-'Calculations Etc'!$B$16)</f>
        <v>3.5367364645723983E-3</v>
      </c>
      <c r="AG2" s="4">
        <f>AG$4/(1-'Calculations Etc'!$B$16)</f>
        <v>3.5367364645723983E-3</v>
      </c>
      <c r="AH2" s="4">
        <f>AH$4/(1-'Calculations Etc'!$B$16)</f>
        <v>3.5367364645723983E-3</v>
      </c>
      <c r="AI2" s="4">
        <f>AI$4/(1-'Calculations Etc'!$B$16)</f>
        <v>3.5367364645723983E-3</v>
      </c>
      <c r="AJ2" s="4">
        <f>AJ$4/(1-'Calculations Etc'!$B$16)</f>
        <v>3.5367364645723983E-3</v>
      </c>
      <c r="AK2" s="4">
        <f>AK$4/(1-'Calculations Etc'!$B$16)</f>
        <v>3.5367364645723983E-3</v>
      </c>
      <c r="AL2" s="4">
        <f>AL$4/(1-'Calculations Etc'!$B$16)</f>
        <v>3.5367364645723983E-3</v>
      </c>
      <c r="AM2" s="4">
        <f>AM$4/(1-'Calculations Etc'!$B$16)</f>
        <v>3.5367364645723983E-3</v>
      </c>
      <c r="AN2" s="4">
        <f>AN$4/(1-'Calculations Etc'!$B$16)</f>
        <v>3.5367364645723983E-3</v>
      </c>
      <c r="AO2" s="4">
        <f>AO$4/(1-'Calculations Etc'!$B$16)</f>
        <v>3.5367364645723983E-3</v>
      </c>
      <c r="AP2" s="4">
        <f>AP$4/(1-'Calculations Etc'!$B$16)</f>
        <v>3.5367364645723983E-3</v>
      </c>
    </row>
    <row r="3" spans="1:42">
      <c r="A3" t="s">
        <v>113</v>
      </c>
      <c r="B3" s="4">
        <f>B$4</f>
        <v>1.110710625237613E-3</v>
      </c>
      <c r="C3" s="4">
        <f t="shared" ref="C3:AP3" si="0">C$4</f>
        <v>1.110710625237613E-3</v>
      </c>
      <c r="D3" s="4">
        <f t="shared" si="0"/>
        <v>1.110710625237613E-3</v>
      </c>
      <c r="E3" s="4">
        <f t="shared" si="0"/>
        <v>1.110710625237613E-3</v>
      </c>
      <c r="F3" s="4">
        <f t="shared" si="0"/>
        <v>1.110710625237613E-3</v>
      </c>
      <c r="G3" s="4">
        <f t="shared" si="0"/>
        <v>1.110710625237613E-3</v>
      </c>
      <c r="H3" s="4">
        <f t="shared" si="0"/>
        <v>1.110710625237613E-3</v>
      </c>
      <c r="I3" s="4">
        <f t="shared" si="0"/>
        <v>1.110710625237613E-3</v>
      </c>
      <c r="J3" s="4">
        <f t="shared" si="0"/>
        <v>1.110710625237613E-3</v>
      </c>
      <c r="K3" s="4">
        <f t="shared" si="0"/>
        <v>1.110710625237613E-3</v>
      </c>
      <c r="L3" s="4">
        <f t="shared" si="0"/>
        <v>1.110710625237613E-3</v>
      </c>
      <c r="M3" s="4">
        <f t="shared" si="0"/>
        <v>1.110710625237613E-3</v>
      </c>
      <c r="N3" s="4">
        <f t="shared" si="0"/>
        <v>1.110710625237613E-3</v>
      </c>
      <c r="O3" s="4">
        <f t="shared" si="0"/>
        <v>1.110710625237613E-3</v>
      </c>
      <c r="P3" s="4">
        <f t="shared" si="0"/>
        <v>1.110710625237613E-3</v>
      </c>
      <c r="Q3" s="4">
        <f t="shared" si="0"/>
        <v>1.110710625237613E-3</v>
      </c>
      <c r="R3" s="4">
        <f t="shared" si="0"/>
        <v>1.110710625237613E-3</v>
      </c>
      <c r="S3" s="4">
        <f t="shared" si="0"/>
        <v>1.110710625237613E-3</v>
      </c>
      <c r="T3" s="4">
        <f t="shared" si="0"/>
        <v>1.110710625237613E-3</v>
      </c>
      <c r="U3" s="4">
        <f t="shared" si="0"/>
        <v>1.110710625237613E-3</v>
      </c>
      <c r="V3" s="4">
        <f t="shared" si="0"/>
        <v>1.110710625237613E-3</v>
      </c>
      <c r="W3" s="4">
        <f t="shared" si="0"/>
        <v>1.110710625237613E-3</v>
      </c>
      <c r="X3" s="4">
        <f t="shared" si="0"/>
        <v>1.110710625237613E-3</v>
      </c>
      <c r="Y3" s="4">
        <f t="shared" si="0"/>
        <v>1.110710625237613E-3</v>
      </c>
      <c r="Z3" s="4">
        <f t="shared" si="0"/>
        <v>1.110710625237613E-3</v>
      </c>
      <c r="AA3" s="4">
        <f t="shared" si="0"/>
        <v>1.110710625237613E-3</v>
      </c>
      <c r="AB3" s="4">
        <f t="shared" si="0"/>
        <v>1.110710625237613E-3</v>
      </c>
      <c r="AC3" s="4">
        <f t="shared" si="0"/>
        <v>1.110710625237613E-3</v>
      </c>
      <c r="AD3" s="4">
        <f t="shared" si="0"/>
        <v>1.110710625237613E-3</v>
      </c>
      <c r="AE3" s="4">
        <f t="shared" si="0"/>
        <v>1.110710625237613E-3</v>
      </c>
      <c r="AF3" s="4">
        <f t="shared" si="0"/>
        <v>1.110710625237613E-3</v>
      </c>
      <c r="AG3" s="4">
        <f t="shared" si="0"/>
        <v>1.110710625237613E-3</v>
      </c>
      <c r="AH3" s="4">
        <f t="shared" si="0"/>
        <v>1.110710625237613E-3</v>
      </c>
      <c r="AI3" s="4">
        <f t="shared" si="0"/>
        <v>1.110710625237613E-3</v>
      </c>
      <c r="AJ3" s="4">
        <f t="shared" si="0"/>
        <v>1.110710625237613E-3</v>
      </c>
      <c r="AK3" s="4">
        <f t="shared" si="0"/>
        <v>1.110710625237613E-3</v>
      </c>
      <c r="AL3" s="4">
        <f t="shared" si="0"/>
        <v>1.110710625237613E-3</v>
      </c>
      <c r="AM3" s="4">
        <f t="shared" si="0"/>
        <v>1.110710625237613E-3</v>
      </c>
      <c r="AN3" s="4">
        <f t="shared" si="0"/>
        <v>1.110710625237613E-3</v>
      </c>
      <c r="AO3" s="4">
        <f t="shared" si="0"/>
        <v>1.110710625237613E-3</v>
      </c>
      <c r="AP3" s="4">
        <f t="shared" si="0"/>
        <v>1.110710625237613E-3</v>
      </c>
    </row>
    <row r="4" spans="1:42">
      <c r="A4" t="s">
        <v>114</v>
      </c>
      <c r="B4" s="34">
        <f>'SYFAFE-passenger'!D7</f>
        <v>1.110710625237613E-3</v>
      </c>
      <c r="C4" s="34">
        <f>$B$4</f>
        <v>1.110710625237613E-3</v>
      </c>
      <c r="D4" s="34">
        <f t="shared" ref="D4:AP4" si="1">$B$4</f>
        <v>1.110710625237613E-3</v>
      </c>
      <c r="E4" s="34">
        <f t="shared" si="1"/>
        <v>1.110710625237613E-3</v>
      </c>
      <c r="F4" s="34">
        <f t="shared" si="1"/>
        <v>1.110710625237613E-3</v>
      </c>
      <c r="G4" s="34">
        <f t="shared" si="1"/>
        <v>1.110710625237613E-3</v>
      </c>
      <c r="H4" s="34">
        <f t="shared" si="1"/>
        <v>1.110710625237613E-3</v>
      </c>
      <c r="I4" s="34">
        <f t="shared" si="1"/>
        <v>1.110710625237613E-3</v>
      </c>
      <c r="J4" s="34">
        <f t="shared" si="1"/>
        <v>1.110710625237613E-3</v>
      </c>
      <c r="K4" s="34">
        <f t="shared" si="1"/>
        <v>1.110710625237613E-3</v>
      </c>
      <c r="L4" s="34">
        <f t="shared" si="1"/>
        <v>1.110710625237613E-3</v>
      </c>
      <c r="M4" s="34">
        <f t="shared" si="1"/>
        <v>1.110710625237613E-3</v>
      </c>
      <c r="N4" s="34">
        <f t="shared" si="1"/>
        <v>1.110710625237613E-3</v>
      </c>
      <c r="O4" s="34">
        <f t="shared" si="1"/>
        <v>1.110710625237613E-3</v>
      </c>
      <c r="P4" s="34">
        <f t="shared" si="1"/>
        <v>1.110710625237613E-3</v>
      </c>
      <c r="Q4" s="34">
        <f t="shared" si="1"/>
        <v>1.110710625237613E-3</v>
      </c>
      <c r="R4" s="34">
        <f t="shared" si="1"/>
        <v>1.110710625237613E-3</v>
      </c>
      <c r="S4" s="34">
        <f t="shared" si="1"/>
        <v>1.110710625237613E-3</v>
      </c>
      <c r="T4" s="34">
        <f t="shared" si="1"/>
        <v>1.110710625237613E-3</v>
      </c>
      <c r="U4" s="34">
        <f t="shared" si="1"/>
        <v>1.110710625237613E-3</v>
      </c>
      <c r="V4" s="34">
        <f t="shared" si="1"/>
        <v>1.110710625237613E-3</v>
      </c>
      <c r="W4" s="34">
        <f t="shared" si="1"/>
        <v>1.110710625237613E-3</v>
      </c>
      <c r="X4" s="34">
        <f t="shared" si="1"/>
        <v>1.110710625237613E-3</v>
      </c>
      <c r="Y4" s="34">
        <f t="shared" si="1"/>
        <v>1.110710625237613E-3</v>
      </c>
      <c r="Z4" s="34">
        <f t="shared" si="1"/>
        <v>1.110710625237613E-3</v>
      </c>
      <c r="AA4" s="34">
        <f t="shared" si="1"/>
        <v>1.110710625237613E-3</v>
      </c>
      <c r="AB4" s="34">
        <f t="shared" si="1"/>
        <v>1.110710625237613E-3</v>
      </c>
      <c r="AC4" s="34">
        <f t="shared" si="1"/>
        <v>1.110710625237613E-3</v>
      </c>
      <c r="AD4" s="34">
        <f t="shared" si="1"/>
        <v>1.110710625237613E-3</v>
      </c>
      <c r="AE4" s="34">
        <f t="shared" si="1"/>
        <v>1.110710625237613E-3</v>
      </c>
      <c r="AF4" s="34">
        <f t="shared" si="1"/>
        <v>1.110710625237613E-3</v>
      </c>
      <c r="AG4" s="34">
        <f t="shared" si="1"/>
        <v>1.110710625237613E-3</v>
      </c>
      <c r="AH4" s="34">
        <f t="shared" si="1"/>
        <v>1.110710625237613E-3</v>
      </c>
      <c r="AI4" s="34">
        <f t="shared" si="1"/>
        <v>1.110710625237613E-3</v>
      </c>
      <c r="AJ4" s="34">
        <f t="shared" si="1"/>
        <v>1.110710625237613E-3</v>
      </c>
      <c r="AK4" s="34">
        <f t="shared" si="1"/>
        <v>1.110710625237613E-3</v>
      </c>
      <c r="AL4" s="34">
        <f t="shared" si="1"/>
        <v>1.110710625237613E-3</v>
      </c>
      <c r="AM4" s="34">
        <f t="shared" si="1"/>
        <v>1.110710625237613E-3</v>
      </c>
      <c r="AN4" s="34">
        <f t="shared" si="1"/>
        <v>1.110710625237613E-3</v>
      </c>
      <c r="AO4" s="34">
        <f t="shared" si="1"/>
        <v>1.110710625237613E-3</v>
      </c>
      <c r="AP4" s="34">
        <f t="shared" si="1"/>
        <v>1.110710625237613E-3</v>
      </c>
    </row>
    <row r="5" spans="1:42">
      <c r="A5" t="s">
        <v>115</v>
      </c>
      <c r="B5" s="4">
        <f>B$4</f>
        <v>1.110710625237613E-3</v>
      </c>
      <c r="C5" s="4">
        <f t="shared" ref="C5:AP5" si="2">C$4</f>
        <v>1.110710625237613E-3</v>
      </c>
      <c r="D5" s="4">
        <f t="shared" si="2"/>
        <v>1.110710625237613E-3</v>
      </c>
      <c r="E5" s="4">
        <f t="shared" si="2"/>
        <v>1.110710625237613E-3</v>
      </c>
      <c r="F5" s="4">
        <f t="shared" si="2"/>
        <v>1.110710625237613E-3</v>
      </c>
      <c r="G5" s="4">
        <f t="shared" si="2"/>
        <v>1.110710625237613E-3</v>
      </c>
      <c r="H5" s="4">
        <f t="shared" si="2"/>
        <v>1.110710625237613E-3</v>
      </c>
      <c r="I5" s="4">
        <f t="shared" si="2"/>
        <v>1.110710625237613E-3</v>
      </c>
      <c r="J5" s="4">
        <f t="shared" si="2"/>
        <v>1.110710625237613E-3</v>
      </c>
      <c r="K5" s="4">
        <f t="shared" si="2"/>
        <v>1.110710625237613E-3</v>
      </c>
      <c r="L5" s="4">
        <f t="shared" si="2"/>
        <v>1.110710625237613E-3</v>
      </c>
      <c r="M5" s="4">
        <f t="shared" si="2"/>
        <v>1.110710625237613E-3</v>
      </c>
      <c r="N5" s="4">
        <f t="shared" si="2"/>
        <v>1.110710625237613E-3</v>
      </c>
      <c r="O5" s="4">
        <f t="shared" si="2"/>
        <v>1.110710625237613E-3</v>
      </c>
      <c r="P5" s="4">
        <f t="shared" si="2"/>
        <v>1.110710625237613E-3</v>
      </c>
      <c r="Q5" s="4">
        <f t="shared" si="2"/>
        <v>1.110710625237613E-3</v>
      </c>
      <c r="R5" s="4">
        <f t="shared" si="2"/>
        <v>1.110710625237613E-3</v>
      </c>
      <c r="S5" s="4">
        <f t="shared" si="2"/>
        <v>1.110710625237613E-3</v>
      </c>
      <c r="T5" s="4">
        <f t="shared" si="2"/>
        <v>1.110710625237613E-3</v>
      </c>
      <c r="U5" s="4">
        <f t="shared" si="2"/>
        <v>1.110710625237613E-3</v>
      </c>
      <c r="V5" s="4">
        <f t="shared" si="2"/>
        <v>1.110710625237613E-3</v>
      </c>
      <c r="W5" s="4">
        <f t="shared" si="2"/>
        <v>1.110710625237613E-3</v>
      </c>
      <c r="X5" s="4">
        <f t="shared" si="2"/>
        <v>1.110710625237613E-3</v>
      </c>
      <c r="Y5" s="4">
        <f t="shared" si="2"/>
        <v>1.110710625237613E-3</v>
      </c>
      <c r="Z5" s="4">
        <f t="shared" si="2"/>
        <v>1.110710625237613E-3</v>
      </c>
      <c r="AA5" s="4">
        <f t="shared" si="2"/>
        <v>1.110710625237613E-3</v>
      </c>
      <c r="AB5" s="4">
        <f t="shared" si="2"/>
        <v>1.110710625237613E-3</v>
      </c>
      <c r="AC5" s="4">
        <f t="shared" si="2"/>
        <v>1.110710625237613E-3</v>
      </c>
      <c r="AD5" s="4">
        <f t="shared" si="2"/>
        <v>1.110710625237613E-3</v>
      </c>
      <c r="AE5" s="4">
        <f t="shared" si="2"/>
        <v>1.110710625237613E-3</v>
      </c>
      <c r="AF5" s="4">
        <f t="shared" si="2"/>
        <v>1.110710625237613E-3</v>
      </c>
      <c r="AG5" s="4">
        <f t="shared" si="2"/>
        <v>1.110710625237613E-3</v>
      </c>
      <c r="AH5" s="4">
        <f t="shared" si="2"/>
        <v>1.110710625237613E-3</v>
      </c>
      <c r="AI5" s="4">
        <f t="shared" si="2"/>
        <v>1.110710625237613E-3</v>
      </c>
      <c r="AJ5" s="4">
        <f t="shared" si="2"/>
        <v>1.110710625237613E-3</v>
      </c>
      <c r="AK5" s="4">
        <f t="shared" si="2"/>
        <v>1.110710625237613E-3</v>
      </c>
      <c r="AL5" s="4">
        <f t="shared" si="2"/>
        <v>1.110710625237613E-3</v>
      </c>
      <c r="AM5" s="4">
        <f t="shared" si="2"/>
        <v>1.110710625237613E-3</v>
      </c>
      <c r="AN5" s="4">
        <f t="shared" si="2"/>
        <v>1.110710625237613E-3</v>
      </c>
      <c r="AO5" s="4">
        <f t="shared" si="2"/>
        <v>1.110710625237613E-3</v>
      </c>
      <c r="AP5" s="4">
        <f t="shared" si="2"/>
        <v>1.110710625237613E-3</v>
      </c>
    </row>
    <row r="6" spans="1:42">
      <c r="A6" t="s">
        <v>116</v>
      </c>
      <c r="B6" s="4">
        <f>B$4/(1-'Calculations Etc'!$B$16)*'Calculations Etc'!$B$20+B$4*(1-'Calculations Etc'!$B$20)</f>
        <v>2.4450248368717451E-3</v>
      </c>
      <c r="C6" s="4">
        <f>C$4/(1-'Calculations Etc'!$B$16)*'Calculations Etc'!$B$20+C$4*(1-'Calculations Etc'!$B$20)</f>
        <v>2.4450248368717451E-3</v>
      </c>
      <c r="D6" s="4">
        <f>D$4/(1-'Calculations Etc'!$B$16)*'Calculations Etc'!$B$20+D$4*(1-'Calculations Etc'!$B$20)</f>
        <v>2.4450248368717451E-3</v>
      </c>
      <c r="E6" s="4">
        <f>E$4/(1-'Calculations Etc'!$B$16)*'Calculations Etc'!$B$20+E$4*(1-'Calculations Etc'!$B$20)</f>
        <v>2.4450248368717451E-3</v>
      </c>
      <c r="F6" s="4">
        <f>F$4/(1-'Calculations Etc'!$B$16)*'Calculations Etc'!$B$20+F$4*(1-'Calculations Etc'!$B$20)</f>
        <v>2.4450248368717451E-3</v>
      </c>
      <c r="G6" s="4">
        <f>G$4/(1-'Calculations Etc'!$B$16)*'Calculations Etc'!$B$20+G$4*(1-'Calculations Etc'!$B$20)</f>
        <v>2.4450248368717451E-3</v>
      </c>
      <c r="H6" s="4">
        <f>H$4/(1-'Calculations Etc'!$B$16)*'Calculations Etc'!$B$20+H$4*(1-'Calculations Etc'!$B$20)</f>
        <v>2.4450248368717451E-3</v>
      </c>
      <c r="I6" s="4">
        <f>I$4/(1-'Calculations Etc'!$B$16)*'Calculations Etc'!$B$20+I$4*(1-'Calculations Etc'!$B$20)</f>
        <v>2.4450248368717451E-3</v>
      </c>
      <c r="J6" s="4">
        <f>J$4/(1-'Calculations Etc'!$B$16)*'Calculations Etc'!$B$20+J$4*(1-'Calculations Etc'!$B$20)</f>
        <v>2.4450248368717451E-3</v>
      </c>
      <c r="K6" s="4">
        <f>K$4/(1-'Calculations Etc'!$B$16)*'Calculations Etc'!$B$20+K$4*(1-'Calculations Etc'!$B$20)</f>
        <v>2.4450248368717451E-3</v>
      </c>
      <c r="L6" s="4">
        <f>L$4/(1-'Calculations Etc'!$B$16)*'Calculations Etc'!$B$20+L$4*(1-'Calculations Etc'!$B$20)</f>
        <v>2.4450248368717451E-3</v>
      </c>
      <c r="M6" s="4">
        <f>M$4/(1-'Calculations Etc'!$B$16)*'Calculations Etc'!$B$20+M$4*(1-'Calculations Etc'!$B$20)</f>
        <v>2.4450248368717451E-3</v>
      </c>
      <c r="N6" s="4">
        <f>N$4/(1-'Calculations Etc'!$B$16)*'Calculations Etc'!$B$20+N$4*(1-'Calculations Etc'!$B$20)</f>
        <v>2.4450248368717451E-3</v>
      </c>
      <c r="O6" s="4">
        <f>O$4/(1-'Calculations Etc'!$B$16)*'Calculations Etc'!$B$20+O$4*(1-'Calculations Etc'!$B$20)</f>
        <v>2.4450248368717451E-3</v>
      </c>
      <c r="P6" s="4">
        <f>P$4/(1-'Calculations Etc'!$B$16)*'Calculations Etc'!$B$20+P$4*(1-'Calculations Etc'!$B$20)</f>
        <v>2.4450248368717451E-3</v>
      </c>
      <c r="Q6" s="4">
        <f>Q$4/(1-'Calculations Etc'!$B$16)*'Calculations Etc'!$B$20+Q$4*(1-'Calculations Etc'!$B$20)</f>
        <v>2.4450248368717451E-3</v>
      </c>
      <c r="R6" s="4">
        <f>R$4/(1-'Calculations Etc'!$B$16)*'Calculations Etc'!$B$20+R$4*(1-'Calculations Etc'!$B$20)</f>
        <v>2.4450248368717451E-3</v>
      </c>
      <c r="S6" s="4">
        <f>S$4/(1-'Calculations Etc'!$B$16)*'Calculations Etc'!$B$20+S$4*(1-'Calculations Etc'!$B$20)</f>
        <v>2.4450248368717451E-3</v>
      </c>
      <c r="T6" s="4">
        <f>T$4/(1-'Calculations Etc'!$B$16)*'Calculations Etc'!$B$20+T$4*(1-'Calculations Etc'!$B$20)</f>
        <v>2.4450248368717451E-3</v>
      </c>
      <c r="U6" s="4">
        <f>U$4/(1-'Calculations Etc'!$B$16)*'Calculations Etc'!$B$20+U$4*(1-'Calculations Etc'!$B$20)</f>
        <v>2.4450248368717451E-3</v>
      </c>
      <c r="V6" s="4">
        <f>V$4/(1-'Calculations Etc'!$B$16)*'Calculations Etc'!$B$20+V$4*(1-'Calculations Etc'!$B$20)</f>
        <v>2.4450248368717451E-3</v>
      </c>
      <c r="W6" s="4">
        <f>W$4/(1-'Calculations Etc'!$B$16)*'Calculations Etc'!$B$20+W$4*(1-'Calculations Etc'!$B$20)</f>
        <v>2.4450248368717451E-3</v>
      </c>
      <c r="X6" s="4">
        <f>X$4/(1-'Calculations Etc'!$B$16)*'Calculations Etc'!$B$20+X$4*(1-'Calculations Etc'!$B$20)</f>
        <v>2.4450248368717451E-3</v>
      </c>
      <c r="Y6" s="4">
        <f>Y$4/(1-'Calculations Etc'!$B$16)*'Calculations Etc'!$B$20+Y$4*(1-'Calculations Etc'!$B$20)</f>
        <v>2.4450248368717451E-3</v>
      </c>
      <c r="Z6" s="4">
        <f>Z$4/(1-'Calculations Etc'!$B$16)*'Calculations Etc'!$B$20+Z$4*(1-'Calculations Etc'!$B$20)</f>
        <v>2.4450248368717451E-3</v>
      </c>
      <c r="AA6" s="4">
        <f>AA$4/(1-'Calculations Etc'!$B$16)*'Calculations Etc'!$B$20+AA$4*(1-'Calculations Etc'!$B$20)</f>
        <v>2.4450248368717451E-3</v>
      </c>
      <c r="AB6" s="4">
        <f>AB$4/(1-'Calculations Etc'!$B$16)*'Calculations Etc'!$B$20+AB$4*(1-'Calculations Etc'!$B$20)</f>
        <v>2.4450248368717451E-3</v>
      </c>
      <c r="AC6" s="4">
        <f>AC$4/(1-'Calculations Etc'!$B$16)*'Calculations Etc'!$B$20+AC$4*(1-'Calculations Etc'!$B$20)</f>
        <v>2.4450248368717451E-3</v>
      </c>
      <c r="AD6" s="4">
        <f>AD$4/(1-'Calculations Etc'!$B$16)*'Calculations Etc'!$B$20+AD$4*(1-'Calculations Etc'!$B$20)</f>
        <v>2.4450248368717451E-3</v>
      </c>
      <c r="AE6" s="4">
        <f>AE$4/(1-'Calculations Etc'!$B$16)*'Calculations Etc'!$B$20+AE$4*(1-'Calculations Etc'!$B$20)</f>
        <v>2.4450248368717451E-3</v>
      </c>
      <c r="AF6" s="4">
        <f>AF$4/(1-'Calculations Etc'!$B$16)*'Calculations Etc'!$B$20+AF$4*(1-'Calculations Etc'!$B$20)</f>
        <v>2.4450248368717451E-3</v>
      </c>
      <c r="AG6" s="4">
        <f>AG$4/(1-'Calculations Etc'!$B$16)*'Calculations Etc'!$B$20+AG$4*(1-'Calculations Etc'!$B$20)</f>
        <v>2.4450248368717451E-3</v>
      </c>
      <c r="AH6" s="4">
        <f>AH$4/(1-'Calculations Etc'!$B$16)*'Calculations Etc'!$B$20+AH$4*(1-'Calculations Etc'!$B$20)</f>
        <v>2.4450248368717451E-3</v>
      </c>
      <c r="AI6" s="4">
        <f>AI$4/(1-'Calculations Etc'!$B$16)*'Calculations Etc'!$B$20+AI$4*(1-'Calculations Etc'!$B$20)</f>
        <v>2.4450248368717451E-3</v>
      </c>
      <c r="AJ6" s="4">
        <f>AJ$4/(1-'Calculations Etc'!$B$16)*'Calculations Etc'!$B$20+AJ$4*(1-'Calculations Etc'!$B$20)</f>
        <v>2.4450248368717451E-3</v>
      </c>
      <c r="AK6" s="4">
        <f>AK$4/(1-'Calculations Etc'!$B$16)*'Calculations Etc'!$B$20+AK$4*(1-'Calculations Etc'!$B$20)</f>
        <v>2.4450248368717451E-3</v>
      </c>
      <c r="AL6" s="4">
        <f>AL$4/(1-'Calculations Etc'!$B$16)*'Calculations Etc'!$B$20+AL$4*(1-'Calculations Etc'!$B$20)</f>
        <v>2.4450248368717451E-3</v>
      </c>
      <c r="AM6" s="4">
        <f>AM$4/(1-'Calculations Etc'!$B$16)*'Calculations Etc'!$B$20+AM$4*(1-'Calculations Etc'!$B$20)</f>
        <v>2.4450248368717451E-3</v>
      </c>
      <c r="AN6" s="4">
        <f>AN$4/(1-'Calculations Etc'!$B$16)*'Calculations Etc'!$B$20+AN$4*(1-'Calculations Etc'!$B$20)</f>
        <v>2.4450248368717451E-3</v>
      </c>
      <c r="AO6" s="4">
        <f>AO$4/(1-'Calculations Etc'!$B$16)*'Calculations Etc'!$B$20+AO$4*(1-'Calculations Etc'!$B$20)</f>
        <v>2.4450248368717451E-3</v>
      </c>
      <c r="AP6" s="4">
        <f>AP$4/(1-'Calculations Etc'!$B$16)*'Calculations Etc'!$B$20+AP$4*(1-'Calculations Etc'!$B$20)</f>
        <v>2.4450248368717451E-3</v>
      </c>
    </row>
    <row r="7" spans="1:42">
      <c r="A7" t="s">
        <v>853</v>
      </c>
      <c r="B7" s="4">
        <f>B4*'Calculations Etc'!$B$39</f>
        <v>8.6080073455915005E-4</v>
      </c>
      <c r="C7" s="4">
        <f>C4*'Calculations Etc'!$B$39</f>
        <v>8.6080073455915005E-4</v>
      </c>
      <c r="D7" s="4">
        <f>D4*'Calculations Etc'!$B$39</f>
        <v>8.6080073455915005E-4</v>
      </c>
      <c r="E7" s="4">
        <f>E4*'Calculations Etc'!$B$39</f>
        <v>8.6080073455915005E-4</v>
      </c>
      <c r="F7" s="4">
        <f>F4*'Calculations Etc'!$B$39</f>
        <v>8.6080073455915005E-4</v>
      </c>
      <c r="G7" s="4">
        <f>G4*'Calculations Etc'!$B$39</f>
        <v>8.6080073455915005E-4</v>
      </c>
      <c r="H7" s="4">
        <f>H4*'Calculations Etc'!$B$39</f>
        <v>8.6080073455915005E-4</v>
      </c>
      <c r="I7" s="4">
        <f>I4*'Calculations Etc'!$B$39</f>
        <v>8.6080073455915005E-4</v>
      </c>
      <c r="J7" s="4">
        <f>J4*'Calculations Etc'!$B$39</f>
        <v>8.6080073455915005E-4</v>
      </c>
      <c r="K7" s="4">
        <f>K4*'Calculations Etc'!$B$39</f>
        <v>8.6080073455915005E-4</v>
      </c>
      <c r="L7" s="4">
        <f>L4*'Calculations Etc'!$B$39</f>
        <v>8.6080073455915005E-4</v>
      </c>
      <c r="M7" s="4">
        <f>M4*'Calculations Etc'!$B$39</f>
        <v>8.6080073455915005E-4</v>
      </c>
      <c r="N7" s="4">
        <f>N4*'Calculations Etc'!$B$39</f>
        <v>8.6080073455915005E-4</v>
      </c>
      <c r="O7" s="4">
        <f>O4*'Calculations Etc'!$B$39</f>
        <v>8.6080073455915005E-4</v>
      </c>
      <c r="P7" s="4">
        <f>P4*'Calculations Etc'!$B$39</f>
        <v>8.6080073455915005E-4</v>
      </c>
      <c r="Q7" s="4">
        <f>Q4*'Calculations Etc'!$B$39</f>
        <v>8.6080073455915005E-4</v>
      </c>
      <c r="R7" s="4">
        <f>R4*'Calculations Etc'!$B$39</f>
        <v>8.6080073455915005E-4</v>
      </c>
      <c r="S7" s="4">
        <f>S4*'Calculations Etc'!$B$39</f>
        <v>8.6080073455915005E-4</v>
      </c>
      <c r="T7" s="4">
        <f>T4*'Calculations Etc'!$B$39</f>
        <v>8.6080073455915005E-4</v>
      </c>
      <c r="U7" s="4">
        <f>U4*'Calculations Etc'!$B$39</f>
        <v>8.6080073455915005E-4</v>
      </c>
      <c r="V7" s="4">
        <f>V4*'Calculations Etc'!$B$39</f>
        <v>8.6080073455915005E-4</v>
      </c>
      <c r="W7" s="4">
        <f>W4*'Calculations Etc'!$B$39</f>
        <v>8.6080073455915005E-4</v>
      </c>
      <c r="X7" s="4">
        <f>X4*'Calculations Etc'!$B$39</f>
        <v>8.6080073455915005E-4</v>
      </c>
      <c r="Y7" s="4">
        <f>Y4*'Calculations Etc'!$B$39</f>
        <v>8.6080073455915005E-4</v>
      </c>
      <c r="Z7" s="4">
        <f>Z4*'Calculations Etc'!$B$39</f>
        <v>8.6080073455915005E-4</v>
      </c>
      <c r="AA7" s="4">
        <f>AA4*'Calculations Etc'!$B$39</f>
        <v>8.6080073455915005E-4</v>
      </c>
      <c r="AB7" s="4">
        <f>AB4*'Calculations Etc'!$B$39</f>
        <v>8.6080073455915005E-4</v>
      </c>
      <c r="AC7" s="4">
        <f>AC4*'Calculations Etc'!$B$39</f>
        <v>8.6080073455915005E-4</v>
      </c>
      <c r="AD7" s="4">
        <f>AD4*'Calculations Etc'!$B$39</f>
        <v>8.6080073455915005E-4</v>
      </c>
      <c r="AE7" s="4">
        <f>AE4*'Calculations Etc'!$B$39</f>
        <v>8.6080073455915005E-4</v>
      </c>
      <c r="AF7" s="4">
        <f>AF4*'Calculations Etc'!$B$39</f>
        <v>8.6080073455915005E-4</v>
      </c>
      <c r="AG7" s="4">
        <f>AG4*'Calculations Etc'!$B$39</f>
        <v>8.6080073455915005E-4</v>
      </c>
      <c r="AH7" s="4">
        <f>AH4*'Calculations Etc'!$B$39</f>
        <v>8.6080073455915005E-4</v>
      </c>
      <c r="AI7" s="4">
        <f>AI4*'Calculations Etc'!$B$39</f>
        <v>8.6080073455915005E-4</v>
      </c>
      <c r="AJ7" s="4">
        <f>AJ4*'Calculations Etc'!$B$39</f>
        <v>8.6080073455915005E-4</v>
      </c>
      <c r="AK7" s="4">
        <f>AK4*'Calculations Etc'!$B$39</f>
        <v>8.6080073455915005E-4</v>
      </c>
      <c r="AL7" s="4">
        <f>AL4*'Calculations Etc'!$B$39</f>
        <v>8.6080073455915005E-4</v>
      </c>
      <c r="AM7" s="4">
        <f>AM4*'Calculations Etc'!$B$39</f>
        <v>8.6080073455915005E-4</v>
      </c>
      <c r="AN7" s="4">
        <f>AN4*'Calculations Etc'!$B$39</f>
        <v>8.6080073455915005E-4</v>
      </c>
      <c r="AO7" s="4">
        <f>AO4*'Calculations Etc'!$B$39</f>
        <v>8.6080073455915005E-4</v>
      </c>
      <c r="AP7" s="4">
        <f>AP4*'Calculations Etc'!$B$39</f>
        <v>8.6080073455915005E-4</v>
      </c>
    </row>
    <row r="8" spans="1:42">
      <c r="A8" t="s">
        <v>854</v>
      </c>
      <c r="B8" s="4">
        <f>B4*'Calculations Etc'!$B$35</f>
        <v>3.3321318757128385E-3</v>
      </c>
      <c r="C8" s="4">
        <f>C4*'Calculations Etc'!$B$35</f>
        <v>3.3321318757128385E-3</v>
      </c>
      <c r="D8" s="4">
        <f>D4*'Calculations Etc'!$B$35</f>
        <v>3.3321318757128385E-3</v>
      </c>
      <c r="E8" s="4">
        <f>E4*'Calculations Etc'!$B$35</f>
        <v>3.3321318757128385E-3</v>
      </c>
      <c r="F8" s="4">
        <f>F4*'Calculations Etc'!$B$35</f>
        <v>3.3321318757128385E-3</v>
      </c>
      <c r="G8" s="4">
        <f>G4*'Calculations Etc'!$B$35</f>
        <v>3.3321318757128385E-3</v>
      </c>
      <c r="H8" s="4">
        <f>H4*'Calculations Etc'!$B$35</f>
        <v>3.3321318757128385E-3</v>
      </c>
      <c r="I8" s="4">
        <f>I4*'Calculations Etc'!$B$35</f>
        <v>3.3321318757128385E-3</v>
      </c>
      <c r="J8" s="4">
        <f>J4*'Calculations Etc'!$B$35</f>
        <v>3.3321318757128385E-3</v>
      </c>
      <c r="K8" s="4">
        <f>K4*'Calculations Etc'!$B$35</f>
        <v>3.3321318757128385E-3</v>
      </c>
      <c r="L8" s="4">
        <f>L4*'Calculations Etc'!$B$35</f>
        <v>3.3321318757128385E-3</v>
      </c>
      <c r="M8" s="4">
        <f>M4*'Calculations Etc'!$B$35</f>
        <v>3.3321318757128385E-3</v>
      </c>
      <c r="N8" s="4">
        <f>N4*'Calculations Etc'!$B$35</f>
        <v>3.3321318757128385E-3</v>
      </c>
      <c r="O8" s="4">
        <f>O4*'Calculations Etc'!$B$35</f>
        <v>3.3321318757128385E-3</v>
      </c>
      <c r="P8" s="4">
        <f>P4*'Calculations Etc'!$B$35</f>
        <v>3.3321318757128385E-3</v>
      </c>
      <c r="Q8" s="4">
        <f>Q4*'Calculations Etc'!$B$35</f>
        <v>3.3321318757128385E-3</v>
      </c>
      <c r="R8" s="4">
        <f>R4*'Calculations Etc'!$B$35</f>
        <v>3.3321318757128385E-3</v>
      </c>
      <c r="S8" s="4">
        <f>S4*'Calculations Etc'!$B$35</f>
        <v>3.3321318757128385E-3</v>
      </c>
      <c r="T8" s="4">
        <f>T4*'Calculations Etc'!$B$35</f>
        <v>3.3321318757128385E-3</v>
      </c>
      <c r="U8" s="4">
        <f>U4*'Calculations Etc'!$B$35</f>
        <v>3.3321318757128385E-3</v>
      </c>
      <c r="V8" s="4">
        <f>V4*'Calculations Etc'!$B$35</f>
        <v>3.3321318757128385E-3</v>
      </c>
      <c r="W8" s="4">
        <f>W4*'Calculations Etc'!$B$35</f>
        <v>3.3321318757128385E-3</v>
      </c>
      <c r="X8" s="4">
        <f>X4*'Calculations Etc'!$B$35</f>
        <v>3.3321318757128385E-3</v>
      </c>
      <c r="Y8" s="4">
        <f>Y4*'Calculations Etc'!$B$35</f>
        <v>3.3321318757128385E-3</v>
      </c>
      <c r="Z8" s="4">
        <f>Z4*'Calculations Etc'!$B$35</f>
        <v>3.3321318757128385E-3</v>
      </c>
      <c r="AA8" s="4">
        <f>AA4*'Calculations Etc'!$B$35</f>
        <v>3.3321318757128385E-3</v>
      </c>
      <c r="AB8" s="4">
        <f>AB4*'Calculations Etc'!$B$35</f>
        <v>3.3321318757128385E-3</v>
      </c>
      <c r="AC8" s="4">
        <f>AC4*'Calculations Etc'!$B$35</f>
        <v>3.3321318757128385E-3</v>
      </c>
      <c r="AD8" s="4">
        <f>AD4*'Calculations Etc'!$B$35</f>
        <v>3.3321318757128385E-3</v>
      </c>
      <c r="AE8" s="4">
        <f>AE4*'Calculations Etc'!$B$35</f>
        <v>3.3321318757128385E-3</v>
      </c>
      <c r="AF8" s="4">
        <f>AF4*'Calculations Etc'!$B$35</f>
        <v>3.3321318757128385E-3</v>
      </c>
      <c r="AG8" s="4">
        <f>AG4*'Calculations Etc'!$B$35</f>
        <v>3.3321318757128385E-3</v>
      </c>
      <c r="AH8" s="4">
        <f>AH4*'Calculations Etc'!$B$35</f>
        <v>3.3321318757128385E-3</v>
      </c>
      <c r="AI8" s="4">
        <f>AI4*'Calculations Etc'!$B$35</f>
        <v>3.3321318757128385E-3</v>
      </c>
      <c r="AJ8" s="4">
        <f>AJ4*'Calculations Etc'!$B$35</f>
        <v>3.3321318757128385E-3</v>
      </c>
      <c r="AK8" s="4">
        <f>AK4*'Calculations Etc'!$B$35</f>
        <v>3.3321318757128385E-3</v>
      </c>
      <c r="AL8" s="4">
        <f>AL4*'Calculations Etc'!$B$35</f>
        <v>3.3321318757128385E-3</v>
      </c>
      <c r="AM8" s="4">
        <f>AM4*'Calculations Etc'!$B$35</f>
        <v>3.3321318757128385E-3</v>
      </c>
      <c r="AN8" s="4">
        <f>AN4*'Calculations Etc'!$B$35</f>
        <v>3.3321318757128385E-3</v>
      </c>
      <c r="AO8" s="4">
        <f>AO4*'Calculations Etc'!$B$35</f>
        <v>3.3321318757128385E-3</v>
      </c>
      <c r="AP8" s="4">
        <f>AP4*'Calculations Etc'!$B$35</f>
        <v>3.3321318757128385E-3</v>
      </c>
    </row>
    <row r="15" spans="1:42">
      <c r="B15" s="4"/>
    </row>
  </sheetData>
  <phoneticPr fontId="59"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P8"/>
  <sheetViews>
    <sheetView topLeftCell="AA1" workbookViewId="0">
      <selection activeCell="AH1" sqref="AH1:AP8"/>
    </sheetView>
  </sheetViews>
  <sheetFormatPr defaultRowHeight="12.9"/>
  <cols>
    <col min="1" max="1" width="31.125" customWidth="1"/>
  </cols>
  <sheetData>
    <row r="1" spans="1:42">
      <c r="A1" s="1" t="s">
        <v>856</v>
      </c>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v>2051</v>
      </c>
      <c r="AL1">
        <v>2052</v>
      </c>
      <c r="AM1">
        <v>2053</v>
      </c>
      <c r="AN1">
        <v>2054</v>
      </c>
      <c r="AO1">
        <v>2055</v>
      </c>
      <c r="AP1">
        <v>2056</v>
      </c>
    </row>
    <row r="2" spans="1:42">
      <c r="A2" t="s">
        <v>112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row>
    <row r="3" spans="1:42">
      <c r="A3" t="s">
        <v>113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c r="A4" t="s">
        <v>114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c r="A5" t="s">
        <v>115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c r="A6" t="s">
        <v>116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c r="A7" t="s">
        <v>853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c r="A8" t="s">
        <v>854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sheetData>
  <phoneticPr fontId="5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31</vt:i4>
      </vt:variant>
      <vt:variant>
        <vt:lpstr>命名范围</vt:lpstr>
      </vt:variant>
      <vt:variant>
        <vt:i4>1</vt:i4>
      </vt:variant>
    </vt:vector>
  </HeadingPairs>
  <TitlesOfParts>
    <vt:vector size="32" baseType="lpstr">
      <vt:lpstr>About</vt:lpstr>
      <vt:lpstr>AEO 7</vt:lpstr>
      <vt:lpstr>AEO 7 (2020)</vt:lpstr>
      <vt:lpstr>AEO 35</vt:lpstr>
      <vt:lpstr>AEO 36</vt:lpstr>
      <vt:lpstr>AEO 38</vt:lpstr>
      <vt:lpstr>AEO 40</vt:lpstr>
      <vt:lpstr>AEO 44</vt:lpstr>
      <vt:lpstr>AEO 47</vt:lpstr>
      <vt:lpstr>AEO 48</vt:lpstr>
      <vt:lpstr>AEO 49</vt:lpstr>
      <vt:lpstr>AEO 49 (2020)</vt:lpstr>
      <vt:lpstr>psgr LDVs</vt:lpstr>
      <vt:lpstr>NTS 1-40</vt:lpstr>
      <vt:lpstr>NRBS 40</vt:lpstr>
      <vt:lpstr>NAP F28</vt:lpstr>
      <vt:lpstr>SYFAFE-passenger</vt:lpstr>
      <vt:lpstr>SYFAFE-freight</vt:lpstr>
      <vt:lpstr>Calculations Etc</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wcy3015@126.com</cp:lastModifiedBy>
  <dcterms:created xsi:type="dcterms:W3CDTF">2017-06-26T22:04:22Z</dcterms:created>
  <dcterms:modified xsi:type="dcterms:W3CDTF">2026-05-09T03:20:19Z</dcterms:modified>
</cp:coreProperties>
</file>