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EPS-trans\伊皮埃斯\AVMC\"/>
    </mc:Choice>
  </mc:AlternateContent>
  <xr:revisionPtr revIDLastSave="0" documentId="13_ncr:1_{230F7FB4-5DB0-4F15-8EAB-E3E09F40F67B}" xr6:coauthVersionLast="47" xr6:coauthVersionMax="47" xr10:uidLastSave="{00000000-0000-0000-0000-000000000000}"/>
  <bookViews>
    <workbookView xWindow="28680" yWindow="-120" windowWidth="29040" windowHeight="15840" activeTab="5" xr2:uid="{00000000-000D-0000-FFFF-FFFF00000000}"/>
  </bookViews>
  <sheets>
    <sheet name="About" sheetId="1" r:id="rId1"/>
    <sheet name="China-data" sheetId="18" r:id="rId2"/>
    <sheet name="China-Cost Data" sheetId="17" r:id="rId3"/>
    <sheet name="Cost Data" sheetId="16" r:id="rId4"/>
    <sheet name="AVMC-passenger" sheetId="2" r:id="rId5"/>
    <sheet name="AVMC-freight" sheetId="4" r:id="rId6"/>
  </sheets>
  <externalReferences>
    <externalReference r:id="rId7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" i="17" l="1"/>
  <c r="C41" i="17"/>
  <c r="H40" i="17"/>
  <c r="I40" i="17"/>
  <c r="J40" i="17"/>
  <c r="K40" i="17"/>
  <c r="G40" i="17"/>
  <c r="C34" i="17"/>
  <c r="C81" i="17" l="1"/>
  <c r="C89" i="17"/>
  <c r="B89" i="17"/>
  <c r="F19" i="17"/>
  <c r="F18" i="17"/>
  <c r="D19" i="17"/>
  <c r="C19" i="17"/>
  <c r="C85" i="17"/>
  <c r="B85" i="17"/>
  <c r="B83" i="17"/>
  <c r="B82" i="17"/>
  <c r="B81" i="17"/>
  <c r="B80" i="17"/>
  <c r="C80" i="17"/>
  <c r="C99" i="16" l="1"/>
  <c r="B99" i="16"/>
  <c r="C98" i="16"/>
  <c r="B98" i="16"/>
  <c r="G6" i="4" s="1"/>
  <c r="C96" i="16"/>
  <c r="B95" i="16"/>
  <c r="C89" i="16"/>
  <c r="C87" i="16"/>
  <c r="B78" i="16"/>
  <c r="B89" i="16" s="1"/>
  <c r="B60" i="16"/>
  <c r="B90" i="16" s="1"/>
  <c r="C90" i="16" s="1"/>
  <c r="B49" i="16"/>
  <c r="B48" i="16"/>
  <c r="B50" i="16" s="1"/>
  <c r="B40" i="16"/>
  <c r="B87" i="16" s="1"/>
  <c r="B96" i="16" s="1"/>
  <c r="B37" i="16"/>
  <c r="B32" i="16"/>
  <c r="B86" i="16" s="1"/>
  <c r="B31" i="16"/>
  <c r="B33" i="16" s="1"/>
  <c r="C86" i="16" s="1"/>
  <c r="B30" i="16"/>
  <c r="B21" i="16"/>
  <c r="C85" i="16" s="1"/>
  <c r="C94" i="16" s="1"/>
  <c r="B20" i="16"/>
  <c r="B85" i="16" s="1"/>
  <c r="B94" i="16" s="1"/>
  <c r="C94" i="17"/>
  <c r="B94" i="17"/>
  <c r="C93" i="17"/>
  <c r="C91" i="17"/>
  <c r="C90" i="17"/>
  <c r="H3" i="4" s="1"/>
  <c r="B90" i="17"/>
  <c r="C3" i="4" s="1"/>
  <c r="F2" i="4"/>
  <c r="C84" i="17"/>
  <c r="C83" i="17"/>
  <c r="B5" i="2" s="1"/>
  <c r="C82" i="17"/>
  <c r="D3" i="2"/>
  <c r="B2" i="2"/>
  <c r="F2" i="2"/>
  <c r="B73" i="17"/>
  <c r="B84" i="17" s="1"/>
  <c r="B55" i="17"/>
  <c r="B54" i="17"/>
  <c r="B49" i="17"/>
  <c r="E40" i="17"/>
  <c r="D40" i="17"/>
  <c r="C40" i="17"/>
  <c r="C26" i="17"/>
  <c r="C25" i="17"/>
  <c r="H2" i="4"/>
  <c r="H2" i="2" l="1"/>
  <c r="E3" i="2"/>
  <c r="F3" i="2"/>
  <c r="G3" i="2"/>
  <c r="B2" i="4"/>
  <c r="G2" i="4"/>
  <c r="G2" i="2"/>
  <c r="C4" i="2"/>
  <c r="B91" i="17"/>
  <c r="G4" i="2"/>
  <c r="F4" i="2"/>
  <c r="E4" i="2"/>
  <c r="D4" i="2"/>
  <c r="C95" i="16"/>
  <c r="G7" i="2"/>
  <c r="F7" i="2"/>
  <c r="E7" i="2"/>
  <c r="D7" i="2"/>
  <c r="C7" i="2"/>
  <c r="B53" i="16"/>
  <c r="B52" i="16"/>
  <c r="B54" i="16" s="1"/>
  <c r="H7" i="2"/>
  <c r="B7" i="2"/>
  <c r="C5" i="2"/>
  <c r="E5" i="2"/>
  <c r="D5" i="2"/>
  <c r="G5" i="2"/>
  <c r="B92" i="17"/>
  <c r="F5" i="2"/>
  <c r="E6" i="2"/>
  <c r="D6" i="2"/>
  <c r="F6" i="2"/>
  <c r="C6" i="2"/>
  <c r="G6" i="2"/>
  <c r="H3" i="2"/>
  <c r="B3" i="2"/>
  <c r="C2" i="4"/>
  <c r="D3" i="4"/>
  <c r="C3" i="2"/>
  <c r="D2" i="4"/>
  <c r="E3" i="4"/>
  <c r="C6" i="4"/>
  <c r="B3" i="4"/>
  <c r="C2" i="2"/>
  <c r="H5" i="2"/>
  <c r="E2" i="4"/>
  <c r="F3" i="4"/>
  <c r="D6" i="4"/>
  <c r="C92" i="17"/>
  <c r="D2" i="2"/>
  <c r="G3" i="4"/>
  <c r="E6" i="4"/>
  <c r="E2" i="2"/>
  <c r="F6" i="4"/>
  <c r="B88" i="16" l="1"/>
  <c r="B97" i="16"/>
  <c r="E5" i="4"/>
  <c r="D5" i="4"/>
  <c r="F5" i="4"/>
  <c r="C5" i="4"/>
  <c r="G5" i="4"/>
  <c r="D53" i="16"/>
  <c r="B55" i="16"/>
  <c r="C4" i="4"/>
  <c r="D4" i="4"/>
  <c r="E4" i="4"/>
  <c r="G4" i="4"/>
  <c r="F4" i="4"/>
  <c r="B5" i="4"/>
  <c r="H5" i="4"/>
  <c r="C97" i="16" l="1"/>
  <c r="C8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yangl</author>
  </authors>
  <commentList>
    <comment ref="D39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yangl:</t>
        </r>
        <r>
          <rPr>
            <sz val="9"/>
            <rFont val="宋体"/>
            <family val="3"/>
            <charset val="134"/>
          </rPr>
          <t xml:space="preserve">
weixiu</t>
        </r>
      </text>
    </comment>
    <comment ref="E39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yangl:</t>
        </r>
        <r>
          <rPr>
            <sz val="9"/>
            <rFont val="宋体"/>
            <family val="3"/>
            <charset val="134"/>
          </rPr>
          <t xml:space="preserve">
weixiu</t>
        </r>
      </text>
    </comment>
  </commentList>
</comments>
</file>

<file path=xl/sharedStrings.xml><?xml version="1.0" encoding="utf-8"?>
<sst xmlns="http://schemas.openxmlformats.org/spreadsheetml/2006/main" count="368" uniqueCount="232">
  <si>
    <t>AVMC Annual Vehicle Maintenance Cost</t>
  </si>
  <si>
    <t>Sources:</t>
  </si>
  <si>
    <t>Passenger LDVs (ICE and BEV)</t>
  </si>
  <si>
    <t>西部担保West Guarantee</t>
  </si>
  <si>
    <t>动力电池产业链下游：从政策到市场，整车消费端已实现平价</t>
  </si>
  <si>
    <t>P4</t>
  </si>
  <si>
    <t>Freight LDVs(ICE and BEV)</t>
  </si>
  <si>
    <t>渤海证券 Bohai Secturities</t>
  </si>
  <si>
    <t>纯电动物流车迎来发展黄金时代——纯电动物流车行业专题报告</t>
  </si>
  <si>
    <t>Freight HDVs(ICE and BEV)</t>
  </si>
  <si>
    <t>丁倩</t>
  </si>
  <si>
    <t>新能源物流车的TCO竞争力分析</t>
  </si>
  <si>
    <t>Freight HDVs</t>
  </si>
  <si>
    <t>Truck Driver Institute</t>
  </si>
  <si>
    <t>What is the real cost of truck driving?</t>
  </si>
  <si>
    <t>https://www.drivebigtrucks.com/trucking-news/the-real-operating-cost-of-a-commercial-truck/</t>
  </si>
  <si>
    <t>Infographic</t>
  </si>
  <si>
    <t>Passenger HDVs</t>
  </si>
  <si>
    <t>万剑, 季锦章, 王维锋WAN Jian, JI Jin-zhang, WANG Wei-fen</t>
  </si>
  <si>
    <t>考虑资金时间价值的新能源公交车经济性分析Analysis on Economy of New Energy Bus Considering Time Value of Funds</t>
  </si>
  <si>
    <t>http://html.rhhz.net/GLJTKJ/20150325.htm</t>
  </si>
  <si>
    <t>Aircraft</t>
  </si>
  <si>
    <t>Airchina中国国际航空公司</t>
  </si>
  <si>
    <t>中国国际航空股份有限公司2017年报</t>
  </si>
  <si>
    <t>China Eastern</t>
  </si>
  <si>
    <t>China Sourthern Airline</t>
  </si>
  <si>
    <t>中国南方航空2018年度报告</t>
  </si>
  <si>
    <t>Motorbikes</t>
  </si>
  <si>
    <t>摩托车行情</t>
  </si>
  <si>
    <t>一辆燃油摩托车用一年大约多少钱？</t>
  </si>
  <si>
    <t>电摩新能源</t>
  </si>
  <si>
    <t>骑车出行！经过对比电动车、摩托车、自行车后，坚决选择电动车！</t>
  </si>
  <si>
    <t>rail (maintenance cost per mile)</t>
  </si>
  <si>
    <t>中国经营报China business journal</t>
  </si>
  <si>
    <t>机车车辆自主修持续推进 国铁集团逐渐蚕食中车利润空间</t>
  </si>
  <si>
    <t>中国产业信息网www.chyxx.com</t>
  </si>
  <si>
    <t>2015-2020年我国动车组检测维修市场空间测算</t>
  </si>
  <si>
    <t>https://www.chyxx.com/industry/201511/357472.html</t>
  </si>
  <si>
    <t>ships (freight)</t>
  </si>
  <si>
    <t>Ship Assumption: using the data of US</t>
  </si>
  <si>
    <t>SPAR Associates</t>
  </si>
  <si>
    <t>按照船价的10%</t>
  </si>
  <si>
    <t>Estimating Commercial Ship Life Cycle Cost &amp; Required Freight Rate (3-Port Model)</t>
  </si>
  <si>
    <t>http://www.sparusa.com/Presentations/Presentation-Commercial%20Ship%20Life%20Cycle%20&amp;%20Required%20Freight%20Rate%20(RFR)%20Cost%20Model.pdf</t>
  </si>
  <si>
    <t>Slide 24</t>
  </si>
  <si>
    <t>ships (passenger) - this is recreational boats for the U.S. model</t>
  </si>
  <si>
    <t>Boats.com</t>
  </si>
  <si>
    <t>The Cost of Owning a Boat: Budgeting and Financial Planning</t>
  </si>
  <si>
    <t>https://www.boats.com/boat-buyers-guide/cost-of-owning-a-boat-budgeting-financial-planning/</t>
  </si>
  <si>
    <t>"Maintenance and Repairs" section</t>
  </si>
  <si>
    <t>Notes</t>
  </si>
  <si>
    <t>Exchange Rate</t>
  </si>
  <si>
    <t>2018 to 2012</t>
  </si>
  <si>
    <t>2019 to 2012</t>
  </si>
  <si>
    <t>Freight LDV</t>
  </si>
  <si>
    <t>ICE车型选取总质量4.5吨级别的江淮骏铃V6车型，EV车型选取江淮帅铃i5纯电动车型。</t>
  </si>
  <si>
    <t>Passenger LDV</t>
  </si>
  <si>
    <r>
      <rPr>
        <sz val="12"/>
        <rFont val="MingLiU"/>
        <family val="3"/>
        <charset val="136"/>
      </rPr>
      <t>成本 分类</t>
    </r>
  </si>
  <si>
    <r>
      <rPr>
        <sz val="12"/>
        <rFont val="MingLiU"/>
        <family val="3"/>
        <charset val="136"/>
      </rPr>
      <t>项目</t>
    </r>
  </si>
  <si>
    <r>
      <rPr>
        <sz val="12"/>
        <rFont val="MingLiU"/>
        <family val="3"/>
        <charset val="136"/>
      </rPr>
      <t xml:space="preserve">奇瑞 </t>
    </r>
    <r>
      <rPr>
        <sz val="11"/>
        <rFont val="SimSun"/>
        <charset val="134"/>
      </rPr>
      <t>QQ</t>
    </r>
  </si>
  <si>
    <r>
      <rPr>
        <sz val="12"/>
        <rFont val="MingLiU"/>
        <family val="3"/>
        <charset val="136"/>
      </rPr>
      <t xml:space="preserve">奇瑞 </t>
    </r>
    <r>
      <rPr>
        <sz val="11"/>
        <rFont val="SimSun"/>
        <charset val="134"/>
      </rPr>
      <t>eQi</t>
    </r>
  </si>
  <si>
    <r>
      <rPr>
        <sz val="12"/>
        <rFont val="MingLiU"/>
        <family val="3"/>
        <charset val="136"/>
      </rPr>
      <t>上汽大 众</t>
    </r>
    <r>
      <rPr>
        <sz val="12"/>
        <rFont val="MingLiU"/>
        <family val="3"/>
        <charset val="136"/>
      </rPr>
      <t>•朗逸</t>
    </r>
  </si>
  <si>
    <r>
      <rPr>
        <sz val="12"/>
        <rFont val="MingLiU"/>
        <family val="3"/>
        <charset val="136"/>
      </rPr>
      <t>奥迪</t>
    </r>
    <r>
      <rPr>
        <sz val="11"/>
        <rFont val="SimSun"/>
        <charset val="134"/>
      </rPr>
      <t>Q2L 35TFSI</t>
    </r>
  </si>
  <si>
    <r>
      <rPr>
        <sz val="12"/>
        <rFont val="MingLiU"/>
        <family val="3"/>
        <charset val="136"/>
      </rPr>
      <t>奥迪</t>
    </r>
    <r>
      <rPr>
        <sz val="11"/>
        <rFont val="SimSun"/>
        <charset val="134"/>
      </rPr>
      <t>Q2L e-tron</t>
    </r>
  </si>
  <si>
    <r>
      <rPr>
        <sz val="12"/>
        <rFont val="MingLiU"/>
        <family val="3"/>
        <charset val="136"/>
      </rPr>
      <t>指标</t>
    </r>
  </si>
  <si>
    <r>
      <rPr>
        <sz val="12"/>
        <rFont val="MingLiU"/>
        <family val="3"/>
        <charset val="136"/>
      </rPr>
      <t>车型</t>
    </r>
  </si>
  <si>
    <r>
      <rPr>
        <sz val="12"/>
        <rFont val="MingLiU"/>
        <family val="3"/>
        <charset val="136"/>
      </rPr>
      <t xml:space="preserve">燃油 </t>
    </r>
    <r>
      <rPr>
        <sz val="11"/>
        <rFont val="SimSun"/>
        <charset val="134"/>
      </rPr>
      <t xml:space="preserve">A00 </t>
    </r>
    <r>
      <rPr>
        <sz val="12"/>
        <rFont val="MingLiU"/>
        <family val="3"/>
        <charset val="136"/>
      </rPr>
      <t>级</t>
    </r>
  </si>
  <si>
    <r>
      <rPr>
        <sz val="12"/>
        <rFont val="MingLiU"/>
        <family val="3"/>
        <charset val="136"/>
      </rPr>
      <t xml:space="preserve">纯电 </t>
    </r>
    <r>
      <rPr>
        <sz val="11"/>
        <rFont val="SimSun"/>
        <charset val="134"/>
      </rPr>
      <t>A00</t>
    </r>
    <r>
      <rPr>
        <sz val="12"/>
        <rFont val="MingLiU"/>
        <family val="3"/>
        <charset val="136"/>
      </rPr>
      <t>级</t>
    </r>
  </si>
  <si>
    <r>
      <rPr>
        <sz val="12"/>
        <rFont val="MingLiU"/>
        <family val="3"/>
        <charset val="136"/>
      </rPr>
      <t>燃油</t>
    </r>
    <r>
      <rPr>
        <sz val="11"/>
        <rFont val="SimSun"/>
        <charset val="134"/>
      </rPr>
      <t xml:space="preserve">A </t>
    </r>
    <r>
      <rPr>
        <sz val="12"/>
        <rFont val="MingLiU"/>
        <family val="3"/>
        <charset val="136"/>
      </rPr>
      <t>级</t>
    </r>
  </si>
  <si>
    <r>
      <rPr>
        <sz val="12"/>
        <rFont val="MingLiU"/>
        <family val="3"/>
        <charset val="136"/>
      </rPr>
      <t>纯电</t>
    </r>
    <r>
      <rPr>
        <sz val="11"/>
        <rFont val="SimSun"/>
        <charset val="134"/>
      </rPr>
      <t xml:space="preserve">A </t>
    </r>
    <r>
      <rPr>
        <sz val="12"/>
        <rFont val="MingLiU"/>
        <family val="3"/>
        <charset val="136"/>
      </rPr>
      <t>级</t>
    </r>
  </si>
  <si>
    <r>
      <rPr>
        <sz val="12"/>
        <rFont val="MingLiU"/>
        <family val="3"/>
        <charset val="136"/>
      </rPr>
      <t xml:space="preserve">燃油 </t>
    </r>
    <r>
      <rPr>
        <sz val="11"/>
        <rFont val="SimSun"/>
        <charset val="134"/>
      </rPr>
      <t>SUV</t>
    </r>
  </si>
  <si>
    <r>
      <rPr>
        <sz val="12"/>
        <rFont val="MingLiU"/>
        <family val="3"/>
        <charset val="136"/>
      </rPr>
      <t xml:space="preserve">纯电 </t>
    </r>
    <r>
      <rPr>
        <sz val="11"/>
        <rFont val="SimSun"/>
        <charset val="134"/>
      </rPr>
      <t>SUV</t>
    </r>
  </si>
  <si>
    <r>
      <rPr>
        <sz val="12"/>
        <rFont val="MingLiU"/>
        <family val="3"/>
        <charset val="136"/>
      </rPr>
      <t>电池容量</t>
    </r>
    <r>
      <rPr>
        <sz val="11"/>
        <rFont val="SimSun"/>
        <charset val="134"/>
      </rPr>
      <t>（kWh）</t>
    </r>
  </si>
  <si>
    <r>
      <rPr>
        <sz val="12"/>
        <rFont val="MingLiU"/>
        <family val="3"/>
        <charset val="136"/>
      </rPr>
      <t>购 置 成 本</t>
    </r>
  </si>
  <si>
    <r>
      <rPr>
        <sz val="12"/>
        <rFont val="MingLiU"/>
        <family val="3"/>
        <charset val="136"/>
      </rPr>
      <t>厂商指导价（万元）</t>
    </r>
  </si>
  <si>
    <r>
      <rPr>
        <sz val="12"/>
        <rFont val="MingLiU"/>
        <family val="3"/>
        <charset val="136"/>
      </rPr>
      <t>补贴后厂商指导价格（万元）</t>
    </r>
  </si>
  <si>
    <r>
      <rPr>
        <sz val="12"/>
        <rFont val="MingLiU"/>
        <family val="3"/>
        <charset val="136"/>
      </rPr>
      <t>牌照费用（万元）</t>
    </r>
  </si>
  <si>
    <r>
      <rPr>
        <sz val="12"/>
        <rFont val="MingLiU"/>
        <family val="3"/>
        <charset val="136"/>
      </rPr>
      <t>购置税（万元）</t>
    </r>
  </si>
  <si>
    <r>
      <rPr>
        <sz val="12"/>
        <rFont val="MingLiU"/>
        <family val="3"/>
        <charset val="136"/>
      </rPr>
      <t>汽 车 生 命 周 期 成 本</t>
    </r>
  </si>
  <si>
    <r>
      <rPr>
        <sz val="12"/>
        <rFont val="MingLiU"/>
        <family val="3"/>
        <charset val="136"/>
      </rPr>
      <t>注册上牌费（万元）</t>
    </r>
  </si>
  <si>
    <r>
      <rPr>
        <sz val="12"/>
        <rFont val="MingLiU"/>
        <family val="3"/>
        <charset val="136"/>
      </rPr>
      <t>合计</t>
    </r>
  </si>
  <si>
    <r>
      <rPr>
        <sz val="12"/>
        <rFont val="MingLiU"/>
        <family val="3"/>
        <charset val="136"/>
      </rPr>
      <t>使 用 维 护 成 本</t>
    </r>
  </si>
  <si>
    <r>
      <rPr>
        <sz val="12"/>
        <rFont val="MingLiU"/>
        <family val="3"/>
        <charset val="136"/>
      </rPr>
      <t>百公里能源消耗量（度、升/ 百公里）</t>
    </r>
  </si>
  <si>
    <r>
      <rPr>
        <sz val="12"/>
        <rFont val="MingLiU"/>
        <family val="3"/>
        <charset val="136"/>
      </rPr>
      <t>能源价格（元/度、元/升）</t>
    </r>
  </si>
  <si>
    <r>
      <rPr>
        <sz val="12"/>
        <rFont val="MingLiU"/>
        <family val="3"/>
        <charset val="136"/>
      </rPr>
      <t>年度行驶里程（百公里）</t>
    </r>
  </si>
  <si>
    <r>
      <rPr>
        <sz val="12"/>
        <rFont val="MingLiU"/>
        <family val="3"/>
        <charset val="136"/>
      </rPr>
      <t>动力费用（万元）</t>
    </r>
  </si>
  <si>
    <r>
      <rPr>
        <sz val="12"/>
        <rFont val="MingLiU"/>
        <family val="3"/>
        <charset val="136"/>
      </rPr>
      <t>维护成本（万元/年）</t>
    </r>
  </si>
  <si>
    <r>
      <rPr>
        <sz val="12"/>
        <rFont val="MingLiU"/>
        <family val="3"/>
        <charset val="136"/>
      </rPr>
      <t>交强险（万元/年）</t>
    </r>
  </si>
  <si>
    <r>
      <rPr>
        <sz val="12"/>
        <rFont val="MingLiU"/>
        <family val="3"/>
        <charset val="136"/>
      </rPr>
      <t>商业保险（万元/年）</t>
    </r>
  </si>
  <si>
    <r>
      <rPr>
        <sz val="12"/>
        <rFont val="MingLiU"/>
        <family val="3"/>
        <charset val="136"/>
      </rPr>
      <t>车船税（万元/年）</t>
    </r>
  </si>
  <si>
    <t>Overall Assumptions</t>
  </si>
  <si>
    <t>ICE</t>
  </si>
  <si>
    <t>We assume that internal combustion engine (ICE) costs apply to all of the following vehicle technologies:</t>
  </si>
  <si>
    <t>gasoline vehicle, diesel vehicle, natural gas vehicle, LPG vehicle, plug-in hybrid vehicle</t>
  </si>
  <si>
    <t>The assumption that plug-in hybrids (which contain an ICE engine) have similar annual maintenance costs</t>
  </si>
  <si>
    <t>to other ICE vehicles (e.g. the battery adds negligible cost)</t>
  </si>
  <si>
    <t>BEV</t>
  </si>
  <si>
    <t>We assume that battery electric vehicle (BEV) costs apply to all of the following vehicle technologies:</t>
  </si>
  <si>
    <t>battery electric vehicle, hydrogen vehicle</t>
  </si>
  <si>
    <t>Today, hydrogen vehicles are typically fuel cell vehicles (not internal combustion vehicles), and we assume they have</t>
  </si>
  <si>
    <t xml:space="preserve">similar maintenance costs to pure BEVs.  </t>
  </si>
  <si>
    <t>We also use this category for electric rail, even though the locomotives are powered by third rail or catenary wire,</t>
  </si>
  <si>
    <t>rather than batteries.</t>
  </si>
  <si>
    <t>Freight-LDVs</t>
  </si>
  <si>
    <t>Passenger LDVs</t>
  </si>
  <si>
    <t>CheryQQ-ICE</t>
  </si>
  <si>
    <t>Chery eQi-BEV</t>
  </si>
  <si>
    <t>Volkswagen Lavida-ICE</t>
  </si>
  <si>
    <t>Volkswagen Lavida-BEV</t>
  </si>
  <si>
    <t xml:space="preserve">
Audi-ICE</t>
  </si>
  <si>
    <t xml:space="preserve">
Audi-BEV</t>
  </si>
  <si>
    <t>HDVs (Trucks)</t>
  </si>
  <si>
    <t>2019 RMB/yr</t>
  </si>
  <si>
    <t>4.8吨以上</t>
  </si>
  <si>
    <t>HDVs (Buses)</t>
  </si>
  <si>
    <t>ICE-普通柴油公交车</t>
  </si>
  <si>
    <t>BEV-纯电动公交车</t>
  </si>
  <si>
    <t>aircraft</t>
  </si>
  <si>
    <t>maintenance</t>
  </si>
  <si>
    <t>AirChina， 2017</t>
  </si>
  <si>
    <t>China Eastern,2018</t>
  </si>
  <si>
    <t>China southern airline,2018</t>
  </si>
  <si>
    <t>飞机数量the number of plane</t>
  </si>
  <si>
    <t>average maintenance cost per plane</t>
  </si>
  <si>
    <t>rail</t>
  </si>
  <si>
    <t>maintenance costs</t>
  </si>
  <si>
    <t>These maintenance costs are for the entire train, not just the locomotive.</t>
  </si>
  <si>
    <t>三级维修level 3 Maintenance</t>
  </si>
  <si>
    <t>四级维修level 4 Maintenance</t>
  </si>
  <si>
    <t>五级维修level 5 Maintenance</t>
  </si>
  <si>
    <t>electric maintenance（动车组每年维修费用）</t>
  </si>
  <si>
    <t>Average electric maintenance</t>
  </si>
  <si>
    <t>diesel maintenance</t>
  </si>
  <si>
    <t>Assumption: electric train is 70% of diesel train</t>
  </si>
  <si>
    <t>Motorbike (Motorcycle)</t>
  </si>
  <si>
    <t>Gasoline Motorbike燃油摩托车</t>
  </si>
  <si>
    <t>Electric Motorbike 电动摩托车</t>
  </si>
  <si>
    <t>Note that a survey by the Motorcycle Industry Council finds that the average motorcycle owner</t>
  </si>
  <si>
    <t>spends far less than this on maintenance each year ($138/yr on most items, plus $105/yr on tires,</t>
  </si>
  <si>
    <t>for a total of $243/yr), because many owners do maintenance themselves or get a friend or family</t>
  </si>
  <si>
    <t>member to do it, rather than buying it commercially.  See:</t>
  </si>
  <si>
    <t>https://www.insurance.com/motorcycle/is-riding-a-motorcycle-cheaper.html</t>
  </si>
  <si>
    <t>We use the cost of purchasing maintenance, rather than the average cost (that includes do-it-yourself owners).</t>
  </si>
  <si>
    <t>ships</t>
  </si>
  <si>
    <t>Freight ship represented by example container ship</t>
  </si>
  <si>
    <t>maintenance and repairs</t>
  </si>
  <si>
    <t>2012 USD/yr</t>
  </si>
  <si>
    <t>using US data</t>
  </si>
  <si>
    <t>Passenger ship is a recreational boat in the U.S.</t>
  </si>
  <si>
    <t>Note that in many other regional adaptations, it is a commercial</t>
  </si>
  <si>
    <t>passenger ferry, so the maintenance values here should be</t>
  </si>
  <si>
    <t>updated if this is the case.</t>
  </si>
  <si>
    <t>percent of purchase price/yr</t>
  </si>
  <si>
    <t>typical purchase price</t>
  </si>
  <si>
    <t>2012 USD</t>
  </si>
  <si>
    <t>See trans/BNVP</t>
  </si>
  <si>
    <t>Passenger</t>
  </si>
  <si>
    <t>EV</t>
  </si>
  <si>
    <t>LDVs</t>
  </si>
  <si>
    <t>HDVs</t>
  </si>
  <si>
    <t>motorbikes</t>
  </si>
  <si>
    <t>Freight</t>
  </si>
  <si>
    <t>to other ICE vehicles (e.g. the battery adds negligible cost) is in line with U.S. DOE guidelines at:</t>
  </si>
  <si>
    <t>https://www.energy.gov/eere/electricvehicles/electric-car-safety-maintenance-and-battery-life</t>
  </si>
  <si>
    <t>similar maintenance costs to pure BEVs.  This is in line with the findings of an NREL study of BEV vs. fuel cell lift trucks:</t>
  </si>
  <si>
    <t>https://www.energy.gov/sites/prod/files/2014/03/f10/fuel_cell_mhe_cost.pdf</t>
  </si>
  <si>
    <t>2018 CAD/yr</t>
  </si>
  <si>
    <t>2 Degrees Institute</t>
  </si>
  <si>
    <t>CNG</t>
  </si>
  <si>
    <t>2016 USD/mile</t>
  </si>
  <si>
    <t>CA Air Resources Board</t>
  </si>
  <si>
    <t>dist traveled</t>
  </si>
  <si>
    <t>miles/year</t>
  </si>
  <si>
    <t>see BAADTbVT</t>
  </si>
  <si>
    <t>2016 USD/yr</t>
  </si>
  <si>
    <t>2017 USD / block-hr</t>
  </si>
  <si>
    <t>ICAO</t>
  </si>
  <si>
    <t>2012 USD / block-hr</t>
  </si>
  <si>
    <t>block hrs/day</t>
  </si>
  <si>
    <t>days/yr</t>
  </si>
  <si>
    <t>conventional diesel locomotive (79 mph)</t>
  </si>
  <si>
    <t>2008 USD/mile</t>
  </si>
  <si>
    <t>Rocky Mountain Rail Authority</t>
  </si>
  <si>
    <t>electric locomotive (150 mph)</t>
  </si>
  <si>
    <t>avg speed (24-hours)</t>
  </si>
  <si>
    <t>miles/hour</t>
  </si>
  <si>
    <t>Upper Great Plains Transportation Institute</t>
  </si>
  <si>
    <t>conversion factor</t>
  </si>
  <si>
    <t>hours/yr</t>
  </si>
  <si>
    <t>avg dist traveled per locomotive per year</t>
  </si>
  <si>
    <t>miles/yr</t>
  </si>
  <si>
    <t>2008 USD/yr</t>
  </si>
  <si>
    <t>electric maintenance</t>
  </si>
  <si>
    <t>2018 USD/yr</t>
  </si>
  <si>
    <t>$/year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</si>
  <si>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</si>
  <si>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</si>
  <si>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</si>
  <si>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</si>
  <si>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</si>
  <si>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</si>
  <si>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</si>
  <si>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LPG:LPG双燃料汽车（Liquefied Petroleum Gas），是在不改变原车发动机系统和汽油供应系统的情况下增加一套LPG燃料供应装置，使车辆具有LPG和汽油两套独立的燃料供应系统，使用LPG同时又能使用汽油做为燃料，并实现自由切换。</t>
    <phoneticPr fontId="49" type="noConversion"/>
  </si>
  <si>
    <t>plugin hybrid vehicle:插电式混合动力汽车</t>
    <phoneticPr fontId="49" type="noConversion"/>
  </si>
  <si>
    <t>https://pdf.dfcfw.com/pdf/H3_AP202003201376728272_1.pdf?1584710037000.pdf</t>
    <phoneticPr fontId="49" type="noConversion"/>
  </si>
  <si>
    <t>仅是维护成本，不考虑燃料成本</t>
    <phoneticPr fontId="49" type="noConversion"/>
  </si>
  <si>
    <t>exchange rate of 2019</t>
    <phoneticPr fontId="49" type="noConversion"/>
  </si>
  <si>
    <t>RMB to USD</t>
    <phoneticPr fontId="49" type="noConversion"/>
  </si>
  <si>
    <t>http://pdf.dfcfw.com/pdf/H3_AP201607070016463141_1.pdf</t>
    <phoneticPr fontId="49" type="noConversion"/>
  </si>
  <si>
    <t>assumption: 30% of ICE</t>
    <phoneticPr fontId="49" type="noConversion"/>
  </si>
  <si>
    <t>http://www.autoinfo.org.cn/autoinfo_cn/content/news/20191216/1853501.html</t>
    <phoneticPr fontId="49" type="noConversion"/>
  </si>
  <si>
    <t>BEV换电池算维护成本吗？说法不一，甚至有些维护费是车企出，这可能与国家补贴政策有关</t>
    <phoneticPr fontId="49" type="noConversion"/>
  </si>
  <si>
    <t>https://baijiahao.baidu.com/s?id=1740240141341962732&amp;wfr=spider&amp;for=pc</t>
  </si>
  <si>
    <t>电动车整体维护成本比燃油车低22％</t>
  </si>
  <si>
    <t>http://www.csair.com/cn/about/investor/yejibaogao/2019/resource/9b3cbd914f59fc23361c0139ebb88172.pdf</t>
    <phoneticPr fontId="49" type="noConversion"/>
  </si>
  <si>
    <t>中国国际航空股份有限公司2017年报</t>
    <phoneticPr fontId="49" type="noConversion"/>
  </si>
  <si>
    <t>http://www.ceair.com/upload/2019/3/602.pdf</t>
    <phoneticPr fontId="49" type="noConversion"/>
  </si>
  <si>
    <t>https://pdf.dfcfw.com/pdf/H2_AN201803271111567559_1.pdf</t>
    <phoneticPr fontId="49" type="noConversion"/>
  </si>
  <si>
    <t>Maintenance Cost飞机保养、维修和大修成本</t>
    <phoneticPr fontId="49" type="noConversion"/>
  </si>
  <si>
    <t>https://baike.baidu.com/tashuo/browse/content?id=12a0536158d3b7d313341214</t>
  </si>
  <si>
    <t>空难背后的东航，维修费用到底是降是增？</t>
  </si>
  <si>
    <t>国航2000</t>
    <phoneticPr fontId="49" type="noConversion"/>
  </si>
  <si>
    <t>东航2020</t>
    <phoneticPr fontId="49" type="noConversion"/>
  </si>
  <si>
    <t>南航2020</t>
    <phoneticPr fontId="49" type="noConversion"/>
  </si>
  <si>
    <t>春秋2020</t>
    <phoneticPr fontId="49" type="noConversion"/>
  </si>
  <si>
    <t>吉祥2020</t>
    <phoneticPr fontId="49" type="noConversion"/>
  </si>
  <si>
    <t>http://www.newmotor.com.cn/html/cmhd/108215.html</t>
    <phoneticPr fontId="49" type="noConversion"/>
  </si>
  <si>
    <t>https://www.insurance.com/motorcycle/is-riding-a-motorcycle-cheaper.html</t>
    <phoneticPr fontId="49" type="noConversion"/>
  </si>
  <si>
    <t>http://www.yidianzixun.com/article/0OuxSHvB</t>
    <phoneticPr fontId="49" type="noConversion"/>
  </si>
  <si>
    <t>https://baijiahao.baidu.com/s?id=1681311761536739236&amp;wfr=spider&amp;for=pc</t>
    <phoneticPr fontId="49" type="noConversion"/>
  </si>
  <si>
    <r>
      <t>摩托车每天的维护成本在</t>
    </r>
    <r>
      <rPr>
        <sz val="12"/>
        <color rgb="FF1D1D1D"/>
        <rFont val="Arial"/>
        <family val="2"/>
      </rPr>
      <t>1.6</t>
    </r>
    <r>
      <rPr>
        <sz val="12"/>
        <color rgb="FF1D1D1D"/>
        <rFont val="宋体"/>
        <family val="3"/>
        <charset val="134"/>
      </rPr>
      <t>元左右，电动车每天的维护成本在</t>
    </r>
    <r>
      <rPr>
        <sz val="12"/>
        <color rgb="FF1D1D1D"/>
        <rFont val="Arial"/>
        <family val="2"/>
      </rPr>
      <t>0.63</t>
    </r>
    <r>
      <rPr>
        <sz val="12"/>
        <color rgb="FF1D1D1D"/>
        <rFont val="宋体"/>
        <family val="3"/>
        <charset val="134"/>
      </rPr>
      <t>元左右</t>
    </r>
  </si>
  <si>
    <t>维修成本每年都变化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</si>
</sst>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0.00_)"/>
    <numFmt numFmtId="177" formatCode="#,##0_)"/>
    <numFmt numFmtId="178" formatCode="&quot;$&quot;#,##0.00"/>
    <numFmt numFmtId="179" formatCode="_(* #,##0.00_);_(* \(#,##0.00\);_(* &quot;-&quot;??_);_(@_)"/>
    <numFmt numFmtId="180" formatCode="0.0"/>
    <numFmt numFmtId="181" formatCode="&quot;$&quot;#,##0"/>
    <numFmt numFmtId="182" formatCode="_(&quot;$&quot;* #,##0.00_);_(&quot;$&quot;* \(#,##0.00\);_(&quot;$&quot;* &quot;-&quot;??_);_(@_)"/>
    <numFmt numFmtId="183" formatCode="&quot;$&quot;#,##0_);[Red]\(&quot;$&quot;#,##0\)"/>
    <numFmt numFmtId="184" formatCode="&quot;$&quot;#,##0.00_);[Red]\(&quot;$&quot;#,##0.00\)"/>
    <numFmt numFmtId="185" formatCode="0000"/>
    <numFmt numFmtId="186" formatCode="&quot;￥&quot;#,##0.00_);[Red]\(&quot;￥&quot;#,##0.00\)"/>
    <numFmt numFmtId="187" formatCode="0.000"/>
  </numFmts>
  <fonts count="5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sz val="12"/>
      <color rgb="FF1D1D1D"/>
      <name val="Arial"/>
      <family val="2"/>
    </font>
    <font>
      <sz val="12"/>
      <name val="MingLiU"/>
      <family val="3"/>
      <charset val="136"/>
    </font>
    <font>
      <sz val="10"/>
      <name val="Arial"/>
      <family val="2"/>
    </font>
    <font>
      <sz val="11"/>
      <name val="SimSun"/>
      <charset val="134"/>
    </font>
    <font>
      <sz val="11.25"/>
      <color rgb="FF000000"/>
      <name val="Arial"/>
      <family val="2"/>
    </font>
    <font>
      <sz val="11"/>
      <color theme="1"/>
      <name val="Calibri"/>
      <family val="2"/>
    </font>
    <font>
      <b/>
      <sz val="9"/>
      <name val="Helv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b/>
      <sz val="14"/>
      <name val="Helv"/>
      <family val="2"/>
    </font>
    <font>
      <sz val="11"/>
      <color indexed="60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b/>
      <sz val="9"/>
      <color indexed="8"/>
      <name val="Calibri"/>
      <family val="2"/>
    </font>
    <font>
      <sz val="11"/>
      <color indexed="9"/>
      <name val="Calibri"/>
      <family val="2"/>
    </font>
    <font>
      <sz val="8.5"/>
      <name val="Helv"/>
      <family val="2"/>
    </font>
    <font>
      <b/>
      <sz val="10"/>
      <name val="Helv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sz val="8"/>
      <name val="Helv"/>
      <family val="2"/>
    </font>
    <font>
      <sz val="9"/>
      <name val="Helv"/>
      <family val="2"/>
    </font>
    <font>
      <sz val="6"/>
      <name val="P-AVGARD"/>
      <family val="1"/>
    </font>
    <font>
      <sz val="10"/>
      <name val="HELV"/>
      <family val="2"/>
    </font>
    <font>
      <b/>
      <sz val="11"/>
      <color indexed="56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theme="1"/>
      <name val="宋体"/>
      <family val="3"/>
      <charset val="134"/>
      <scheme val="minor"/>
    </font>
    <font>
      <sz val="11"/>
      <color indexed="52"/>
      <name val="Calibri"/>
      <family val="2"/>
    </font>
    <font>
      <vertAlign val="superscript"/>
      <sz val="12"/>
      <name val="Helv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8"/>
      <name val="Arial"/>
      <family val="2"/>
    </font>
    <font>
      <b/>
      <sz val="12"/>
      <color indexed="30"/>
      <name val="Calibri"/>
      <family val="2"/>
    </font>
    <font>
      <sz val="10"/>
      <name val="P-AVGARD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1D1D1D"/>
      <name val="宋体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5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ashed">
        <color rgb="FFBFBFB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41">
    <xf numFmtId="0" fontId="0" fillId="0" borderId="0"/>
    <xf numFmtId="0" fontId="17" fillId="0" borderId="0"/>
    <xf numFmtId="0" fontId="20" fillId="0" borderId="14" applyNumberFormat="0" applyProtection="0">
      <alignment wrapText="1"/>
    </xf>
    <xf numFmtId="0" fontId="19" fillId="9" borderId="13" applyNumberFormat="0" applyAlignment="0" applyProtection="0"/>
    <xf numFmtId="0" fontId="14" fillId="0" borderId="0" applyNumberFormat="0" applyFill="0" applyBorder="0" applyAlignment="0" applyProtection="0"/>
    <xf numFmtId="0" fontId="22" fillId="0" borderId="15">
      <alignment horizontal="left" vertical="center"/>
    </xf>
    <xf numFmtId="0" fontId="2" fillId="0" borderId="0" applyNumberFormat="0" applyFill="0" applyBorder="0" applyAlignment="0" applyProtection="0"/>
    <xf numFmtId="179" fontId="17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177" fontId="27" fillId="0" borderId="15">
      <alignment horizontal="right" vertical="center"/>
    </xf>
    <xf numFmtId="0" fontId="13" fillId="8" borderId="0" applyNumberFormat="0" applyBorder="0" applyAlignment="0" applyProtection="0"/>
    <xf numFmtId="0" fontId="26" fillId="0" borderId="0">
      <alignment horizontal="left"/>
    </xf>
    <xf numFmtId="0" fontId="21" fillId="11" borderId="0" applyNumberFormat="0" applyBorder="0" applyAlignment="0" applyProtection="0"/>
    <xf numFmtId="0" fontId="13" fillId="15" borderId="0" applyNumberFormat="0" applyBorder="0" applyAlignment="0" applyProtection="0"/>
    <xf numFmtId="0" fontId="21" fillId="16" borderId="0" applyNumberFormat="0" applyBorder="0" applyAlignment="0" applyProtection="0"/>
    <xf numFmtId="0" fontId="17" fillId="0" borderId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176" fontId="27" fillId="0" borderId="0" applyNumberFormat="0">
      <alignment horizontal="right"/>
    </xf>
    <xf numFmtId="0" fontId="25" fillId="0" borderId="0">
      <alignment horizontal="left"/>
    </xf>
    <xf numFmtId="0" fontId="29" fillId="0" borderId="0">
      <alignment horizontal="left"/>
    </xf>
    <xf numFmtId="0" fontId="17" fillId="0" borderId="0"/>
    <xf numFmtId="0" fontId="30" fillId="0" borderId="17" applyNumberFormat="0" applyFill="0" applyAlignment="0" applyProtection="0"/>
    <xf numFmtId="0" fontId="21" fillId="18" borderId="0" applyNumberFormat="0" applyBorder="0" applyAlignment="0" applyProtection="0"/>
    <xf numFmtId="0" fontId="13" fillId="9" borderId="0" applyNumberFormat="0" applyBorder="0" applyAlignment="0" applyProtection="0"/>
    <xf numFmtId="0" fontId="13" fillId="19" borderId="0" applyNumberFormat="0" applyBorder="0" applyAlignment="0" applyProtection="0"/>
    <xf numFmtId="0" fontId="17" fillId="0" borderId="0"/>
    <xf numFmtId="0" fontId="13" fillId="20" borderId="0" applyNumberFormat="0" applyBorder="0" applyAlignment="0" applyProtection="0"/>
    <xf numFmtId="0" fontId="17" fillId="0" borderId="0"/>
    <xf numFmtId="0" fontId="13" fillId="18" borderId="0" applyNumberFormat="0" applyBorder="0" applyAlignment="0" applyProtection="0"/>
    <xf numFmtId="0" fontId="21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176" fontId="29" fillId="0" borderId="15" applyNumberFormat="0" applyFill="0">
      <alignment horizontal="right"/>
    </xf>
    <xf numFmtId="0" fontId="21" fillId="27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31" fillId="14" borderId="0" applyNumberFormat="0" applyBorder="0" applyAlignment="0" applyProtection="0"/>
    <xf numFmtId="0" fontId="14" fillId="0" borderId="18" applyNumberFormat="0" applyFont="0" applyProtection="0">
      <alignment wrapText="1"/>
    </xf>
    <xf numFmtId="0" fontId="17" fillId="0" borderId="0"/>
    <xf numFmtId="0" fontId="32" fillId="28" borderId="13" applyNumberFormat="0" applyAlignment="0" applyProtection="0"/>
    <xf numFmtId="0" fontId="33" fillId="29" borderId="19" applyNumberFormat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34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7" fillId="6" borderId="12" applyNumberFormat="0" applyFont="0" applyAlignment="0" applyProtection="0"/>
    <xf numFmtId="179" fontId="8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13" borderId="0" applyNumberFormat="0" applyBorder="0" applyAlignment="0" applyProtection="0"/>
    <xf numFmtId="179" fontId="17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17" fillId="0" borderId="0" applyFont="0" applyFill="0" applyBorder="0" applyAlignment="0" applyProtection="0"/>
    <xf numFmtId="182" fontId="8" fillId="0" borderId="0" applyFont="0" applyFill="0" applyBorder="0" applyAlignment="0" applyProtection="0"/>
    <xf numFmtId="49" fontId="36" fillId="0" borderId="15">
      <alignment horizontal="left" vertical="center"/>
    </xf>
    <xf numFmtId="176" fontId="29" fillId="0" borderId="15" applyNumberFormat="0" applyFill="0">
      <alignment horizontal="right"/>
    </xf>
    <xf numFmtId="0" fontId="37" fillId="0" borderId="0" applyNumberFormat="0" applyFill="0" applyBorder="0" applyAlignment="0" applyProtection="0"/>
    <xf numFmtId="0" fontId="14" fillId="0" borderId="21" applyNumberFormat="0" applyProtection="0">
      <alignment wrapText="1"/>
    </xf>
    <xf numFmtId="0" fontId="20" fillId="0" borderId="22" applyNumberFormat="0" applyProtection="0">
      <alignment wrapText="1"/>
    </xf>
    <xf numFmtId="0" fontId="38" fillId="0" borderId="23" applyNumberFormat="0" applyFill="0" applyAlignment="0" applyProtection="0"/>
    <xf numFmtId="0" fontId="39" fillId="0" borderId="24" applyNumberFormat="0" applyFill="0" applyAlignment="0" applyProtection="0"/>
    <xf numFmtId="0" fontId="30" fillId="0" borderId="0" applyNumberFormat="0" applyFill="0" applyBorder="0" applyAlignment="0" applyProtection="0"/>
    <xf numFmtId="0" fontId="23" fillId="0" borderId="15">
      <alignment horizontal="left"/>
    </xf>
    <xf numFmtId="0" fontId="12" fillId="0" borderId="11">
      <alignment horizontal="right" vertical="center"/>
    </xf>
    <xf numFmtId="0" fontId="29" fillId="0" borderId="15">
      <alignment horizontal="left" vertical="center"/>
    </xf>
    <xf numFmtId="0" fontId="23" fillId="0" borderId="15">
      <alignment horizontal="left"/>
    </xf>
    <xf numFmtId="0" fontId="23" fillId="12" borderId="0">
      <alignment horizontal="centerContinuous" wrapText="1"/>
    </xf>
    <xf numFmtId="0" fontId="35" fillId="0" borderId="20" applyNumberFormat="0" applyFill="0" applyAlignment="0" applyProtection="0"/>
    <xf numFmtId="0" fontId="16" fillId="7" borderId="0" applyNumberFormat="0" applyBorder="0" applyAlignment="0" applyProtection="0"/>
    <xf numFmtId="0" fontId="17" fillId="0" borderId="0"/>
    <xf numFmtId="0" fontId="17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8" fillId="0" borderId="0"/>
    <xf numFmtId="0" fontId="15" fillId="0" borderId="0">
      <alignment horizontal="left"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34" fillId="0" borderId="0"/>
    <xf numFmtId="0" fontId="8" fillId="0" borderId="0"/>
    <xf numFmtId="0" fontId="25" fillId="0" borderId="0">
      <alignment horizontal="left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0" fillId="0" borderId="0"/>
    <xf numFmtId="0" fontId="8" fillId="0" borderId="0"/>
    <xf numFmtId="0" fontId="41" fillId="0" borderId="0" applyNumberFormat="0" applyProtection="0">
      <alignment horizontal="left"/>
    </xf>
    <xf numFmtId="0" fontId="29" fillId="0" borderId="0">
      <alignment horizontal="left"/>
    </xf>
    <xf numFmtId="37" fontId="42" fillId="0" borderId="0"/>
    <xf numFmtId="37" fontId="28" fillId="0" borderId="0"/>
    <xf numFmtId="0" fontId="8" fillId="0" borderId="0"/>
    <xf numFmtId="0" fontId="17" fillId="0" borderId="0"/>
    <xf numFmtId="0" fontId="17" fillId="0" borderId="0"/>
    <xf numFmtId="0" fontId="17" fillId="0" borderId="0"/>
    <xf numFmtId="0" fontId="8" fillId="30" borderId="25" applyNumberFormat="0" applyFont="0" applyAlignment="0" applyProtection="0"/>
    <xf numFmtId="0" fontId="43" fillId="28" borderId="26" applyNumberFormat="0" applyAlignment="0" applyProtection="0"/>
    <xf numFmtId="9" fontId="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>
      <alignment horizontal="right"/>
    </xf>
    <xf numFmtId="0" fontId="36" fillId="0" borderId="0">
      <alignment horizontal="right"/>
    </xf>
    <xf numFmtId="49" fontId="27" fillId="0" borderId="0">
      <alignment horizontal="left" vertical="center"/>
    </xf>
    <xf numFmtId="49" fontId="36" fillId="0" borderId="15">
      <alignment horizontal="left"/>
    </xf>
    <xf numFmtId="0" fontId="12" fillId="17" borderId="0">
      <alignment horizontal="centerContinuous" vertical="center" wrapText="1"/>
    </xf>
    <xf numFmtId="0" fontId="12" fillId="0" borderId="16">
      <alignment horizontal="left" vertical="center"/>
    </xf>
    <xf numFmtId="0" fontId="44" fillId="0" borderId="0" applyNumberFormat="0" applyFill="0" applyBorder="0" applyAlignment="0" applyProtection="0"/>
    <xf numFmtId="0" fontId="23" fillId="0" borderId="0">
      <alignment horizontal="left"/>
    </xf>
    <xf numFmtId="0" fontId="45" fillId="0" borderId="27" applyNumberFormat="0" applyFill="0" applyAlignment="0" applyProtection="0"/>
    <xf numFmtId="0" fontId="18" fillId="0" borderId="0" applyNumberFormat="0" applyFill="0" applyBorder="0" applyAlignment="0" applyProtection="0"/>
    <xf numFmtId="49" fontId="27" fillId="0" borderId="15">
      <alignment horizontal="left"/>
    </xf>
    <xf numFmtId="0" fontId="12" fillId="0" borderId="11">
      <alignment horizontal="left"/>
    </xf>
    <xf numFmtId="0" fontId="23" fillId="0" borderId="0">
      <alignment horizontal="left" vertical="center"/>
    </xf>
  </cellStyleXfs>
  <cellXfs count="9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/>
    <xf numFmtId="1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0" borderId="0" xfId="6"/>
    <xf numFmtId="0" fontId="3" fillId="0" borderId="0" xfId="6" applyFont="1"/>
    <xf numFmtId="183" fontId="0" fillId="0" borderId="0" xfId="0" applyNumberFormat="1"/>
    <xf numFmtId="184" fontId="0" fillId="0" borderId="0" xfId="0" applyNumberFormat="1"/>
    <xf numFmtId="178" fontId="0" fillId="0" borderId="0" xfId="0" applyNumberFormat="1"/>
    <xf numFmtId="0" fontId="4" fillId="0" borderId="0" xfId="0" applyFont="1"/>
    <xf numFmtId="178" fontId="0" fillId="2" borderId="0" xfId="0" applyNumberFormat="1" applyFill="1"/>
    <xf numFmtId="181" fontId="0" fillId="0" borderId="0" xfId="0" applyNumberFormat="1"/>
    <xf numFmtId="181" fontId="0" fillId="2" borderId="0" xfId="0" applyNumberFormat="1" applyFill="1"/>
    <xf numFmtId="0" fontId="5" fillId="0" borderId="0" xfId="0" applyFont="1"/>
    <xf numFmtId="180" fontId="0" fillId="0" borderId="0" xfId="0" applyNumberFormat="1"/>
    <xf numFmtId="9" fontId="0" fillId="0" borderId="0" xfId="0" applyNumberFormat="1"/>
    <xf numFmtId="0" fontId="1" fillId="3" borderId="0" xfId="0" applyFont="1" applyFill="1"/>
    <xf numFmtId="0" fontId="0" fillId="3" borderId="0" xfId="0" applyFill="1"/>
    <xf numFmtId="181" fontId="0" fillId="4" borderId="0" xfId="0" applyNumberFormat="1" applyFill="1"/>
    <xf numFmtId="181" fontId="0" fillId="5" borderId="0" xfId="0" applyNumberFormat="1" applyFill="1"/>
    <xf numFmtId="0" fontId="0" fillId="0" borderId="0" xfId="0" applyAlignment="1">
      <alignment wrapText="1"/>
    </xf>
    <xf numFmtId="186" fontId="0" fillId="0" borderId="0" xfId="0" applyNumberFormat="1"/>
    <xf numFmtId="183" fontId="0" fillId="0" borderId="0" xfId="0" applyNumberFormat="1" applyAlignment="1">
      <alignment wrapText="1"/>
    </xf>
    <xf numFmtId="0" fontId="7" fillId="0" borderId="3" xfId="0" applyFont="1" applyBorder="1" applyAlignment="1">
      <alignment horizontal="left" vertical="center" indent="8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7" fillId="0" borderId="3" xfId="0" applyFont="1" applyBorder="1" applyAlignment="1">
      <alignment horizontal="left" indent="4"/>
    </xf>
    <xf numFmtId="0" fontId="8" fillId="0" borderId="3" xfId="0" applyFont="1" applyBorder="1" applyAlignment="1">
      <alignment horizontal="left" vertical="top"/>
    </xf>
    <xf numFmtId="1" fontId="9" fillId="0" borderId="3" xfId="0" applyNumberFormat="1" applyFont="1" applyBorder="1" applyAlignment="1">
      <alignment horizontal="center"/>
    </xf>
    <xf numFmtId="0" fontId="8" fillId="0" borderId="8" xfId="0" applyFont="1" applyBorder="1" applyAlignment="1">
      <alignment horizontal="left" vertical="top"/>
    </xf>
    <xf numFmtId="0" fontId="7" fillId="0" borderId="3" xfId="0" applyFont="1" applyBorder="1" applyAlignment="1">
      <alignment horizontal="left"/>
    </xf>
    <xf numFmtId="2" fontId="9" fillId="0" borderId="3" xfId="0" applyNumberFormat="1" applyFont="1" applyBorder="1" applyAlignment="1">
      <alignment horizontal="justify"/>
    </xf>
    <xf numFmtId="2" fontId="9" fillId="0" borderId="3" xfId="0" applyNumberFormat="1" applyFont="1" applyBorder="1" applyAlignment="1">
      <alignment horizontal="center"/>
    </xf>
    <xf numFmtId="0" fontId="8" fillId="0" borderId="9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center"/>
    </xf>
    <xf numFmtId="2" fontId="9" fillId="0" borderId="3" xfId="0" applyNumberFormat="1" applyFont="1" applyBorder="1" applyAlignment="1">
      <alignment horizontal="justify" vertical="center"/>
    </xf>
    <xf numFmtId="2" fontId="9" fillId="0" borderId="3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left" vertical="center" indent="1"/>
    </xf>
    <xf numFmtId="1" fontId="9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top"/>
    </xf>
    <xf numFmtId="2" fontId="9" fillId="0" borderId="3" xfId="0" applyNumberFormat="1" applyFont="1" applyBorder="1" applyAlignment="1">
      <alignment horizontal="left" vertical="top"/>
    </xf>
    <xf numFmtId="1" fontId="9" fillId="0" borderId="3" xfId="0" applyNumberFormat="1" applyFont="1" applyBorder="1" applyAlignment="1">
      <alignment horizontal="center" vertical="top"/>
    </xf>
    <xf numFmtId="2" fontId="9" fillId="0" borderId="3" xfId="0" applyNumberFormat="1" applyFont="1" applyBorder="1" applyAlignment="1">
      <alignment horizontal="center" vertical="top"/>
    </xf>
    <xf numFmtId="2" fontId="9" fillId="0" borderId="3" xfId="0" applyNumberFormat="1" applyFont="1" applyBorder="1" applyAlignment="1">
      <alignment horizontal="left" vertical="top" indent="1"/>
    </xf>
    <xf numFmtId="0" fontId="7" fillId="0" borderId="3" xfId="0" applyFont="1" applyBorder="1" applyAlignment="1">
      <alignment horizontal="left" vertical="top" wrapText="1"/>
    </xf>
    <xf numFmtId="180" fontId="9" fillId="0" borderId="3" xfId="0" applyNumberFormat="1" applyFont="1" applyBorder="1" applyAlignment="1">
      <alignment horizontal="justify" vertical="center"/>
    </xf>
    <xf numFmtId="180" fontId="9" fillId="0" borderId="3" xfId="0" applyNumberFormat="1" applyFont="1" applyBorder="1" applyAlignment="1">
      <alignment horizontal="left" vertical="center" indent="2"/>
    </xf>
    <xf numFmtId="1" fontId="9" fillId="0" borderId="3" xfId="0" applyNumberFormat="1" applyFont="1" applyBorder="1" applyAlignment="1">
      <alignment horizontal="left" vertical="top" indent="2"/>
    </xf>
    <xf numFmtId="187" fontId="9" fillId="0" borderId="3" xfId="0" applyNumberFormat="1" applyFont="1" applyBorder="1" applyAlignment="1">
      <alignment horizontal="justify" vertical="center"/>
    </xf>
    <xf numFmtId="187" fontId="9" fillId="0" borderId="3" xfId="0" applyNumberFormat="1" applyFont="1" applyBorder="1" applyAlignment="1">
      <alignment horizontal="center" vertical="center"/>
    </xf>
    <xf numFmtId="185" fontId="9" fillId="0" borderId="3" xfId="0" applyNumberFormat="1" applyFont="1" applyBorder="1" applyAlignment="1">
      <alignment horizontal="center" vertical="center"/>
    </xf>
    <xf numFmtId="180" fontId="9" fillId="0" borderId="3" xfId="0" applyNumberFormat="1" applyFont="1" applyBorder="1" applyAlignment="1">
      <alignment horizontal="justify" vertical="top"/>
    </xf>
    <xf numFmtId="180" fontId="9" fillId="0" borderId="3" xfId="0" applyNumberFormat="1" applyFont="1" applyBorder="1" applyAlignment="1">
      <alignment horizontal="center" vertical="top"/>
    </xf>
    <xf numFmtId="180" fontId="9" fillId="0" borderId="3" xfId="0" applyNumberFormat="1" applyFont="1" applyBorder="1" applyAlignment="1">
      <alignment horizontal="left" vertical="top" indent="2"/>
    </xf>
    <xf numFmtId="187" fontId="9" fillId="0" borderId="3" xfId="0" applyNumberFormat="1" applyFont="1" applyBorder="1" applyAlignment="1">
      <alignment horizontal="justify" vertical="top"/>
    </xf>
    <xf numFmtId="187" fontId="9" fillId="0" borderId="3" xfId="0" applyNumberFormat="1" applyFont="1" applyBorder="1" applyAlignment="1">
      <alignment horizontal="center" vertical="top"/>
    </xf>
    <xf numFmtId="187" fontId="9" fillId="0" borderId="3" xfId="0" applyNumberFormat="1" applyFont="1" applyBorder="1" applyAlignment="1">
      <alignment horizontal="left" vertical="top" indent="1"/>
    </xf>
    <xf numFmtId="0" fontId="8" fillId="0" borderId="10" xfId="0" applyFont="1" applyBorder="1" applyAlignment="1">
      <alignment horizontal="left" vertical="top"/>
    </xf>
    <xf numFmtId="187" fontId="9" fillId="0" borderId="8" xfId="0" applyNumberFormat="1" applyFont="1" applyBorder="1" applyAlignment="1">
      <alignment horizontal="center" vertical="center"/>
    </xf>
    <xf numFmtId="187" fontId="9" fillId="0" borderId="8" xfId="0" applyNumberFormat="1" applyFont="1" applyBorder="1" applyAlignment="1">
      <alignment horizontal="left" vertical="center" indent="1"/>
    </xf>
    <xf numFmtId="0" fontId="7" fillId="0" borderId="3" xfId="0" applyFont="1" applyBorder="1" applyAlignment="1">
      <alignment horizontal="justify" vertical="center" wrapText="1"/>
    </xf>
    <xf numFmtId="180" fontId="9" fillId="0" borderId="3" xfId="0" applyNumberFormat="1" applyFont="1" applyBorder="1" applyAlignment="1">
      <alignment horizontal="center"/>
    </xf>
    <xf numFmtId="180" fontId="9" fillId="0" borderId="3" xfId="0" applyNumberFormat="1" applyFont="1" applyBorder="1" applyAlignment="1">
      <alignment horizontal="justify"/>
    </xf>
    <xf numFmtId="2" fontId="9" fillId="0" borderId="3" xfId="0" applyNumberFormat="1" applyFont="1" applyBorder="1" applyAlignment="1">
      <alignment horizontal="justify" vertical="top"/>
    </xf>
    <xf numFmtId="2" fontId="9" fillId="0" borderId="3" xfId="0" applyNumberFormat="1" applyFont="1" applyBorder="1" applyAlignment="1">
      <alignment horizontal="left" vertical="top" indent="2"/>
    </xf>
    <xf numFmtId="180" fontId="9" fillId="0" borderId="3" xfId="0" applyNumberFormat="1" applyFont="1" applyBorder="1" applyAlignment="1">
      <alignment horizontal="center" vertical="center"/>
    </xf>
    <xf numFmtId="187" fontId="9" fillId="0" borderId="8" xfId="0" applyNumberFormat="1" applyFont="1" applyBorder="1" applyAlignment="1">
      <alignment horizontal="justify" vertical="center"/>
    </xf>
    <xf numFmtId="187" fontId="9" fillId="0" borderId="8" xfId="0" applyNumberFormat="1" applyFont="1" applyBorder="1" applyAlignment="1">
      <alignment horizontal="left" vertical="center" indent="2"/>
    </xf>
    <xf numFmtId="0" fontId="0" fillId="0" borderId="0" xfId="0" applyAlignment="1">
      <alignment horizontal="left"/>
    </xf>
    <xf numFmtId="0" fontId="10" fillId="0" borderId="0" xfId="0" applyFont="1"/>
    <xf numFmtId="0" fontId="11" fillId="0" borderId="0" xfId="0" applyFont="1"/>
    <xf numFmtId="0" fontId="48" fillId="0" borderId="0" xfId="0" applyFont="1"/>
    <xf numFmtId="0" fontId="48" fillId="0" borderId="0" xfId="0" applyFont="1" applyAlignment="1">
      <alignment wrapText="1"/>
    </xf>
    <xf numFmtId="0" fontId="0" fillId="4" borderId="0" xfId="0" applyFill="1"/>
    <xf numFmtId="0" fontId="48" fillId="4" borderId="0" xfId="0" applyFont="1" applyFill="1"/>
    <xf numFmtId="0" fontId="50" fillId="4" borderId="0" xfId="0" applyFont="1" applyFill="1"/>
    <xf numFmtId="0" fontId="17" fillId="4" borderId="0" xfId="0" applyFont="1" applyFill="1"/>
    <xf numFmtId="1" fontId="0" fillId="4" borderId="0" xfId="0" applyNumberFormat="1" applyFill="1"/>
    <xf numFmtId="0" fontId="7" fillId="0" borderId="1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indent="1"/>
    </xf>
    <xf numFmtId="0" fontId="7" fillId="0" borderId="5" xfId="0" applyFont="1" applyBorder="1" applyAlignment="1">
      <alignment horizontal="left" indent="1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justify" vertical="center" wrapText="1"/>
    </xf>
    <xf numFmtId="0" fontId="7" fillId="0" borderId="8" xfId="0" applyFont="1" applyBorder="1" applyAlignment="1">
      <alignment horizontal="justify" wrapText="1"/>
    </xf>
    <xf numFmtId="0" fontId="7" fillId="0" borderId="9" xfId="0" applyFont="1" applyBorder="1" applyAlignment="1">
      <alignment horizontal="justify" wrapText="1"/>
    </xf>
    <xf numFmtId="1" fontId="0" fillId="31" borderId="0" xfId="0" applyNumberFormat="1" applyFill="1"/>
  </cellXfs>
  <cellStyles count="141">
    <cellStyle name="20% - Accent1 2" xfId="28" xr:uid="{00000000-0005-0000-0000-00004B000000}"/>
    <cellStyle name="20% - Accent2 2" xfId="17" xr:uid="{00000000-0005-0000-0000-00002D000000}"/>
    <cellStyle name="20% - Accent3 2" xfId="18" xr:uid="{00000000-0005-0000-0000-000030000000}"/>
    <cellStyle name="20% - Accent4 2" xfId="32" xr:uid="{00000000-0005-0000-0000-00004F000000}"/>
    <cellStyle name="20% - Accent5 2" xfId="14" xr:uid="{00000000-0005-0000-0000-000026000000}"/>
    <cellStyle name="20% - Accent6 2" xfId="25" xr:uid="{00000000-0005-0000-0000-000048000000}"/>
    <cellStyle name="40% - Accent1 2" xfId="8" xr:uid="{00000000-0005-0000-0000-000015000000}"/>
    <cellStyle name="40% - Accent2 2" xfId="30" xr:uid="{00000000-0005-0000-0000-00004D000000}"/>
    <cellStyle name="40% - Accent3 2" xfId="26" xr:uid="{00000000-0005-0000-0000-000049000000}"/>
    <cellStyle name="40% - Accent4 2" xfId="33" xr:uid="{00000000-0005-0000-0000-000050000000}"/>
    <cellStyle name="40% - Accent5 2" xfId="9" xr:uid="{00000000-0005-0000-0000-000018000000}"/>
    <cellStyle name="40% - Accent6 2" xfId="11" xr:uid="{00000000-0005-0000-0000-00001C000000}"/>
    <cellStyle name="60% - Accent1 2" xfId="15" xr:uid="{00000000-0005-0000-0000-000027000000}"/>
    <cellStyle name="60% - Accent2 2" xfId="24" xr:uid="{00000000-0005-0000-0000-000047000000}"/>
    <cellStyle name="60% - Accent3 2" xfId="31" xr:uid="{00000000-0005-0000-0000-00004E000000}"/>
    <cellStyle name="60% - Accent4 2" xfId="34" xr:uid="{00000000-0005-0000-0000-000051000000}"/>
    <cellStyle name="60% - Accent5 2" xfId="35" xr:uid="{00000000-0005-0000-0000-000052000000}"/>
    <cellStyle name="60% - Accent6 2" xfId="36" xr:uid="{00000000-0005-0000-0000-000053000000}"/>
    <cellStyle name="Accent1 2" xfId="37" xr:uid="{00000000-0005-0000-0000-000054000000}"/>
    <cellStyle name="Accent2 2" xfId="38" xr:uid="{00000000-0005-0000-0000-000055000000}"/>
    <cellStyle name="Accent3 2" xfId="40" xr:uid="{00000000-0005-0000-0000-000057000000}"/>
    <cellStyle name="Accent4 2" xfId="41" xr:uid="{00000000-0005-0000-0000-000058000000}"/>
    <cellStyle name="Accent5 2" xfId="42" xr:uid="{00000000-0005-0000-0000-000059000000}"/>
    <cellStyle name="Accent6 2" xfId="13" xr:uid="{00000000-0005-0000-0000-000021000000}"/>
    <cellStyle name="Bad 2" xfId="43" xr:uid="{00000000-0005-0000-0000-00005A000000}"/>
    <cellStyle name="Body: normal cell" xfId="44" xr:uid="{00000000-0005-0000-0000-00005B000000}"/>
    <cellStyle name="Calculation 2" xfId="46" xr:uid="{00000000-0005-0000-0000-00005D000000}"/>
    <cellStyle name="Check Cell 2" xfId="47" xr:uid="{00000000-0005-0000-0000-00005E000000}"/>
    <cellStyle name="Comma 2" xfId="7" xr:uid="{00000000-0005-0000-0000-000014000000}"/>
    <cellStyle name="Comma 2 2" xfId="48" xr:uid="{00000000-0005-0000-0000-00005F000000}"/>
    <cellStyle name="Comma 2 2 2" xfId="49" xr:uid="{00000000-0005-0000-0000-000060000000}"/>
    <cellStyle name="Comma 2 2 3" xfId="50" xr:uid="{00000000-0005-0000-0000-000061000000}"/>
    <cellStyle name="Comma 2 3" xfId="51" xr:uid="{00000000-0005-0000-0000-000062000000}"/>
    <cellStyle name="Comma 3" xfId="52" xr:uid="{00000000-0005-0000-0000-000063000000}"/>
    <cellStyle name="Comma 4" xfId="54" xr:uid="{00000000-0005-0000-0000-000065000000}"/>
    <cellStyle name="Comma 5" xfId="55" xr:uid="{00000000-0005-0000-0000-000066000000}"/>
    <cellStyle name="Comma 6" xfId="56" xr:uid="{00000000-0005-0000-0000-000067000000}"/>
    <cellStyle name="Comma 7" xfId="58" xr:uid="{00000000-0005-0000-0000-000069000000}"/>
    <cellStyle name="Currency 2" xfId="59" xr:uid="{00000000-0005-0000-0000-00006A000000}"/>
    <cellStyle name="Currency 3" xfId="60" xr:uid="{00000000-0005-0000-0000-00006B000000}"/>
    <cellStyle name="Currency 3 2" xfId="61" xr:uid="{00000000-0005-0000-0000-00006C000000}"/>
    <cellStyle name="Data" xfId="39" xr:uid="{00000000-0005-0000-0000-000056000000}"/>
    <cellStyle name="Data no deci" xfId="10" xr:uid="{00000000-0005-0000-0000-00001B000000}"/>
    <cellStyle name="Data Superscript" xfId="62" xr:uid="{00000000-0005-0000-0000-00006D000000}"/>
    <cellStyle name="Data_1-1A-Regular" xfId="63" xr:uid="{00000000-0005-0000-0000-00006E000000}"/>
    <cellStyle name="Explanatory Text 2" xfId="64" xr:uid="{00000000-0005-0000-0000-00006F000000}"/>
    <cellStyle name="Font: Calibri, 9pt regular" xfId="4" xr:uid="{00000000-0005-0000-0000-00000A000000}"/>
    <cellStyle name="Footnotes: top row" xfId="65" xr:uid="{00000000-0005-0000-0000-000070000000}"/>
    <cellStyle name="Good 2" xfId="57" xr:uid="{00000000-0005-0000-0000-000068000000}"/>
    <cellStyle name="Header: bottom row" xfId="66" xr:uid="{00000000-0005-0000-0000-000071000000}"/>
    <cellStyle name="Heading 1 2" xfId="67" xr:uid="{00000000-0005-0000-0000-000072000000}"/>
    <cellStyle name="Heading 2 2" xfId="68" xr:uid="{00000000-0005-0000-0000-000073000000}"/>
    <cellStyle name="Heading 3 2" xfId="23" xr:uid="{00000000-0005-0000-0000-000044000000}"/>
    <cellStyle name="Heading 4 2" xfId="69" xr:uid="{00000000-0005-0000-0000-000074000000}"/>
    <cellStyle name="Hed Side" xfId="70" xr:uid="{00000000-0005-0000-0000-000075000000}"/>
    <cellStyle name="Hed Side bold" xfId="71" xr:uid="{00000000-0005-0000-0000-000076000000}"/>
    <cellStyle name="Hed Side Indent" xfId="5" xr:uid="{00000000-0005-0000-0000-00000E000000}"/>
    <cellStyle name="Hed Side Regular" xfId="72" xr:uid="{00000000-0005-0000-0000-000077000000}"/>
    <cellStyle name="Hed Side_1-1A-Regular" xfId="73" xr:uid="{00000000-0005-0000-0000-000078000000}"/>
    <cellStyle name="Hed Top" xfId="74" xr:uid="{00000000-0005-0000-0000-000079000000}"/>
    <cellStyle name="Input 2" xfId="3" xr:uid="{00000000-0005-0000-0000-000009000000}"/>
    <cellStyle name="Linked Cell 2" xfId="75" xr:uid="{00000000-0005-0000-0000-00007A000000}"/>
    <cellStyle name="Neutral 2" xfId="76" xr:uid="{00000000-0005-0000-0000-00007B000000}"/>
    <cellStyle name="Normal 10" xfId="77" xr:uid="{00000000-0005-0000-0000-00007C000000}"/>
    <cellStyle name="Normal 11" xfId="78" xr:uid="{00000000-0005-0000-0000-00007D000000}"/>
    <cellStyle name="Normal 2" xfId="79" xr:uid="{00000000-0005-0000-0000-00007E000000}"/>
    <cellStyle name="Normal 2 2" xfId="80" xr:uid="{00000000-0005-0000-0000-00007F000000}"/>
    <cellStyle name="Normal 2 2 2" xfId="81" xr:uid="{00000000-0005-0000-0000-000080000000}"/>
    <cellStyle name="Normal 2 2 3" xfId="82" xr:uid="{00000000-0005-0000-0000-000081000000}"/>
    <cellStyle name="Normal 2 3" xfId="83" xr:uid="{00000000-0005-0000-0000-000082000000}"/>
    <cellStyle name="Normal 2 4" xfId="84" xr:uid="{00000000-0005-0000-0000-000083000000}"/>
    <cellStyle name="Normal 3" xfId="85" xr:uid="{00000000-0005-0000-0000-000084000000}"/>
    <cellStyle name="Normal 3 2" xfId="87" xr:uid="{00000000-0005-0000-0000-000086000000}"/>
    <cellStyle name="Normal 3 2 2" xfId="1" xr:uid="{00000000-0005-0000-0000-000003000000}"/>
    <cellStyle name="Normal 3 2 2 2" xfId="88" xr:uid="{00000000-0005-0000-0000-000087000000}"/>
    <cellStyle name="Normal 3 2 3" xfId="22" xr:uid="{00000000-0005-0000-0000-00003D000000}"/>
    <cellStyle name="Normal 3 3" xfId="89" xr:uid="{00000000-0005-0000-0000-000088000000}"/>
    <cellStyle name="Normal 3 3 2" xfId="90" xr:uid="{00000000-0005-0000-0000-000089000000}"/>
    <cellStyle name="Normal 3 3 2 2" xfId="91" xr:uid="{00000000-0005-0000-0000-00008A000000}"/>
    <cellStyle name="Normal 3 3 3" xfId="92" xr:uid="{00000000-0005-0000-0000-00008B000000}"/>
    <cellStyle name="Normal 3 4" xfId="93" xr:uid="{00000000-0005-0000-0000-00008C000000}"/>
    <cellStyle name="Normal 3 4 2" xfId="94" xr:uid="{00000000-0005-0000-0000-00008D000000}"/>
    <cellStyle name="Normal 3 5" xfId="29" xr:uid="{00000000-0005-0000-0000-00004C000000}"/>
    <cellStyle name="Normal 3 6" xfId="95" xr:uid="{00000000-0005-0000-0000-00008E000000}"/>
    <cellStyle name="Normal 3 7" xfId="96" xr:uid="{00000000-0005-0000-0000-00008F000000}"/>
    <cellStyle name="Normal 3 8" xfId="97" xr:uid="{00000000-0005-0000-0000-000090000000}"/>
    <cellStyle name="Normal 3 9" xfId="27" xr:uid="{00000000-0005-0000-0000-00004A000000}"/>
    <cellStyle name="Normal 4" xfId="98" xr:uid="{00000000-0005-0000-0000-000091000000}"/>
    <cellStyle name="Normal 4 2" xfId="100" xr:uid="{00000000-0005-0000-0000-000093000000}"/>
    <cellStyle name="Normal 4 2 2" xfId="101" xr:uid="{00000000-0005-0000-0000-000094000000}"/>
    <cellStyle name="Normal 4 2 2 2" xfId="102" xr:uid="{00000000-0005-0000-0000-000095000000}"/>
    <cellStyle name="Normal 4 2 3" xfId="103" xr:uid="{00000000-0005-0000-0000-000096000000}"/>
    <cellStyle name="Normal 4 3" xfId="104" xr:uid="{00000000-0005-0000-0000-000097000000}"/>
    <cellStyle name="Normal 4 3 2" xfId="105" xr:uid="{00000000-0005-0000-0000-000098000000}"/>
    <cellStyle name="Normal 4 3 2 2" xfId="106" xr:uid="{00000000-0005-0000-0000-000099000000}"/>
    <cellStyle name="Normal 4 3 3" xfId="107" xr:uid="{00000000-0005-0000-0000-00009A000000}"/>
    <cellStyle name="Normal 4 4" xfId="108" xr:uid="{00000000-0005-0000-0000-00009B000000}"/>
    <cellStyle name="Normal 4 4 2" xfId="109" xr:uid="{00000000-0005-0000-0000-00009C000000}"/>
    <cellStyle name="Normal 4 5" xfId="16" xr:uid="{00000000-0005-0000-0000-00002C000000}"/>
    <cellStyle name="Normal 4 6" xfId="110" xr:uid="{00000000-0005-0000-0000-00009D000000}"/>
    <cellStyle name="Normal 4 7" xfId="111" xr:uid="{00000000-0005-0000-0000-00009E000000}"/>
    <cellStyle name="Normal 4 8" xfId="112" xr:uid="{00000000-0005-0000-0000-00009F000000}"/>
    <cellStyle name="Normal 5" xfId="113" xr:uid="{00000000-0005-0000-0000-0000A0000000}"/>
    <cellStyle name="Normal 5 2" xfId="116" xr:uid="{00000000-0005-0000-0000-0000A3000000}"/>
    <cellStyle name="Normal 5 3" xfId="45" xr:uid="{00000000-0005-0000-0000-00005C000000}"/>
    <cellStyle name="Normal 6" xfId="117" xr:uid="{00000000-0005-0000-0000-0000A4000000}"/>
    <cellStyle name="Normal 6 2" xfId="118" xr:uid="{00000000-0005-0000-0000-0000A5000000}"/>
    <cellStyle name="Normal 7" xfId="119" xr:uid="{00000000-0005-0000-0000-0000A6000000}"/>
    <cellStyle name="Normal 8" xfId="120" xr:uid="{00000000-0005-0000-0000-0000A7000000}"/>
    <cellStyle name="Normal 9" xfId="121" xr:uid="{00000000-0005-0000-0000-0000A8000000}"/>
    <cellStyle name="Note 2" xfId="53" xr:uid="{00000000-0005-0000-0000-000064000000}"/>
    <cellStyle name="Note 2 2" xfId="122" xr:uid="{00000000-0005-0000-0000-0000A9000000}"/>
    <cellStyle name="Output 2" xfId="123" xr:uid="{00000000-0005-0000-0000-0000AA000000}"/>
    <cellStyle name="Parent row" xfId="2" xr:uid="{00000000-0005-0000-0000-000007000000}"/>
    <cellStyle name="Percent 2" xfId="124" xr:uid="{00000000-0005-0000-0000-0000AB000000}"/>
    <cellStyle name="Percent 2 2" xfId="125" xr:uid="{00000000-0005-0000-0000-0000AC000000}"/>
    <cellStyle name="Percent 3" xfId="126" xr:uid="{00000000-0005-0000-0000-0000AD000000}"/>
    <cellStyle name="Percent 3 2" xfId="127" xr:uid="{00000000-0005-0000-0000-0000AE000000}"/>
    <cellStyle name="Source Hed" xfId="128" xr:uid="{00000000-0005-0000-0000-0000AF000000}"/>
    <cellStyle name="Source Superscript" xfId="129" xr:uid="{00000000-0005-0000-0000-0000B0000000}"/>
    <cellStyle name="Source Text" xfId="12" xr:uid="{00000000-0005-0000-0000-000020000000}"/>
    <cellStyle name="State" xfId="130" xr:uid="{00000000-0005-0000-0000-0000B1000000}"/>
    <cellStyle name="Superscript" xfId="131" xr:uid="{00000000-0005-0000-0000-0000B2000000}"/>
    <cellStyle name="Table Data" xfId="19" xr:uid="{00000000-0005-0000-0000-000032000000}"/>
    <cellStyle name="Table Head Top" xfId="132" xr:uid="{00000000-0005-0000-0000-0000B3000000}"/>
    <cellStyle name="Table Hed Side" xfId="133" xr:uid="{00000000-0005-0000-0000-0000B4000000}"/>
    <cellStyle name="Table title" xfId="114" xr:uid="{00000000-0005-0000-0000-0000A1000000}"/>
    <cellStyle name="Title 2" xfId="134" xr:uid="{00000000-0005-0000-0000-0000B5000000}"/>
    <cellStyle name="Title Text" xfId="135" xr:uid="{00000000-0005-0000-0000-0000B6000000}"/>
    <cellStyle name="Title Text 1" xfId="20" xr:uid="{00000000-0005-0000-0000-000036000000}"/>
    <cellStyle name="Title Text 2" xfId="21" xr:uid="{00000000-0005-0000-0000-000039000000}"/>
    <cellStyle name="Title-1" xfId="86" xr:uid="{00000000-0005-0000-0000-000085000000}"/>
    <cellStyle name="Title-2" xfId="99" xr:uid="{00000000-0005-0000-0000-000092000000}"/>
    <cellStyle name="Title-3" xfId="115" xr:uid="{00000000-0005-0000-0000-0000A2000000}"/>
    <cellStyle name="Total 2" xfId="136" xr:uid="{00000000-0005-0000-0000-0000B7000000}"/>
    <cellStyle name="Warning Text 2" xfId="137" xr:uid="{00000000-0005-0000-0000-0000B8000000}"/>
    <cellStyle name="Wrap" xfId="138" xr:uid="{00000000-0005-0000-0000-0000B9000000}"/>
    <cellStyle name="Wrap Bold" xfId="139" xr:uid="{00000000-0005-0000-0000-0000BA000000}"/>
    <cellStyle name="Wrap Title" xfId="140" xr:uid="{00000000-0005-0000-0000-0000BB000000}"/>
    <cellStyle name="常规" xfId="0" builtinId="0"/>
    <cellStyle name="超链接" xfId="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</xdr:colOff>
      <xdr:row>2</xdr:row>
      <xdr:rowOff>36195</xdr:rowOff>
    </xdr:from>
    <xdr:to>
      <xdr:col>5</xdr:col>
      <xdr:colOff>311785</xdr:colOff>
      <xdr:row>8</xdr:row>
      <xdr:rowOff>17780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0005" y="398145"/>
          <a:ext cx="3367405" cy="1067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140335</xdr:colOff>
      <xdr:row>11</xdr:row>
      <xdr:rowOff>106680</xdr:rowOff>
    </xdr:from>
    <xdr:to>
      <xdr:col>17</xdr:col>
      <xdr:colOff>364542</xdr:colOff>
      <xdr:row>35</xdr:row>
      <xdr:rowOff>123825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6331585" y="2097405"/>
          <a:ext cx="4558082" cy="4970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285750</xdr:colOff>
      <xdr:row>13</xdr:row>
      <xdr:rowOff>38100</xdr:rowOff>
    </xdr:from>
    <xdr:to>
      <xdr:col>8</xdr:col>
      <xdr:colOff>525780</xdr:colOff>
      <xdr:row>36</xdr:row>
      <xdr:rowOff>20320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" y="2390775"/>
          <a:ext cx="5193030" cy="4763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167640</xdr:colOff>
      <xdr:row>40</xdr:row>
      <xdr:rowOff>64135</xdr:rowOff>
    </xdr:from>
    <xdr:to>
      <xdr:col>10</xdr:col>
      <xdr:colOff>15875</xdr:colOff>
      <xdr:row>46</xdr:row>
      <xdr:rowOff>85725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6765" y="7960360"/>
          <a:ext cx="5420360" cy="2117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df.dfcfw.com/pdf/H3_AP202003201376728272_1.pdf?1584710037000.pdf" TargetMode="External"/><Relationship Id="rId13" Type="http://schemas.openxmlformats.org/officeDocument/2006/relationships/hyperlink" Target="https://pdf.dfcfw.com/pdf/H2_AN201803271111567559_1.pdf" TargetMode="External"/><Relationship Id="rId3" Type="http://schemas.openxmlformats.org/officeDocument/2006/relationships/hyperlink" Target="https://www.boats.com/boat-buyers-guide/cost-of-owning-a-boat-budgeting-financial-planning/" TargetMode="External"/><Relationship Id="rId7" Type="http://schemas.openxmlformats.org/officeDocument/2006/relationships/hyperlink" Target="http://html.rhhz.net/GLJTKJ/20150325.htm" TargetMode="External"/><Relationship Id="rId12" Type="http://schemas.openxmlformats.org/officeDocument/2006/relationships/hyperlink" Target="http://www.ceair.com/upload/2019/3/602.pdf" TargetMode="External"/><Relationship Id="rId2" Type="http://schemas.openxmlformats.org/officeDocument/2006/relationships/hyperlink" Target="http://www.sparusa.com/Presentations/Presentation-Commercial%20Ship%20Life%20Cycle%20&amp;%20Required%20Freight%20Rate%20(RFR)%20Cost%20Model.pdf" TargetMode="External"/><Relationship Id="rId16" Type="http://schemas.openxmlformats.org/officeDocument/2006/relationships/hyperlink" Target="https://baijiahao.baidu.com/s?id=1681311761536739236&amp;wfr=spider&amp;for=pc" TargetMode="External"/><Relationship Id="rId1" Type="http://schemas.openxmlformats.org/officeDocument/2006/relationships/hyperlink" Target="https://www.drivebigtrucks.com/trucking-news/the-real-operating-cost-of-a-commercial-truck/" TargetMode="External"/><Relationship Id="rId6" Type="http://schemas.openxmlformats.org/officeDocument/2006/relationships/hyperlink" Target="http://www.newmotor.com.cn/space/?364992" TargetMode="External"/><Relationship Id="rId11" Type="http://schemas.openxmlformats.org/officeDocument/2006/relationships/hyperlink" Target="http://www.csair.com/cn/about/investor/yejibaogao/2019/resource/9b3cbd914f59fc23361c0139ebb88172.pdf" TargetMode="External"/><Relationship Id="rId5" Type="http://schemas.openxmlformats.org/officeDocument/2006/relationships/hyperlink" Target="https://www.chyxx.com/industry/201511/357472.html" TargetMode="External"/><Relationship Id="rId15" Type="http://schemas.openxmlformats.org/officeDocument/2006/relationships/hyperlink" Target="http://www.yidianzixun.com/article/0OuxSHvB" TargetMode="External"/><Relationship Id="rId10" Type="http://schemas.openxmlformats.org/officeDocument/2006/relationships/hyperlink" Target="http://www.autoinfo.org.cn/autoinfo_cn/content/news/20191216/1853501.html" TargetMode="External"/><Relationship Id="rId4" Type="http://schemas.openxmlformats.org/officeDocument/2006/relationships/hyperlink" Target="https://author.baidu.com/home?from=bjh_article&amp;app_id=1537901961940440" TargetMode="External"/><Relationship Id="rId9" Type="http://schemas.openxmlformats.org/officeDocument/2006/relationships/hyperlink" Target="http://pdf.dfcfw.com/pdf/H3_AP201607070016463141_1.pdf" TargetMode="External"/><Relationship Id="rId14" Type="http://schemas.openxmlformats.org/officeDocument/2006/relationships/hyperlink" Target="http://www.newmotor.com.cn/html/cmhd/108215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insurance.com/motorcycle/is-riding-a-motorcycle-cheaper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urance.com/motorcycle/is-riding-a-motorcycle-cheaper.html" TargetMode="External"/><Relationship Id="rId2" Type="http://schemas.openxmlformats.org/officeDocument/2006/relationships/hyperlink" Target="https://www.energy.gov/sites/prod/files/2014/03/f10/fuel_cell_mhe_cost.pdf" TargetMode="External"/><Relationship Id="rId1" Type="http://schemas.openxmlformats.org/officeDocument/2006/relationships/hyperlink" Target="https://www.energy.gov/eere/electricvehicles/electric-car-safety-maintenance-and-battery-lif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opLeftCell="A31" workbookViewId="0">
      <selection activeCell="D83" sqref="D83"/>
    </sheetView>
  </sheetViews>
  <sheetFormatPr defaultColWidth="9" defaultRowHeight="14.4"/>
  <cols>
    <col min="2" max="2" width="94.6640625" customWidth="1"/>
    <col min="3" max="3" width="9" customWidth="1"/>
  </cols>
  <sheetData>
    <row r="1" spans="1:3">
      <c r="A1" s="3" t="s">
        <v>0</v>
      </c>
      <c r="C1" s="77" t="s">
        <v>205</v>
      </c>
    </row>
    <row r="3" spans="1:3">
      <c r="A3" s="3" t="s">
        <v>1</v>
      </c>
      <c r="B3" s="5" t="s">
        <v>2</v>
      </c>
    </row>
    <row r="4" spans="1:3">
      <c r="B4" t="s">
        <v>3</v>
      </c>
    </row>
    <row r="5" spans="1:3">
      <c r="B5" s="74">
        <v>2020</v>
      </c>
    </row>
    <row r="6" spans="1:3">
      <c r="B6" t="s">
        <v>4</v>
      </c>
    </row>
    <row r="7" spans="1:3">
      <c r="B7" s="7" t="s">
        <v>204</v>
      </c>
    </row>
    <row r="8" spans="1:3">
      <c r="B8" t="s">
        <v>5</v>
      </c>
    </row>
    <row r="9" spans="1:3">
      <c r="B9" s="5" t="s">
        <v>6</v>
      </c>
    </row>
    <row r="10" spans="1:3">
      <c r="B10" t="s">
        <v>7</v>
      </c>
    </row>
    <row r="11" spans="1:3">
      <c r="B11" s="74">
        <v>2016</v>
      </c>
    </row>
    <row r="12" spans="1:3">
      <c r="B12" t="s">
        <v>8</v>
      </c>
    </row>
    <row r="13" spans="1:3">
      <c r="B13" s="7" t="s">
        <v>208</v>
      </c>
    </row>
    <row r="15" spans="1:3">
      <c r="B15" s="5" t="s">
        <v>9</v>
      </c>
    </row>
    <row r="16" spans="1:3">
      <c r="B16" t="s">
        <v>10</v>
      </c>
    </row>
    <row r="17" spans="2:2">
      <c r="B17" s="74">
        <v>2019</v>
      </c>
    </row>
    <row r="18" spans="2:2">
      <c r="B18" t="s">
        <v>11</v>
      </c>
    </row>
    <row r="19" spans="2:2">
      <c r="B19" s="7" t="s">
        <v>210</v>
      </c>
    </row>
    <row r="21" spans="2:2">
      <c r="B21" s="5" t="s">
        <v>12</v>
      </c>
    </row>
    <row r="22" spans="2:2">
      <c r="B22" t="s">
        <v>13</v>
      </c>
    </row>
    <row r="23" spans="2:2">
      <c r="B23" s="74">
        <v>2013</v>
      </c>
    </row>
    <row r="24" spans="2:2">
      <c r="B24" t="s">
        <v>14</v>
      </c>
    </row>
    <row r="25" spans="2:2">
      <c r="B25" s="7" t="s">
        <v>15</v>
      </c>
    </row>
    <row r="26" spans="2:2">
      <c r="B26" t="s">
        <v>16</v>
      </c>
    </row>
    <row r="28" spans="2:2">
      <c r="B28" s="5" t="s">
        <v>17</v>
      </c>
    </row>
    <row r="29" spans="2:2">
      <c r="B29" s="23" t="s">
        <v>18</v>
      </c>
    </row>
    <row r="30" spans="2:2">
      <c r="B30" s="74">
        <v>2015</v>
      </c>
    </row>
    <row r="31" spans="2:2">
      <c r="B31" t="s">
        <v>19</v>
      </c>
    </row>
    <row r="32" spans="2:2">
      <c r="B32" s="7" t="s">
        <v>20</v>
      </c>
    </row>
    <row r="33" spans="2:4">
      <c r="B33" t="s">
        <v>213</v>
      </c>
    </row>
    <row r="34" spans="2:4">
      <c r="B34" t="s">
        <v>212</v>
      </c>
    </row>
    <row r="35" spans="2:4">
      <c r="B35" s="5" t="s">
        <v>21</v>
      </c>
    </row>
    <row r="36" spans="2:4">
      <c r="B36" t="s">
        <v>22</v>
      </c>
    </row>
    <row r="37" spans="2:4">
      <c r="B37" s="74">
        <v>2017</v>
      </c>
    </row>
    <row r="38" spans="2:4">
      <c r="B38" t="s">
        <v>23</v>
      </c>
      <c r="D38" t="s">
        <v>220</v>
      </c>
    </row>
    <row r="39" spans="2:4">
      <c r="B39" s="7" t="s">
        <v>217</v>
      </c>
      <c r="D39" t="s">
        <v>219</v>
      </c>
    </row>
    <row r="41" spans="2:4">
      <c r="B41" t="s">
        <v>24</v>
      </c>
    </row>
    <row r="42" spans="2:4">
      <c r="B42" s="74">
        <v>2018</v>
      </c>
    </row>
    <row r="43" spans="2:4">
      <c r="B43" s="77" t="s">
        <v>215</v>
      </c>
    </row>
    <row r="44" spans="2:4">
      <c r="B44" s="7" t="s">
        <v>216</v>
      </c>
    </row>
    <row r="46" spans="2:4">
      <c r="B46" t="s">
        <v>25</v>
      </c>
    </row>
    <row r="47" spans="2:4">
      <c r="B47" s="74">
        <v>2018</v>
      </c>
    </row>
    <row r="48" spans="2:4">
      <c r="B48" t="s">
        <v>26</v>
      </c>
    </row>
    <row r="49" spans="2:2">
      <c r="B49" s="7" t="s">
        <v>214</v>
      </c>
    </row>
    <row r="50" spans="2:2">
      <c r="B50" s="5" t="s">
        <v>27</v>
      </c>
    </row>
    <row r="51" spans="2:2">
      <c r="B51" s="75" t="s">
        <v>28</v>
      </c>
    </row>
    <row r="52" spans="2:2">
      <c r="B52" s="74">
        <v>2020</v>
      </c>
    </row>
    <row r="53" spans="2:2">
      <c r="B53" t="s">
        <v>29</v>
      </c>
    </row>
    <row r="54" spans="2:2">
      <c r="B54" s="7" t="s">
        <v>226</v>
      </c>
    </row>
    <row r="55" spans="2:2">
      <c r="B55" s="7"/>
    </row>
    <row r="56" spans="2:2">
      <c r="B56" t="s">
        <v>30</v>
      </c>
    </row>
    <row r="57" spans="2:2">
      <c r="B57" s="74">
        <v>2020</v>
      </c>
    </row>
    <row r="58" spans="2:2">
      <c r="B58" t="s">
        <v>31</v>
      </c>
    </row>
    <row r="59" spans="2:2">
      <c r="B59" s="7" t="s">
        <v>228</v>
      </c>
    </row>
    <row r="61" spans="2:2">
      <c r="B61" s="5" t="s">
        <v>32</v>
      </c>
    </row>
    <row r="62" spans="2:2">
      <c r="B62" t="s">
        <v>33</v>
      </c>
    </row>
    <row r="63" spans="2:2">
      <c r="B63" s="74">
        <v>2020</v>
      </c>
    </row>
    <row r="64" spans="2:2">
      <c r="B64" t="s">
        <v>34</v>
      </c>
    </row>
    <row r="65" spans="2:5">
      <c r="B65" s="7" t="s">
        <v>229</v>
      </c>
    </row>
    <row r="66" spans="2:5">
      <c r="B66" s="7"/>
    </row>
    <row r="67" spans="2:5">
      <c r="B67" t="s">
        <v>35</v>
      </c>
    </row>
    <row r="68" spans="2:5">
      <c r="B68" s="74">
        <v>2015</v>
      </c>
    </row>
    <row r="69" spans="2:5">
      <c r="B69" t="s">
        <v>36</v>
      </c>
    </row>
    <row r="70" spans="2:5">
      <c r="B70" s="7" t="s">
        <v>37</v>
      </c>
    </row>
    <row r="73" spans="2:5">
      <c r="B73" s="5" t="s">
        <v>38</v>
      </c>
      <c r="E73" t="s">
        <v>39</v>
      </c>
    </row>
    <row r="74" spans="2:5">
      <c r="B74" t="s">
        <v>40</v>
      </c>
      <c r="C74" t="s">
        <v>41</v>
      </c>
    </row>
    <row r="75" spans="2:5">
      <c r="B75" s="74">
        <v>2012</v>
      </c>
    </row>
    <row r="76" spans="2:5">
      <c r="B76" t="s">
        <v>42</v>
      </c>
    </row>
    <row r="77" spans="2:5">
      <c r="B77" s="7" t="s">
        <v>43</v>
      </c>
    </row>
    <row r="78" spans="2:5">
      <c r="B78" t="s">
        <v>44</v>
      </c>
    </row>
    <row r="80" spans="2:5">
      <c r="B80" s="5" t="s">
        <v>45</v>
      </c>
    </row>
    <row r="81" spans="1:6">
      <c r="B81" t="s">
        <v>46</v>
      </c>
    </row>
    <row r="82" spans="1:6">
      <c r="B82" s="74">
        <v>2020</v>
      </c>
    </row>
    <row r="83" spans="1:6">
      <c r="B83" t="s">
        <v>47</v>
      </c>
    </row>
    <row r="84" spans="1:6">
      <c r="B84" s="7" t="s">
        <v>48</v>
      </c>
    </row>
    <row r="85" spans="1:6">
      <c r="B85" t="s">
        <v>49</v>
      </c>
    </row>
    <row r="87" spans="1:6">
      <c r="A87" s="3" t="s">
        <v>50</v>
      </c>
    </row>
    <row r="89" spans="1:6">
      <c r="A89" s="3" t="s">
        <v>51</v>
      </c>
    </row>
    <row r="90" spans="1:6">
      <c r="B90">
        <v>0.88562533119999998</v>
      </c>
      <c r="C90" t="s">
        <v>52</v>
      </c>
    </row>
    <row r="91" spans="1:6" ht="15">
      <c r="B91" s="76">
        <v>0.87184772150000001</v>
      </c>
      <c r="C91" t="s">
        <v>53</v>
      </c>
    </row>
    <row r="92" spans="1:6">
      <c r="B92">
        <v>0.13850000000000001</v>
      </c>
      <c r="C92" s="77" t="s">
        <v>206</v>
      </c>
      <c r="F92" s="77" t="s">
        <v>207</v>
      </c>
    </row>
    <row r="98" spans="2:2" ht="43.2">
      <c r="B98" s="78" t="s">
        <v>202</v>
      </c>
    </row>
    <row r="99" spans="2:2">
      <c r="B99" s="77" t="s">
        <v>203</v>
      </c>
    </row>
  </sheetData>
  <phoneticPr fontId="49" type="noConversion"/>
  <hyperlinks>
    <hyperlink ref="B25" r:id="rId1" xr:uid="{00000000-0004-0000-0000-000000000000}"/>
    <hyperlink ref="B77" r:id="rId2" xr:uid="{00000000-0004-0000-0000-000001000000}"/>
    <hyperlink ref="B84" r:id="rId3" xr:uid="{00000000-0004-0000-0000-000002000000}"/>
    <hyperlink ref="B62" r:id="rId4" tooltip="https://author.baidu.com/home?from=bjh_article&amp;app_id=1537901961940440" xr:uid="{00000000-0004-0000-0000-000003000000}"/>
    <hyperlink ref="B70" r:id="rId5" xr:uid="{00000000-0004-0000-0000-000004000000}"/>
    <hyperlink ref="B51" r:id="rId6" tooltip="http://www.newmotor.com.cn/space/?364992" xr:uid="{00000000-0004-0000-0000-000005000000}"/>
    <hyperlink ref="B32" r:id="rId7" xr:uid="{00000000-0004-0000-0000-000006000000}"/>
    <hyperlink ref="B7" r:id="rId8" xr:uid="{44A8EEA9-6A87-4DAB-A4DB-750EB91897D5}"/>
    <hyperlink ref="B13" r:id="rId9" xr:uid="{379920E8-973F-4FA8-9B9E-4BDF966C1D9E}"/>
    <hyperlink ref="B19" r:id="rId10" xr:uid="{4B9004D2-3ABA-457C-9CF5-7748ABFB7691}"/>
    <hyperlink ref="B49" r:id="rId11" xr:uid="{F06D1E99-E1D1-4BBF-B047-DD64F2CA02D0}"/>
    <hyperlink ref="B44" r:id="rId12" xr:uid="{AE56B33D-9A19-4329-BB51-5F8FDFC9D824}"/>
    <hyperlink ref="B39" r:id="rId13" xr:uid="{C638C085-05C6-410E-8C67-AA4421E6609B}"/>
    <hyperlink ref="B54" r:id="rId14" xr:uid="{AF670B72-C275-4691-9E8D-31CB763E0DC9}"/>
    <hyperlink ref="B59" r:id="rId15" xr:uid="{CD583F07-A521-4446-8D34-A75D0449D844}"/>
    <hyperlink ref="B65" r:id="rId16" xr:uid="{1193FFF5-9003-4BB3-8128-63285239EF07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49"/>
  <sheetViews>
    <sheetView topLeftCell="A4" workbookViewId="0">
      <selection activeCell="L56" sqref="L56"/>
    </sheetView>
  </sheetViews>
  <sheetFormatPr defaultColWidth="9" defaultRowHeight="14.4"/>
  <sheetData>
    <row r="2" spans="1:1">
      <c r="A2" s="3" t="s">
        <v>54</v>
      </c>
    </row>
    <row r="10" spans="1:1">
      <c r="A10" t="s">
        <v>55</v>
      </c>
    </row>
    <row r="12" spans="1:1">
      <c r="A12" t="s">
        <v>56</v>
      </c>
    </row>
    <row r="32" spans="11:19" ht="45">
      <c r="K32" s="84" t="s">
        <v>57</v>
      </c>
      <c r="L32" s="85"/>
      <c r="M32" s="26" t="s">
        <v>58</v>
      </c>
      <c r="N32" s="27" t="s">
        <v>59</v>
      </c>
      <c r="O32" s="27" t="s">
        <v>60</v>
      </c>
      <c r="P32" s="27" t="s">
        <v>61</v>
      </c>
      <c r="Q32" s="27" t="s">
        <v>61</v>
      </c>
      <c r="R32" s="27" t="s">
        <v>62</v>
      </c>
      <c r="S32" s="27" t="s">
        <v>63</v>
      </c>
    </row>
    <row r="33" spans="11:19" ht="30">
      <c r="K33" s="86" t="s">
        <v>64</v>
      </c>
      <c r="L33" s="87"/>
      <c r="M33" s="26" t="s">
        <v>65</v>
      </c>
      <c r="N33" s="27" t="s">
        <v>66</v>
      </c>
      <c r="O33" s="28" t="s">
        <v>67</v>
      </c>
      <c r="P33" s="29" t="s">
        <v>68</v>
      </c>
      <c r="Q33" s="28" t="s">
        <v>69</v>
      </c>
      <c r="R33" s="28" t="s">
        <v>70</v>
      </c>
      <c r="S33" s="66" t="s">
        <v>71</v>
      </c>
    </row>
    <row r="34" spans="11:19" ht="15">
      <c r="K34" s="30"/>
      <c r="L34" s="31"/>
      <c r="M34" s="32" t="s">
        <v>72</v>
      </c>
      <c r="N34" s="33"/>
      <c r="O34" s="34">
        <v>38</v>
      </c>
      <c r="P34" s="33"/>
      <c r="Q34" s="67">
        <v>38.1</v>
      </c>
      <c r="R34" s="33"/>
      <c r="S34" s="68">
        <v>39.700000000000003</v>
      </c>
    </row>
    <row r="35" spans="11:19" ht="15">
      <c r="K35" s="35"/>
      <c r="L35" s="93" t="s">
        <v>73</v>
      </c>
      <c r="M35" s="36" t="s">
        <v>74</v>
      </c>
      <c r="N35" s="37">
        <v>4.29</v>
      </c>
      <c r="O35" s="38">
        <v>5.97</v>
      </c>
      <c r="P35" s="38">
        <v>13.99</v>
      </c>
      <c r="Q35" s="38">
        <v>13.09</v>
      </c>
      <c r="R35" s="38">
        <v>26.85</v>
      </c>
      <c r="S35" s="37">
        <v>22.68</v>
      </c>
    </row>
    <row r="36" spans="11:19" ht="15">
      <c r="K36" s="39"/>
      <c r="L36" s="92"/>
      <c r="M36" s="40" t="s">
        <v>75</v>
      </c>
      <c r="N36" s="41">
        <v>4.29</v>
      </c>
      <c r="O36" s="42">
        <v>5.97</v>
      </c>
      <c r="P36" s="43">
        <v>13.99</v>
      </c>
      <c r="Q36" s="42">
        <v>14.89</v>
      </c>
      <c r="R36" s="42">
        <v>26.85</v>
      </c>
      <c r="S36" s="41">
        <v>20.88</v>
      </c>
    </row>
    <row r="37" spans="11:19" ht="15">
      <c r="K37" s="39"/>
      <c r="L37" s="92"/>
      <c r="M37" s="40" t="s">
        <v>76</v>
      </c>
      <c r="N37" s="44">
        <v>6</v>
      </c>
      <c r="O37" s="44">
        <v>0</v>
      </c>
      <c r="P37" s="44">
        <v>6</v>
      </c>
      <c r="Q37" s="44">
        <v>0</v>
      </c>
      <c r="R37" s="44">
        <v>6</v>
      </c>
      <c r="S37" s="44">
        <v>0</v>
      </c>
    </row>
    <row r="38" spans="11:19" ht="15">
      <c r="K38" s="39"/>
      <c r="L38" s="92"/>
      <c r="M38" s="45" t="s">
        <v>77</v>
      </c>
      <c r="N38" s="46">
        <v>0.37</v>
      </c>
      <c r="O38" s="47">
        <v>0</v>
      </c>
      <c r="P38" s="48">
        <v>1.24</v>
      </c>
      <c r="Q38" s="48">
        <v>0</v>
      </c>
      <c r="R38" s="48">
        <v>2.38</v>
      </c>
      <c r="S38" s="69">
        <v>0</v>
      </c>
    </row>
    <row r="39" spans="11:19" ht="15">
      <c r="K39" s="92" t="s">
        <v>78</v>
      </c>
      <c r="L39" s="94"/>
      <c r="M39" s="45" t="s">
        <v>79</v>
      </c>
      <c r="N39" s="46">
        <v>0.03</v>
      </c>
      <c r="O39" s="48">
        <v>0.03</v>
      </c>
      <c r="P39" s="49">
        <v>0.03</v>
      </c>
      <c r="Q39" s="48">
        <v>0.03</v>
      </c>
      <c r="R39" s="48">
        <v>0.03</v>
      </c>
      <c r="S39" s="69">
        <v>0.03</v>
      </c>
    </row>
    <row r="40" spans="11:19" ht="15">
      <c r="K40" s="92"/>
      <c r="L40" s="88" t="s">
        <v>80</v>
      </c>
      <c r="M40" s="89"/>
      <c r="N40" s="46">
        <v>10.69</v>
      </c>
      <c r="O40" s="48">
        <v>6</v>
      </c>
      <c r="P40" s="48">
        <v>21.26</v>
      </c>
      <c r="Q40" s="48">
        <v>14.92</v>
      </c>
      <c r="R40" s="48">
        <v>35.26</v>
      </c>
      <c r="S40" s="70">
        <v>22.71</v>
      </c>
    </row>
    <row r="41" spans="11:19" ht="90">
      <c r="K41" s="92"/>
      <c r="L41" s="95" t="s">
        <v>81</v>
      </c>
      <c r="M41" s="50" t="s">
        <v>82</v>
      </c>
      <c r="N41" s="51">
        <v>5.9</v>
      </c>
      <c r="O41" s="44">
        <v>13</v>
      </c>
      <c r="P41" s="52">
        <v>5.5</v>
      </c>
      <c r="Q41" s="71">
        <v>13.2</v>
      </c>
      <c r="R41" s="71">
        <v>6.1</v>
      </c>
      <c r="S41" s="71">
        <v>13.9</v>
      </c>
    </row>
    <row r="42" spans="11:19" ht="15">
      <c r="K42" s="92"/>
      <c r="L42" s="96"/>
      <c r="M42" s="45" t="s">
        <v>83</v>
      </c>
      <c r="N42" s="48">
        <v>6.79</v>
      </c>
      <c r="O42" s="48">
        <v>0.95</v>
      </c>
      <c r="P42" s="49">
        <v>6.79</v>
      </c>
      <c r="Q42" s="48">
        <v>0.95</v>
      </c>
      <c r="R42" s="48">
        <v>6.79</v>
      </c>
      <c r="S42" s="69">
        <v>0.95</v>
      </c>
    </row>
    <row r="43" spans="11:19" ht="15">
      <c r="K43" s="92"/>
      <c r="L43" s="96"/>
      <c r="M43" s="45" t="s">
        <v>84</v>
      </c>
      <c r="N43" s="47">
        <v>100</v>
      </c>
      <c r="O43" s="47">
        <v>100</v>
      </c>
      <c r="P43" s="53">
        <v>100</v>
      </c>
      <c r="Q43" s="47">
        <v>100</v>
      </c>
      <c r="R43" s="47">
        <v>100</v>
      </c>
      <c r="S43" s="47">
        <v>100</v>
      </c>
    </row>
    <row r="44" spans="11:19" ht="15">
      <c r="K44" s="92"/>
      <c r="L44" s="96"/>
      <c r="M44" s="40" t="s">
        <v>85</v>
      </c>
      <c r="N44" s="54">
        <v>0.40100000000000002</v>
      </c>
      <c r="O44" s="55">
        <v>0.124</v>
      </c>
      <c r="P44" s="56">
        <v>373</v>
      </c>
      <c r="Q44" s="54">
        <v>0.125</v>
      </c>
      <c r="R44" s="55">
        <v>0.41399999999999998</v>
      </c>
      <c r="S44" s="54">
        <v>0.13200000000000001</v>
      </c>
    </row>
    <row r="45" spans="11:19" ht="15">
      <c r="K45" s="92"/>
      <c r="L45" s="96"/>
      <c r="M45" s="45" t="s">
        <v>86</v>
      </c>
      <c r="N45" s="57">
        <v>0.2</v>
      </c>
      <c r="O45" s="58">
        <v>0.1</v>
      </c>
      <c r="P45" s="59">
        <v>0.3</v>
      </c>
      <c r="Q45" s="48">
        <v>0.15</v>
      </c>
      <c r="R45" s="58">
        <v>0.4</v>
      </c>
      <c r="S45" s="58">
        <v>0.2</v>
      </c>
    </row>
    <row r="46" spans="11:19" ht="15">
      <c r="K46" s="92"/>
      <c r="L46" s="96"/>
      <c r="M46" s="45" t="s">
        <v>87</v>
      </c>
      <c r="N46" s="60">
        <v>9.5000000000000001E-2</v>
      </c>
      <c r="O46" s="61">
        <v>9.5000000000000001E-2</v>
      </c>
      <c r="P46" s="61">
        <v>9.5000000000000001E-2</v>
      </c>
      <c r="Q46" s="61">
        <v>9.5000000000000001E-2</v>
      </c>
      <c r="R46" s="61">
        <v>9.5000000000000001E-2</v>
      </c>
      <c r="S46" s="60">
        <v>9.5000000000000001E-2</v>
      </c>
    </row>
    <row r="47" spans="11:19" ht="15">
      <c r="K47" s="39"/>
      <c r="L47" s="96"/>
      <c r="M47" s="45" t="s">
        <v>88</v>
      </c>
      <c r="N47" s="61">
        <v>0.14399999999999999</v>
      </c>
      <c r="O47" s="61">
        <v>0.16300000000000001</v>
      </c>
      <c r="P47" s="62">
        <v>0.25</v>
      </c>
      <c r="Q47" s="61">
        <v>0.26</v>
      </c>
      <c r="R47" s="61">
        <v>0.39</v>
      </c>
      <c r="S47" s="60">
        <v>0.34399999999999997</v>
      </c>
    </row>
    <row r="48" spans="11:19" ht="15">
      <c r="K48" s="39"/>
      <c r="L48" s="63"/>
      <c r="M48" s="45" t="s">
        <v>89</v>
      </c>
      <c r="N48" s="61">
        <v>2.4E-2</v>
      </c>
      <c r="O48" s="47">
        <v>0</v>
      </c>
      <c r="P48" s="62">
        <v>2.4E-2</v>
      </c>
      <c r="Q48" s="47">
        <v>0</v>
      </c>
      <c r="R48" s="61">
        <v>2.4E-2</v>
      </c>
      <c r="S48" s="47">
        <v>0</v>
      </c>
    </row>
    <row r="49" spans="11:19" ht="15">
      <c r="K49" s="39"/>
      <c r="L49" s="90" t="s">
        <v>80</v>
      </c>
      <c r="M49" s="91"/>
      <c r="N49" s="64">
        <v>0.86399999999999999</v>
      </c>
      <c r="O49" s="64">
        <v>0.48099999999999998</v>
      </c>
      <c r="P49" s="65">
        <v>1.042</v>
      </c>
      <c r="Q49" s="72">
        <v>0.63</v>
      </c>
      <c r="R49" s="64">
        <v>1.323</v>
      </c>
      <c r="S49" s="73">
        <v>0.77100000000000002</v>
      </c>
    </row>
  </sheetData>
  <mergeCells count="7">
    <mergeCell ref="K32:L32"/>
    <mergeCell ref="K33:L33"/>
    <mergeCell ref="L40:M40"/>
    <mergeCell ref="L49:M49"/>
    <mergeCell ref="K39:K46"/>
    <mergeCell ref="L35:L39"/>
    <mergeCell ref="L41:L47"/>
  </mergeCells>
  <phoneticPr fontId="49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4"/>
  <sheetViews>
    <sheetView topLeftCell="A13" workbookViewId="0">
      <selection activeCell="C30" sqref="C30"/>
    </sheetView>
  </sheetViews>
  <sheetFormatPr defaultColWidth="9" defaultRowHeight="14.4"/>
  <cols>
    <col min="1" max="1" width="41.21875" customWidth="1"/>
    <col min="2" max="2" width="37.33203125" customWidth="1"/>
    <col min="3" max="3" width="28" customWidth="1"/>
    <col min="4" max="4" width="34.6640625" customWidth="1"/>
    <col min="5" max="5" width="22.77734375"/>
    <col min="6" max="6" width="13.88671875"/>
    <col min="7" max="8" width="23.88671875" bestFit="1" customWidth="1"/>
    <col min="9" max="9" width="25.109375" bestFit="1" customWidth="1"/>
    <col min="10" max="11" width="21.33203125" bestFit="1" customWidth="1"/>
  </cols>
  <sheetData>
    <row r="1" spans="1:3">
      <c r="A1" s="5" t="s">
        <v>90</v>
      </c>
      <c r="B1" s="6"/>
      <c r="C1" s="6"/>
    </row>
    <row r="3" spans="1:3">
      <c r="A3" s="3" t="s">
        <v>91</v>
      </c>
      <c r="B3" t="s">
        <v>92</v>
      </c>
    </row>
    <row r="4" spans="1:3">
      <c r="B4" s="3" t="s">
        <v>93</v>
      </c>
    </row>
    <row r="5" spans="1:3">
      <c r="B5" t="s">
        <v>94</v>
      </c>
    </row>
    <row r="6" spans="1:3">
      <c r="B6" t="s">
        <v>95</v>
      </c>
    </row>
    <row r="8" spans="1:3">
      <c r="A8" s="3" t="s">
        <v>96</v>
      </c>
      <c r="B8" t="s">
        <v>97</v>
      </c>
    </row>
    <row r="9" spans="1:3">
      <c r="B9" s="3" t="s">
        <v>98</v>
      </c>
    </row>
    <row r="10" spans="1:3">
      <c r="B10" t="s">
        <v>99</v>
      </c>
    </row>
    <row r="11" spans="1:3">
      <c r="B11" t="s">
        <v>100</v>
      </c>
    </row>
    <row r="12" spans="1:3">
      <c r="B12" s="8" t="s">
        <v>101</v>
      </c>
    </row>
    <row r="13" spans="1:3">
      <c r="B13" s="8" t="s">
        <v>102</v>
      </c>
    </row>
    <row r="16" spans="1:3">
      <c r="A16" s="5" t="s">
        <v>103</v>
      </c>
    </row>
    <row r="18" spans="1:7">
      <c r="B18" t="s">
        <v>91</v>
      </c>
      <c r="C18" s="24">
        <v>1800</v>
      </c>
      <c r="D18" s="24">
        <v>2700</v>
      </c>
      <c r="F18">
        <f>(C18+D18)/2</f>
        <v>2250</v>
      </c>
    </row>
    <row r="19" spans="1:7">
      <c r="B19" t="s">
        <v>96</v>
      </c>
      <c r="C19" s="24">
        <f>C18/3</f>
        <v>600</v>
      </c>
      <c r="D19" s="24">
        <f>D18/3</f>
        <v>900</v>
      </c>
      <c r="E19" s="77" t="s">
        <v>209</v>
      </c>
      <c r="F19">
        <f>F18/3</f>
        <v>750</v>
      </c>
    </row>
    <row r="22" spans="1:7">
      <c r="A22" s="5" t="s">
        <v>104</v>
      </c>
      <c r="B22" s="6"/>
      <c r="C22" s="6"/>
    </row>
    <row r="23" spans="1:7" s="23" customFormat="1" ht="28.8">
      <c r="B23" s="25" t="s">
        <v>105</v>
      </c>
      <c r="C23" s="25" t="s">
        <v>106</v>
      </c>
      <c r="D23" s="23" t="s">
        <v>107</v>
      </c>
      <c r="E23" s="23" t="s">
        <v>108</v>
      </c>
      <c r="F23" s="23" t="s">
        <v>109</v>
      </c>
      <c r="G23" s="23" t="s">
        <v>110</v>
      </c>
    </row>
    <row r="24" spans="1:7" s="24" customFormat="1">
      <c r="B24" s="24">
        <v>8640</v>
      </c>
      <c r="C24" s="24">
        <v>4810</v>
      </c>
      <c r="D24" s="24">
        <v>10420</v>
      </c>
      <c r="E24" s="24">
        <v>6300</v>
      </c>
      <c r="F24" s="24">
        <v>13230</v>
      </c>
      <c r="G24" s="24">
        <v>7710</v>
      </c>
    </row>
    <row r="25" spans="1:7" s="24" customFormat="1">
      <c r="B25" s="24" t="s">
        <v>91</v>
      </c>
      <c r="C25" s="24">
        <f>AVERAGE(B24,D24,F24)</f>
        <v>10763.333333333334</v>
      </c>
    </row>
    <row r="26" spans="1:7" s="24" customFormat="1">
      <c r="B26" s="24" t="s">
        <v>96</v>
      </c>
      <c r="C26" s="24">
        <f>AVERAGE(C24,E24,G24)</f>
        <v>6273.333333333333</v>
      </c>
    </row>
    <row r="28" spans="1:7">
      <c r="A28" s="5" t="s">
        <v>111</v>
      </c>
      <c r="B28" s="6"/>
      <c r="C28" s="6"/>
    </row>
    <row r="29" spans="1:7">
      <c r="B29" t="s">
        <v>91</v>
      </c>
      <c r="C29" s="24">
        <v>65600</v>
      </c>
      <c r="D29" t="s">
        <v>112</v>
      </c>
      <c r="E29" t="s">
        <v>113</v>
      </c>
    </row>
    <row r="30" spans="1:7">
      <c r="B30" t="s">
        <v>96</v>
      </c>
      <c r="C30" s="24">
        <v>28800</v>
      </c>
      <c r="D30" t="s">
        <v>112</v>
      </c>
    </row>
    <row r="32" spans="1:7">
      <c r="A32" s="5" t="s">
        <v>114</v>
      </c>
      <c r="B32" s="6"/>
      <c r="C32" s="6"/>
    </row>
    <row r="33" spans="1:11">
      <c r="B33" s="11" t="s">
        <v>115</v>
      </c>
      <c r="C33" s="24">
        <v>20000</v>
      </c>
    </row>
    <row r="34" spans="1:11">
      <c r="B34" s="11" t="s">
        <v>116</v>
      </c>
      <c r="C34" s="24">
        <f>C33*(1-0.22)</f>
        <v>15600</v>
      </c>
      <c r="D34" s="80" t="s">
        <v>211</v>
      </c>
    </row>
    <row r="35" spans="1:11">
      <c r="B35" s="11"/>
    </row>
    <row r="36" spans="1:11">
      <c r="A36" s="5" t="s">
        <v>117</v>
      </c>
      <c r="B36" s="13"/>
      <c r="C36" s="6"/>
    </row>
    <row r="37" spans="1:11">
      <c r="A37" t="s">
        <v>118</v>
      </c>
      <c r="B37" s="14"/>
      <c r="C37" t="s">
        <v>119</v>
      </c>
      <c r="D37" t="s">
        <v>120</v>
      </c>
      <c r="E37" t="s">
        <v>121</v>
      </c>
      <c r="G37" s="77" t="s">
        <v>221</v>
      </c>
      <c r="H37" s="77" t="s">
        <v>222</v>
      </c>
      <c r="I37" s="77" t="s">
        <v>223</v>
      </c>
      <c r="J37" s="77" t="s">
        <v>224</v>
      </c>
      <c r="K37" s="77" t="s">
        <v>225</v>
      </c>
    </row>
    <row r="38" spans="1:11">
      <c r="B38" s="14" t="s">
        <v>122</v>
      </c>
      <c r="C38">
        <v>655</v>
      </c>
      <c r="D38">
        <v>692</v>
      </c>
      <c r="E38">
        <v>840</v>
      </c>
      <c r="G38">
        <v>729</v>
      </c>
      <c r="H38">
        <v>758</v>
      </c>
      <c r="I38">
        <v>869</v>
      </c>
      <c r="J38">
        <v>108</v>
      </c>
      <c r="K38">
        <v>78</v>
      </c>
    </row>
    <row r="39" spans="1:11" ht="28.8">
      <c r="B39" s="78" t="s">
        <v>218</v>
      </c>
      <c r="C39" s="24">
        <v>6213096000</v>
      </c>
      <c r="D39" s="24">
        <v>3738000000</v>
      </c>
      <c r="E39" s="24">
        <v>12704000000</v>
      </c>
      <c r="G39" s="24">
        <v>6423000000</v>
      </c>
      <c r="H39" s="24">
        <v>3451000000</v>
      </c>
      <c r="I39" s="24">
        <v>10286000000</v>
      </c>
      <c r="J39" s="24">
        <v>654000000</v>
      </c>
      <c r="K39" s="24">
        <v>538000000</v>
      </c>
    </row>
    <row r="40" spans="1:11">
      <c r="B40" t="s">
        <v>123</v>
      </c>
      <c r="C40" s="24">
        <f>C39/C38</f>
        <v>9485642.7480916027</v>
      </c>
      <c r="D40" s="24">
        <f>D39/D38</f>
        <v>5401734.1040462423</v>
      </c>
      <c r="E40" s="24">
        <f>E39/E38</f>
        <v>15123809.523809524</v>
      </c>
      <c r="G40">
        <f>G39/G38</f>
        <v>8810699.5884773657</v>
      </c>
      <c r="H40">
        <f t="shared" ref="H40:K40" si="0">H39/H38</f>
        <v>4552770.4485488124</v>
      </c>
      <c r="I40">
        <f t="shared" si="0"/>
        <v>11836593.785960875</v>
      </c>
      <c r="J40">
        <f t="shared" si="0"/>
        <v>6055555.555555556</v>
      </c>
      <c r="K40">
        <f t="shared" si="0"/>
        <v>6897435.897435897</v>
      </c>
    </row>
    <row r="41" spans="1:11">
      <c r="B41" s="14" t="s">
        <v>21</v>
      </c>
      <c r="C41" s="24">
        <f>AVERAGE(C40:E40,G40:K40)</f>
        <v>8520530.2064907365</v>
      </c>
    </row>
    <row r="42" spans="1:11">
      <c r="B42" s="14"/>
      <c r="E42" s="82" t="s">
        <v>231</v>
      </c>
    </row>
    <row r="43" spans="1:11">
      <c r="A43" s="5" t="s">
        <v>124</v>
      </c>
      <c r="B43" s="15"/>
      <c r="C43" s="6"/>
    </row>
    <row r="44" spans="1:11">
      <c r="A44" t="s">
        <v>125</v>
      </c>
      <c r="B44" s="14"/>
    </row>
    <row r="45" spans="1:11">
      <c r="A45" s="16" t="s">
        <v>126</v>
      </c>
      <c r="B45" s="14"/>
    </row>
    <row r="46" spans="1:11">
      <c r="B46" s="14"/>
    </row>
    <row r="47" spans="1:11">
      <c r="B47" s="14" t="s">
        <v>127</v>
      </c>
      <c r="C47" t="s">
        <v>128</v>
      </c>
      <c r="D47" t="s">
        <v>129</v>
      </c>
    </row>
    <row r="48" spans="1:11">
      <c r="A48" t="s">
        <v>130</v>
      </c>
      <c r="B48" s="24">
        <v>4000000</v>
      </c>
      <c r="C48" s="24">
        <v>13500000</v>
      </c>
      <c r="D48" s="24">
        <v>25000000</v>
      </c>
    </row>
    <row r="49" spans="1:4">
      <c r="A49" t="s">
        <v>131</v>
      </c>
      <c r="B49" s="24">
        <f>AVERAGE(B48:D48)</f>
        <v>14166666.666666666</v>
      </c>
      <c r="C49" s="24"/>
      <c r="D49" s="24"/>
    </row>
    <row r="50" spans="1:4">
      <c r="A50" t="s">
        <v>132</v>
      </c>
      <c r="B50" s="24">
        <f>B49/70%</f>
        <v>20238095.238095239</v>
      </c>
      <c r="C50" t="s">
        <v>133</v>
      </c>
    </row>
    <row r="51" spans="1:4">
      <c r="B51" s="14"/>
    </row>
    <row r="52" spans="1:4">
      <c r="B52" s="11"/>
    </row>
    <row r="53" spans="1:4">
      <c r="A53" s="5" t="s">
        <v>134</v>
      </c>
      <c r="B53" s="13"/>
      <c r="C53" s="6"/>
    </row>
    <row r="54" spans="1:4" ht="15.6">
      <c r="A54" t="s">
        <v>135</v>
      </c>
      <c r="B54" s="24">
        <f>1.6*365</f>
        <v>584</v>
      </c>
      <c r="D54" s="81" t="s">
        <v>230</v>
      </c>
    </row>
    <row r="55" spans="1:4">
      <c r="A55" t="s">
        <v>136</v>
      </c>
      <c r="B55" s="24">
        <f>0.63*365</f>
        <v>229.95</v>
      </c>
    </row>
    <row r="56" spans="1:4">
      <c r="A56" t="s">
        <v>137</v>
      </c>
      <c r="B56" s="11"/>
    </row>
    <row r="57" spans="1:4">
      <c r="A57" t="s">
        <v>138</v>
      </c>
      <c r="B57" s="11"/>
    </row>
    <row r="58" spans="1:4">
      <c r="A58" t="s">
        <v>139</v>
      </c>
      <c r="B58" s="11"/>
    </row>
    <row r="59" spans="1:4">
      <c r="A59" t="s">
        <v>140</v>
      </c>
      <c r="B59" s="11"/>
    </row>
    <row r="60" spans="1:4">
      <c r="A60" s="7" t="s">
        <v>227</v>
      </c>
      <c r="B60" s="11"/>
    </row>
    <row r="61" spans="1:4">
      <c r="A61" t="s">
        <v>142</v>
      </c>
      <c r="B61" s="11"/>
    </row>
    <row r="63" spans="1:4">
      <c r="A63" s="5" t="s">
        <v>143</v>
      </c>
      <c r="B63" s="6"/>
      <c r="C63" s="6"/>
    </row>
    <row r="64" spans="1:4">
      <c r="A64" s="3" t="s">
        <v>144</v>
      </c>
    </row>
    <row r="65" spans="1:4">
      <c r="A65" t="s">
        <v>145</v>
      </c>
      <c r="B65" s="14">
        <v>1695890</v>
      </c>
      <c r="C65" t="s">
        <v>146</v>
      </c>
      <c r="D65" s="79" t="s">
        <v>147</v>
      </c>
    </row>
    <row r="67" spans="1:4">
      <c r="A67" s="3" t="s">
        <v>148</v>
      </c>
    </row>
    <row r="68" spans="1:4">
      <c r="A68" s="12" t="s">
        <v>149</v>
      </c>
    </row>
    <row r="69" spans="1:4">
      <c r="A69" s="12" t="s">
        <v>150</v>
      </c>
    </row>
    <row r="70" spans="1:4">
      <c r="A70" s="12" t="s">
        <v>151</v>
      </c>
    </row>
    <row r="71" spans="1:4">
      <c r="A71" t="s">
        <v>145</v>
      </c>
      <c r="B71" s="18">
        <v>0.1</v>
      </c>
      <c r="C71" t="s">
        <v>152</v>
      </c>
    </row>
    <row r="72" spans="1:4">
      <c r="A72" s="12" t="s">
        <v>153</v>
      </c>
      <c r="B72" s="9">
        <v>30000</v>
      </c>
      <c r="C72" t="s">
        <v>154</v>
      </c>
      <c r="D72" s="12" t="s">
        <v>155</v>
      </c>
    </row>
    <row r="73" spans="1:4">
      <c r="A73" t="s">
        <v>145</v>
      </c>
      <c r="B73" s="9">
        <f>B71*B72</f>
        <v>3000</v>
      </c>
      <c r="C73" t="s">
        <v>146</v>
      </c>
    </row>
    <row r="78" spans="1:4">
      <c r="A78" s="19" t="s">
        <v>156</v>
      </c>
      <c r="B78" s="20"/>
      <c r="C78" s="20"/>
    </row>
    <row r="79" spans="1:4">
      <c r="B79" s="3" t="s">
        <v>91</v>
      </c>
      <c r="C79" s="3" t="s">
        <v>157</v>
      </c>
    </row>
    <row r="80" spans="1:4" ht="13.8" customHeight="1">
      <c r="A80" s="3" t="s">
        <v>158</v>
      </c>
      <c r="B80" s="21">
        <f>C25*About!B91*About!B92</f>
        <v>1299.6822884740159</v>
      </c>
      <c r="C80" s="21">
        <f>C26*About!B91*About!B92</f>
        <v>757.51070514341836</v>
      </c>
    </row>
    <row r="81" spans="1:3">
      <c r="A81" s="3" t="s">
        <v>159</v>
      </c>
      <c r="B81" s="21">
        <f>C33*About!B91*About!B92</f>
        <v>2415.0181885550005</v>
      </c>
      <c r="C81" s="21">
        <f>C34*About!B91*About!B92</f>
        <v>1883.7141870729001</v>
      </c>
    </row>
    <row r="82" spans="1:3">
      <c r="A82" s="3" t="s">
        <v>117</v>
      </c>
      <c r="B82" s="21">
        <f>C41*About!B91*About!B92</f>
        <v>1028861.771240371</v>
      </c>
      <c r="C82" t="e">
        <f>NA()</f>
        <v>#N/A</v>
      </c>
    </row>
    <row r="83" spans="1:3">
      <c r="A83" s="3" t="s">
        <v>124</v>
      </c>
      <c r="B83" s="21">
        <f>B50*About!B91*About!B92</f>
        <v>2443768.405085417</v>
      </c>
      <c r="C83" s="21">
        <f>B49*About!B90*About!B92</f>
        <v>1737670.7019253334</v>
      </c>
    </row>
    <row r="84" spans="1:3">
      <c r="A84" s="3" t="s">
        <v>143</v>
      </c>
      <c r="B84" s="21">
        <f>B73</f>
        <v>3000</v>
      </c>
      <c r="C84" t="e">
        <f>NA()</f>
        <v>#N/A</v>
      </c>
    </row>
    <row r="85" spans="1:3">
      <c r="A85" s="3" t="s">
        <v>160</v>
      </c>
      <c r="B85" s="21">
        <f>B54*About!B91*About!B92</f>
        <v>70.518531105806005</v>
      </c>
      <c r="C85" s="22">
        <f>B55*About!B91*About!B92</f>
        <v>27.766671622911112</v>
      </c>
    </row>
    <row r="87" spans="1:3">
      <c r="A87" s="19" t="s">
        <v>161</v>
      </c>
      <c r="B87" s="20"/>
      <c r="C87" s="20"/>
    </row>
    <row r="88" spans="1:3">
      <c r="B88" s="3" t="s">
        <v>91</v>
      </c>
      <c r="C88" s="3" t="s">
        <v>157</v>
      </c>
    </row>
    <row r="89" spans="1:3">
      <c r="A89" s="3" t="s">
        <v>158</v>
      </c>
      <c r="B89" s="21">
        <f>F18*About!B91*About!B92</f>
        <v>271.68954621243751</v>
      </c>
      <c r="C89" s="21">
        <f>F19*About!B91*About!B92</f>
        <v>90.563182070812502</v>
      </c>
    </row>
    <row r="90" spans="1:3">
      <c r="A90" s="3" t="s">
        <v>159</v>
      </c>
      <c r="B90" s="21">
        <f>C29*About!B91*About!B92</f>
        <v>7921.2596584604007</v>
      </c>
      <c r="C90" s="22">
        <f>C30*About!B91*About!B92</f>
        <v>3477.6261915192003</v>
      </c>
    </row>
    <row r="91" spans="1:3">
      <c r="A91" s="3" t="s">
        <v>117</v>
      </c>
      <c r="B91" s="21">
        <f>B82</f>
        <v>1028861.771240371</v>
      </c>
      <c r="C91" t="e">
        <f t="shared" ref="C91:C94" si="1">NA()</f>
        <v>#N/A</v>
      </c>
    </row>
    <row r="92" spans="1:3">
      <c r="A92" s="3" t="s">
        <v>124</v>
      </c>
      <c r="B92" s="21">
        <f>B83</f>
        <v>2443768.405085417</v>
      </c>
      <c r="C92" s="21">
        <f>C83</f>
        <v>1737670.7019253334</v>
      </c>
    </row>
    <row r="93" spans="1:3">
      <c r="A93" s="3" t="s">
        <v>143</v>
      </c>
      <c r="B93" s="21"/>
      <c r="C93" t="e">
        <f t="shared" si="1"/>
        <v>#N/A</v>
      </c>
    </row>
    <row r="94" spans="1:3">
      <c r="A94" s="3" t="s">
        <v>160</v>
      </c>
      <c r="B94" t="e">
        <f>NA()</f>
        <v>#N/A</v>
      </c>
      <c r="C94" t="e">
        <f t="shared" si="1"/>
        <v>#N/A</v>
      </c>
    </row>
  </sheetData>
  <phoneticPr fontId="49" type="noConversion"/>
  <hyperlinks>
    <hyperlink ref="A60" r:id="rId1" xr:uid="{00000000-0004-0000-0200-000000000000}"/>
  </hyperlinks>
  <pageMargins left="0.75" right="0.75" top="1" bottom="1" header="0.5" footer="0.5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9"/>
  <sheetViews>
    <sheetView topLeftCell="A61" workbookViewId="0">
      <selection activeCell="B70" sqref="B70"/>
    </sheetView>
  </sheetViews>
  <sheetFormatPr defaultColWidth="9" defaultRowHeight="14.4"/>
  <cols>
    <col min="1" max="1" width="27.5546875" customWidth="1"/>
    <col min="2" max="2" width="12.6640625" customWidth="1"/>
    <col min="3" max="3" width="19.33203125" customWidth="1"/>
    <col min="4" max="4" width="12.77734375"/>
  </cols>
  <sheetData>
    <row r="1" spans="1:3">
      <c r="A1" s="5" t="s">
        <v>90</v>
      </c>
      <c r="B1" s="6"/>
      <c r="C1" s="6"/>
    </row>
    <row r="3" spans="1:3">
      <c r="A3" s="3" t="s">
        <v>91</v>
      </c>
      <c r="B3" t="s">
        <v>92</v>
      </c>
    </row>
    <row r="4" spans="1:3">
      <c r="B4" s="3" t="s">
        <v>93</v>
      </c>
    </row>
    <row r="5" spans="1:3">
      <c r="B5" t="s">
        <v>94</v>
      </c>
    </row>
    <row r="6" spans="1:3">
      <c r="B6" t="s">
        <v>162</v>
      </c>
    </row>
    <row r="7" spans="1:3">
      <c r="B7" s="7" t="s">
        <v>163</v>
      </c>
    </row>
    <row r="9" spans="1:3">
      <c r="A9" s="3" t="s">
        <v>96</v>
      </c>
      <c r="B9" t="s">
        <v>97</v>
      </c>
    </row>
    <row r="10" spans="1:3">
      <c r="B10" s="3" t="s">
        <v>98</v>
      </c>
    </row>
    <row r="11" spans="1:3">
      <c r="B11" t="s">
        <v>99</v>
      </c>
    </row>
    <row r="12" spans="1:3">
      <c r="B12" t="s">
        <v>164</v>
      </c>
    </row>
    <row r="13" spans="1:3">
      <c r="B13" s="7" t="s">
        <v>165</v>
      </c>
    </row>
    <row r="14" spans="1:3">
      <c r="B14" s="8" t="s">
        <v>101</v>
      </c>
    </row>
    <row r="15" spans="1:3">
      <c r="B15" s="8" t="s">
        <v>102</v>
      </c>
    </row>
    <row r="17" spans="1:4">
      <c r="A17" s="5" t="s">
        <v>158</v>
      </c>
      <c r="B17" s="6"/>
      <c r="C17" s="6"/>
    </row>
    <row r="18" spans="1:4">
      <c r="A18" t="s">
        <v>91</v>
      </c>
      <c r="B18" s="9">
        <v>931</v>
      </c>
      <c r="C18" t="s">
        <v>166</v>
      </c>
      <c r="D18" t="s">
        <v>167</v>
      </c>
    </row>
    <row r="19" spans="1:4">
      <c r="A19" t="s">
        <v>96</v>
      </c>
      <c r="B19" s="9">
        <v>489</v>
      </c>
      <c r="C19" t="s">
        <v>166</v>
      </c>
      <c r="D19" t="s">
        <v>167</v>
      </c>
    </row>
    <row r="20" spans="1:4">
      <c r="A20" t="s">
        <v>91</v>
      </c>
      <c r="B20" s="10" t="e">
        <f>B18/About!#REF!*About!$A$90</f>
        <v>#REF!</v>
      </c>
      <c r="C20" t="s">
        <v>146</v>
      </c>
    </row>
    <row r="21" spans="1:4">
      <c r="A21" t="s">
        <v>96</v>
      </c>
      <c r="B21" s="10" t="e">
        <f>B19/About!#REF!*About!$A$90</f>
        <v>#REF!</v>
      </c>
      <c r="C21" t="s">
        <v>146</v>
      </c>
    </row>
    <row r="23" spans="1:4">
      <c r="A23" s="5" t="s">
        <v>111</v>
      </c>
      <c r="B23" s="6"/>
      <c r="C23" s="6"/>
    </row>
    <row r="24" spans="1:4">
      <c r="A24" t="s">
        <v>91</v>
      </c>
      <c r="B24" s="9">
        <v>15000</v>
      </c>
      <c r="C24" t="s">
        <v>146</v>
      </c>
      <c r="D24" t="s">
        <v>13</v>
      </c>
    </row>
    <row r="26" spans="1:4">
      <c r="A26" s="5" t="s">
        <v>114</v>
      </c>
      <c r="B26" s="6"/>
      <c r="C26" s="6"/>
    </row>
    <row r="27" spans="1:4">
      <c r="A27" t="s">
        <v>168</v>
      </c>
      <c r="B27" s="11">
        <v>0.28000000000000003</v>
      </c>
      <c r="C27" t="s">
        <v>169</v>
      </c>
      <c r="D27" t="s">
        <v>170</v>
      </c>
    </row>
    <row r="28" spans="1:4">
      <c r="A28" t="s">
        <v>96</v>
      </c>
      <c r="B28" s="11">
        <v>0.22</v>
      </c>
      <c r="C28" t="s">
        <v>169</v>
      </c>
      <c r="D28" t="s">
        <v>170</v>
      </c>
    </row>
    <row r="29" spans="1:4">
      <c r="A29" t="s">
        <v>171</v>
      </c>
      <c r="B29">
        <v>9270</v>
      </c>
      <c r="C29" t="s">
        <v>172</v>
      </c>
      <c r="D29" s="12" t="s">
        <v>173</v>
      </c>
    </row>
    <row r="30" spans="1:4">
      <c r="A30" t="s">
        <v>168</v>
      </c>
      <c r="B30" s="11">
        <f>$B$29*B27</f>
        <v>2595.6000000000004</v>
      </c>
      <c r="C30" t="s">
        <v>174</v>
      </c>
    </row>
    <row r="31" spans="1:4">
      <c r="A31" t="s">
        <v>96</v>
      </c>
      <c r="B31" s="11">
        <f>$B$29*B28</f>
        <v>2039.4</v>
      </c>
      <c r="C31" t="s">
        <v>174</v>
      </c>
    </row>
    <row r="32" spans="1:4">
      <c r="A32" t="s">
        <v>168</v>
      </c>
      <c r="B32" s="11">
        <f>B30*About!$A$92</f>
        <v>0</v>
      </c>
      <c r="C32" t="s">
        <v>146</v>
      </c>
    </row>
    <row r="33" spans="1:4">
      <c r="A33" t="s">
        <v>96</v>
      </c>
      <c r="B33" s="11">
        <f>B31*About!$A$92</f>
        <v>0</v>
      </c>
      <c r="C33" t="s">
        <v>146</v>
      </c>
    </row>
    <row r="34" spans="1:4">
      <c r="B34" s="11"/>
    </row>
    <row r="35" spans="1:4">
      <c r="A35" s="5" t="s">
        <v>117</v>
      </c>
      <c r="B35" s="13"/>
      <c r="C35" s="6"/>
    </row>
    <row r="36" spans="1:4">
      <c r="A36" t="s">
        <v>118</v>
      </c>
      <c r="B36" s="14">
        <v>590</v>
      </c>
      <c r="C36" t="s">
        <v>175</v>
      </c>
      <c r="D36" t="s">
        <v>176</v>
      </c>
    </row>
    <row r="37" spans="1:4">
      <c r="B37" s="14">
        <f>B36*About!$A$93</f>
        <v>0</v>
      </c>
      <c r="C37" t="s">
        <v>177</v>
      </c>
    </row>
    <row r="38" spans="1:4">
      <c r="B38">
        <v>11.3</v>
      </c>
      <c r="C38" t="s">
        <v>178</v>
      </c>
      <c r="D38" t="s">
        <v>176</v>
      </c>
    </row>
    <row r="39" spans="1:4">
      <c r="B39">
        <v>365</v>
      </c>
      <c r="C39" t="s">
        <v>179</v>
      </c>
    </row>
    <row r="40" spans="1:4">
      <c r="B40" s="14">
        <f>B37*B38*B39</f>
        <v>0</v>
      </c>
      <c r="C40" t="s">
        <v>146</v>
      </c>
    </row>
    <row r="41" spans="1:4">
      <c r="B41" s="14"/>
    </row>
    <row r="42" spans="1:4">
      <c r="A42" s="5" t="s">
        <v>124</v>
      </c>
      <c r="B42" s="15"/>
      <c r="C42" s="6"/>
    </row>
    <row r="43" spans="1:4">
      <c r="A43" t="s">
        <v>125</v>
      </c>
      <c r="B43" s="14"/>
    </row>
    <row r="44" spans="1:4">
      <c r="A44" s="16" t="s">
        <v>126</v>
      </c>
      <c r="B44" s="14"/>
    </row>
    <row r="45" spans="1:4">
      <c r="A45" t="s">
        <v>180</v>
      </c>
      <c r="B45" s="11">
        <v>14.36</v>
      </c>
      <c r="C45" t="s">
        <v>181</v>
      </c>
      <c r="D45" t="s">
        <v>182</v>
      </c>
    </row>
    <row r="46" spans="1:4">
      <c r="A46" t="s">
        <v>183</v>
      </c>
      <c r="B46" s="11">
        <v>10.49</v>
      </c>
      <c r="C46" t="s">
        <v>181</v>
      </c>
      <c r="D46" t="s">
        <v>182</v>
      </c>
    </row>
    <row r="47" spans="1:4">
      <c r="B47" s="14"/>
    </row>
    <row r="48" spans="1:4">
      <c r="A48" t="s">
        <v>184</v>
      </c>
      <c r="B48" s="17">
        <f>AVERAGE(21.4,22.7,23.1,25.8,31.2)</f>
        <v>24.839999999999996</v>
      </c>
      <c r="C48" t="s">
        <v>185</v>
      </c>
      <c r="D48" t="s">
        <v>186</v>
      </c>
    </row>
    <row r="49" spans="1:4">
      <c r="A49" t="s">
        <v>187</v>
      </c>
      <c r="B49">
        <f>24*365</f>
        <v>8760</v>
      </c>
      <c r="C49" t="s">
        <v>188</v>
      </c>
    </row>
    <row r="50" spans="1:4">
      <c r="A50" t="s">
        <v>189</v>
      </c>
      <c r="B50" s="4">
        <f>B48*B49</f>
        <v>217598.39999999997</v>
      </c>
      <c r="C50" t="s">
        <v>190</v>
      </c>
    </row>
    <row r="51" spans="1:4">
      <c r="B51" s="14"/>
    </row>
    <row r="52" spans="1:4">
      <c r="A52" t="s">
        <v>132</v>
      </c>
      <c r="B52" s="14">
        <f>B45*B50</f>
        <v>3124713.0239999993</v>
      </c>
      <c r="C52" t="s">
        <v>191</v>
      </c>
    </row>
    <row r="53" spans="1:4">
      <c r="A53" t="s">
        <v>192</v>
      </c>
      <c r="B53" s="14">
        <f>B46*B50</f>
        <v>2282607.2159999995</v>
      </c>
      <c r="C53" t="s">
        <v>191</v>
      </c>
      <c r="D53">
        <f>B53/B52</f>
        <v>0.73050139275766024</v>
      </c>
    </row>
    <row r="54" spans="1:4">
      <c r="A54" t="s">
        <v>132</v>
      </c>
      <c r="B54" s="14">
        <f>B52*About!$A$94</f>
        <v>0</v>
      </c>
      <c r="C54" t="s">
        <v>146</v>
      </c>
    </row>
    <row r="55" spans="1:4">
      <c r="A55" t="s">
        <v>192</v>
      </c>
      <c r="B55" s="14">
        <f>B53*About!$A$94</f>
        <v>0</v>
      </c>
      <c r="C55" t="s">
        <v>146</v>
      </c>
    </row>
    <row r="56" spans="1:4">
      <c r="B56" s="14"/>
    </row>
    <row r="57" spans="1:4">
      <c r="B57" s="11"/>
    </row>
    <row r="58" spans="1:4">
      <c r="A58" s="5" t="s">
        <v>134</v>
      </c>
      <c r="B58" s="13"/>
      <c r="C58" s="6"/>
    </row>
    <row r="59" spans="1:4">
      <c r="A59" t="s">
        <v>118</v>
      </c>
      <c r="B59" s="14">
        <v>1000</v>
      </c>
      <c r="C59" t="s">
        <v>193</v>
      </c>
    </row>
    <row r="60" spans="1:4">
      <c r="B60" s="14">
        <f>B59*About!A90</f>
        <v>0</v>
      </c>
      <c r="C60" t="s">
        <v>146</v>
      </c>
    </row>
    <row r="61" spans="1:4">
      <c r="A61" t="s">
        <v>137</v>
      </c>
      <c r="B61" s="11"/>
    </row>
    <row r="62" spans="1:4">
      <c r="A62" t="s">
        <v>138</v>
      </c>
      <c r="B62" s="11"/>
    </row>
    <row r="63" spans="1:4">
      <c r="A63" t="s">
        <v>139</v>
      </c>
      <c r="B63" s="11"/>
    </row>
    <row r="64" spans="1:4">
      <c r="A64" t="s">
        <v>140</v>
      </c>
      <c r="B64" s="11"/>
    </row>
    <row r="65" spans="1:4">
      <c r="A65" s="7" t="s">
        <v>141</v>
      </c>
      <c r="B65" s="11"/>
    </row>
    <row r="66" spans="1:4">
      <c r="A66" t="s">
        <v>142</v>
      </c>
      <c r="B66" s="11"/>
    </row>
    <row r="68" spans="1:4">
      <c r="A68" s="5" t="s">
        <v>143</v>
      </c>
      <c r="B68" s="6"/>
      <c r="C68" s="6"/>
    </row>
    <row r="69" spans="1:4">
      <c r="A69" s="3" t="s">
        <v>144</v>
      </c>
    </row>
    <row r="70" spans="1:4">
      <c r="A70" t="s">
        <v>145</v>
      </c>
      <c r="B70" s="14">
        <v>1695890</v>
      </c>
      <c r="C70" t="s">
        <v>146</v>
      </c>
    </row>
    <row r="72" spans="1:4">
      <c r="A72" s="3" t="s">
        <v>148</v>
      </c>
    </row>
    <row r="73" spans="1:4">
      <c r="A73" s="12" t="s">
        <v>149</v>
      </c>
    </row>
    <row r="74" spans="1:4">
      <c r="A74" s="12" t="s">
        <v>150</v>
      </c>
    </row>
    <row r="75" spans="1:4">
      <c r="A75" s="12" t="s">
        <v>151</v>
      </c>
    </row>
    <row r="76" spans="1:4">
      <c r="A76" t="s">
        <v>145</v>
      </c>
      <c r="B76" s="18">
        <v>0.1</v>
      </c>
      <c r="C76" t="s">
        <v>152</v>
      </c>
    </row>
    <row r="77" spans="1:4">
      <c r="A77" s="12" t="s">
        <v>153</v>
      </c>
      <c r="B77" s="9">
        <v>30000</v>
      </c>
      <c r="C77" t="s">
        <v>154</v>
      </c>
      <c r="D77" s="12" t="s">
        <v>155</v>
      </c>
    </row>
    <row r="78" spans="1:4">
      <c r="A78" t="s">
        <v>145</v>
      </c>
      <c r="B78" s="9">
        <f>B76*B77</f>
        <v>3000</v>
      </c>
      <c r="C78" t="s">
        <v>146</v>
      </c>
    </row>
    <row r="83" spans="1:3">
      <c r="A83" s="19" t="s">
        <v>156</v>
      </c>
      <c r="B83" s="20"/>
      <c r="C83" s="20"/>
    </row>
    <row r="84" spans="1:3">
      <c r="B84" s="3" t="s">
        <v>91</v>
      </c>
      <c r="C84" s="3" t="s">
        <v>157</v>
      </c>
    </row>
    <row r="85" spans="1:3">
      <c r="A85" s="3" t="s">
        <v>158</v>
      </c>
      <c r="B85" s="21" t="e">
        <f>B20</f>
        <v>#REF!</v>
      </c>
      <c r="C85" s="21" t="e">
        <f>B21</f>
        <v>#REF!</v>
      </c>
    </row>
    <row r="86" spans="1:3">
      <c r="A86" s="3" t="s">
        <v>159</v>
      </c>
      <c r="B86" s="21">
        <f>B32</f>
        <v>0</v>
      </c>
      <c r="C86" s="21">
        <f>B33</f>
        <v>0</v>
      </c>
    </row>
    <row r="87" spans="1:3">
      <c r="A87" s="3" t="s">
        <v>117</v>
      </c>
      <c r="B87" s="21">
        <f>B40</f>
        <v>0</v>
      </c>
      <c r="C87" t="e">
        <f>NA()</f>
        <v>#N/A</v>
      </c>
    </row>
    <row r="88" spans="1:3">
      <c r="A88" s="3" t="s">
        <v>124</v>
      </c>
      <c r="B88" s="21">
        <f>B54</f>
        <v>0</v>
      </c>
      <c r="C88" s="21">
        <f>B55</f>
        <v>0</v>
      </c>
    </row>
    <row r="89" spans="1:3">
      <c r="A89" s="3" t="s">
        <v>143</v>
      </c>
      <c r="B89" s="21">
        <f>B78</f>
        <v>3000</v>
      </c>
      <c r="C89" t="e">
        <f>NA()</f>
        <v>#N/A</v>
      </c>
    </row>
    <row r="90" spans="1:3">
      <c r="A90" s="3" t="s">
        <v>160</v>
      </c>
      <c r="B90" s="21">
        <f>B60</f>
        <v>0</v>
      </c>
      <c r="C90" s="22" t="e">
        <f>B90*(C85/B85)</f>
        <v>#REF!</v>
      </c>
    </row>
    <row r="92" spans="1:3">
      <c r="A92" s="19" t="s">
        <v>161</v>
      </c>
      <c r="B92" s="20"/>
      <c r="C92" s="20"/>
    </row>
    <row r="93" spans="1:3">
      <c r="B93" s="3" t="s">
        <v>91</v>
      </c>
      <c r="C93" s="3" t="s">
        <v>157</v>
      </c>
    </row>
    <row r="94" spans="1:3">
      <c r="A94" s="3" t="s">
        <v>158</v>
      </c>
      <c r="B94" s="21" t="e">
        <f>B85</f>
        <v>#REF!</v>
      </c>
      <c r="C94" s="21" t="e">
        <f>C85</f>
        <v>#REF!</v>
      </c>
    </row>
    <row r="95" spans="1:3">
      <c r="A95" s="3" t="s">
        <v>159</v>
      </c>
      <c r="B95" s="21">
        <f>B24</f>
        <v>15000</v>
      </c>
      <c r="C95" s="22" t="e">
        <f>B95*(C86/B86)</f>
        <v>#DIV/0!</v>
      </c>
    </row>
    <row r="96" spans="1:3">
      <c r="A96" s="3" t="s">
        <v>117</v>
      </c>
      <c r="B96" s="21">
        <f>B87</f>
        <v>0</v>
      </c>
      <c r="C96" t="e">
        <f>NA()</f>
        <v>#N/A</v>
      </c>
    </row>
    <row r="97" spans="1:3">
      <c r="A97" s="3" t="s">
        <v>124</v>
      </c>
      <c r="B97" s="21">
        <f>B54</f>
        <v>0</v>
      </c>
      <c r="C97" s="21">
        <f>B55</f>
        <v>0</v>
      </c>
    </row>
    <row r="98" spans="1:3">
      <c r="A98" s="3" t="s">
        <v>143</v>
      </c>
      <c r="B98" s="21">
        <f>B70</f>
        <v>1695890</v>
      </c>
      <c r="C98" t="e">
        <f>NA()</f>
        <v>#N/A</v>
      </c>
    </row>
    <row r="99" spans="1:3">
      <c r="A99" s="3" t="s">
        <v>160</v>
      </c>
      <c r="B99" t="e">
        <f>NA()</f>
        <v>#N/A</v>
      </c>
      <c r="C99" t="e">
        <f>NA()</f>
        <v>#N/A</v>
      </c>
    </row>
  </sheetData>
  <phoneticPr fontId="49" type="noConversion"/>
  <hyperlinks>
    <hyperlink ref="B7" r:id="rId1" xr:uid="{00000000-0004-0000-0300-000000000000}"/>
    <hyperlink ref="B13" r:id="rId2" xr:uid="{00000000-0004-0000-0300-000001000000}"/>
    <hyperlink ref="A65" r:id="rId3" xr:uid="{00000000-0004-0000-0300-000002000000}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H9"/>
  <sheetViews>
    <sheetView workbookViewId="0">
      <selection activeCell="B3" sqref="B3"/>
    </sheetView>
  </sheetViews>
  <sheetFormatPr defaultColWidth="9" defaultRowHeight="14.4"/>
  <cols>
    <col min="1" max="1" width="16.88671875" customWidth="1"/>
    <col min="2" max="2" width="34.109375" bestFit="1" customWidth="1"/>
    <col min="3" max="3" width="27.21875" bestFit="1" customWidth="1"/>
    <col min="4" max="4" width="23" bestFit="1" customWidth="1"/>
    <col min="5" max="5" width="20.21875" bestFit="1" customWidth="1"/>
    <col min="6" max="6" width="30" bestFit="1" customWidth="1"/>
    <col min="7" max="7" width="16.109375" bestFit="1" customWidth="1"/>
    <col min="8" max="8" width="23" customWidth="1"/>
  </cols>
  <sheetData>
    <row r="1" spans="1:8">
      <c r="A1" s="1" t="s">
        <v>194</v>
      </c>
      <c r="B1" s="2" t="s">
        <v>195</v>
      </c>
      <c r="C1" s="2" t="s">
        <v>196</v>
      </c>
      <c r="D1" s="2" t="s">
        <v>197</v>
      </c>
      <c r="E1" s="2" t="s">
        <v>198</v>
      </c>
      <c r="F1" s="2" t="s">
        <v>199</v>
      </c>
      <c r="G1" s="2" t="s">
        <v>200</v>
      </c>
      <c r="H1" s="2" t="s">
        <v>201</v>
      </c>
    </row>
    <row r="2" spans="1:8">
      <c r="A2" s="3" t="s">
        <v>158</v>
      </c>
      <c r="B2" s="4">
        <f>'China-Cost Data'!C80</f>
        <v>757.51070514341836</v>
      </c>
      <c r="C2" s="4">
        <f>'China-Cost Data'!B80</f>
        <v>1299.6822884740159</v>
      </c>
      <c r="D2" s="4">
        <f>'China-Cost Data'!B80</f>
        <v>1299.6822884740159</v>
      </c>
      <c r="E2" s="4">
        <f>'China-Cost Data'!B80</f>
        <v>1299.6822884740159</v>
      </c>
      <c r="F2" s="4">
        <f>'China-Cost Data'!B80</f>
        <v>1299.6822884740159</v>
      </c>
      <c r="G2" s="4">
        <f>'China-Cost Data'!B80</f>
        <v>1299.6822884740159</v>
      </c>
      <c r="H2" s="4">
        <f>'China-Cost Data'!C80</f>
        <v>757.51070514341836</v>
      </c>
    </row>
    <row r="3" spans="1:8">
      <c r="A3" s="3" t="s">
        <v>159</v>
      </c>
      <c r="B3" s="4">
        <f>'China-Cost Data'!C81</f>
        <v>1883.7141870729001</v>
      </c>
      <c r="C3" s="4">
        <f>'China-Cost Data'!B81</f>
        <v>2415.0181885550005</v>
      </c>
      <c r="D3" s="4">
        <f>'China-Cost Data'!B81</f>
        <v>2415.0181885550005</v>
      </c>
      <c r="E3" s="4">
        <f>'China-Cost Data'!B81</f>
        <v>2415.0181885550005</v>
      </c>
      <c r="F3" s="4">
        <f>'China-Cost Data'!B81</f>
        <v>2415.0181885550005</v>
      </c>
      <c r="G3" s="4">
        <f>'China-Cost Data'!B81</f>
        <v>2415.0181885550005</v>
      </c>
      <c r="H3" s="4">
        <f>'China-Cost Data'!C81</f>
        <v>1883.7141870729001</v>
      </c>
    </row>
    <row r="4" spans="1:8">
      <c r="A4" s="3" t="s">
        <v>117</v>
      </c>
      <c r="B4" s="83">
        <v>0</v>
      </c>
      <c r="C4" s="4">
        <f>'China-Cost Data'!B82</f>
        <v>1028861.771240371</v>
      </c>
      <c r="D4" s="4">
        <f>'China-Cost Data'!B82</f>
        <v>1028861.771240371</v>
      </c>
      <c r="E4" s="4">
        <f>'China-Cost Data'!B82</f>
        <v>1028861.771240371</v>
      </c>
      <c r="F4" s="4">
        <f>'China-Cost Data'!B82</f>
        <v>1028861.771240371</v>
      </c>
      <c r="G4" s="4">
        <f>'China-Cost Data'!B82</f>
        <v>1028861.771240371</v>
      </c>
      <c r="H4" s="83">
        <v>0</v>
      </c>
    </row>
    <row r="5" spans="1:8">
      <c r="A5" s="3" t="s">
        <v>124</v>
      </c>
      <c r="B5" s="4">
        <f>'China-Cost Data'!C83</f>
        <v>1737670.7019253334</v>
      </c>
      <c r="C5" s="4">
        <f>'China-Cost Data'!B83</f>
        <v>2443768.405085417</v>
      </c>
      <c r="D5" s="4">
        <f>'China-Cost Data'!B83</f>
        <v>2443768.405085417</v>
      </c>
      <c r="E5" s="4">
        <f>'China-Cost Data'!B83</f>
        <v>2443768.405085417</v>
      </c>
      <c r="F5" s="4">
        <f>'China-Cost Data'!B83</f>
        <v>2443768.405085417</v>
      </c>
      <c r="G5" s="4">
        <f>'China-Cost Data'!B83</f>
        <v>2443768.405085417</v>
      </c>
      <c r="H5" s="4">
        <f>'China-Cost Data'!C83</f>
        <v>1737670.7019253334</v>
      </c>
    </row>
    <row r="6" spans="1:8">
      <c r="A6" s="3" t="s">
        <v>143</v>
      </c>
      <c r="B6" s="83">
        <v>0</v>
      </c>
      <c r="C6" s="4">
        <f>'China-Cost Data'!B84</f>
        <v>3000</v>
      </c>
      <c r="D6" s="4">
        <f>'China-Cost Data'!B84</f>
        <v>3000</v>
      </c>
      <c r="E6" s="4">
        <f>'China-Cost Data'!B84</f>
        <v>3000</v>
      </c>
      <c r="F6" s="4">
        <f>'China-Cost Data'!B84</f>
        <v>3000</v>
      </c>
      <c r="G6" s="4">
        <f>'China-Cost Data'!B84</f>
        <v>3000</v>
      </c>
      <c r="H6" s="83">
        <v>0</v>
      </c>
    </row>
    <row r="7" spans="1:8">
      <c r="A7" s="3" t="s">
        <v>160</v>
      </c>
      <c r="B7" s="4">
        <f>'China-Cost Data'!C85</f>
        <v>27.766671622911112</v>
      </c>
      <c r="C7" s="4">
        <f>'China-Cost Data'!B85</f>
        <v>70.518531105806005</v>
      </c>
      <c r="D7" s="4">
        <f>'China-Cost Data'!B85</f>
        <v>70.518531105806005</v>
      </c>
      <c r="E7" s="4">
        <f>'China-Cost Data'!B85</f>
        <v>70.518531105806005</v>
      </c>
      <c r="F7" s="4">
        <f>'China-Cost Data'!B85</f>
        <v>70.518531105806005</v>
      </c>
      <c r="G7" s="4">
        <f>'China-Cost Data'!B85</f>
        <v>70.518531105806005</v>
      </c>
      <c r="H7" s="4">
        <f>'China-Cost Data'!C85</f>
        <v>27.766671622911112</v>
      </c>
    </row>
    <row r="9" spans="1:8">
      <c r="B9" s="4"/>
      <c r="C9" s="4"/>
      <c r="D9" s="4"/>
      <c r="E9" s="4"/>
      <c r="F9" s="4"/>
      <c r="G9" s="4"/>
      <c r="H9" s="4"/>
    </row>
  </sheetData>
  <phoneticPr fontId="4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H7"/>
  <sheetViews>
    <sheetView tabSelected="1" workbookViewId="0">
      <selection activeCell="C6" sqref="C6"/>
    </sheetView>
  </sheetViews>
  <sheetFormatPr defaultColWidth="9" defaultRowHeight="14.4"/>
  <cols>
    <col min="1" max="1" width="16.88671875" customWidth="1"/>
    <col min="2" max="2" width="34.109375" bestFit="1" customWidth="1"/>
    <col min="3" max="3" width="27.21875" bestFit="1" customWidth="1"/>
    <col min="4" max="4" width="23" bestFit="1" customWidth="1"/>
    <col min="5" max="5" width="20.21875" bestFit="1" customWidth="1"/>
    <col min="6" max="6" width="30" bestFit="1" customWidth="1"/>
    <col min="7" max="7" width="16.109375" bestFit="1" customWidth="1"/>
    <col min="8" max="8" width="23" bestFit="1" customWidth="1"/>
  </cols>
  <sheetData>
    <row r="1" spans="1:8">
      <c r="A1" s="1" t="s">
        <v>194</v>
      </c>
      <c r="B1" s="2" t="s">
        <v>195</v>
      </c>
      <c r="C1" s="2" t="s">
        <v>196</v>
      </c>
      <c r="D1" s="2" t="s">
        <v>197</v>
      </c>
      <c r="E1" s="2" t="s">
        <v>198</v>
      </c>
      <c r="F1" s="2" t="s">
        <v>199</v>
      </c>
      <c r="G1" s="2" t="s">
        <v>200</v>
      </c>
      <c r="H1" s="2" t="s">
        <v>201</v>
      </c>
    </row>
    <row r="2" spans="1:8">
      <c r="A2" s="3" t="s">
        <v>158</v>
      </c>
      <c r="B2" s="4">
        <f>'China-Cost Data'!C89</f>
        <v>90.563182070812502</v>
      </c>
      <c r="C2" s="4">
        <f>'China-Cost Data'!B89</f>
        <v>271.68954621243751</v>
      </c>
      <c r="D2" s="4">
        <f>'China-Cost Data'!B89</f>
        <v>271.68954621243751</v>
      </c>
      <c r="E2" s="4">
        <f>'China-Cost Data'!B89</f>
        <v>271.68954621243751</v>
      </c>
      <c r="F2" s="4">
        <f>'China-Cost Data'!B89</f>
        <v>271.68954621243751</v>
      </c>
      <c r="G2" s="4">
        <f>'China-Cost Data'!B89</f>
        <v>271.68954621243751</v>
      </c>
      <c r="H2" s="4">
        <f>'China-Cost Data'!C89</f>
        <v>90.563182070812502</v>
      </c>
    </row>
    <row r="3" spans="1:8">
      <c r="A3" s="3" t="s">
        <v>159</v>
      </c>
      <c r="B3" s="4">
        <f>'China-Cost Data'!C90</f>
        <v>3477.6261915192003</v>
      </c>
      <c r="C3" s="4">
        <f>'China-Cost Data'!B90</f>
        <v>7921.2596584604007</v>
      </c>
      <c r="D3" s="4">
        <f>'China-Cost Data'!B90</f>
        <v>7921.2596584604007</v>
      </c>
      <c r="E3" s="4">
        <f>'China-Cost Data'!B90</f>
        <v>7921.2596584604007</v>
      </c>
      <c r="F3" s="4">
        <f>'China-Cost Data'!B90</f>
        <v>7921.2596584604007</v>
      </c>
      <c r="G3" s="4">
        <f>'China-Cost Data'!B90</f>
        <v>7921.2596584604007</v>
      </c>
      <c r="H3" s="4">
        <f>'China-Cost Data'!C90</f>
        <v>3477.6261915192003</v>
      </c>
    </row>
    <row r="4" spans="1:8">
      <c r="A4" s="3" t="s">
        <v>117</v>
      </c>
      <c r="B4" s="97">
        <v>0</v>
      </c>
      <c r="C4" s="4">
        <f>'China-Cost Data'!B91</f>
        <v>1028861.771240371</v>
      </c>
      <c r="D4" s="4">
        <f>'China-Cost Data'!B91</f>
        <v>1028861.771240371</v>
      </c>
      <c r="E4" s="4">
        <f>'China-Cost Data'!B91</f>
        <v>1028861.771240371</v>
      </c>
      <c r="F4" s="4">
        <f>'China-Cost Data'!B91</f>
        <v>1028861.771240371</v>
      </c>
      <c r="G4" s="4">
        <f>'China-Cost Data'!B91</f>
        <v>1028861.771240371</v>
      </c>
      <c r="H4" s="97">
        <v>0</v>
      </c>
    </row>
    <row r="5" spans="1:8">
      <c r="A5" s="3" t="s">
        <v>124</v>
      </c>
      <c r="B5" s="4">
        <f>'China-Cost Data'!C92</f>
        <v>1737670.7019253334</v>
      </c>
      <c r="C5" s="4">
        <f>'China-Cost Data'!B92</f>
        <v>2443768.405085417</v>
      </c>
      <c r="D5" s="4">
        <f>'China-Cost Data'!B92</f>
        <v>2443768.405085417</v>
      </c>
      <c r="E5" s="4">
        <f>'China-Cost Data'!B92</f>
        <v>2443768.405085417</v>
      </c>
      <c r="F5" s="4">
        <f>'China-Cost Data'!B92</f>
        <v>2443768.405085417</v>
      </c>
      <c r="G5" s="4">
        <f>'China-Cost Data'!B92</f>
        <v>2443768.405085417</v>
      </c>
      <c r="H5" s="4">
        <f>'China-Cost Data'!C92</f>
        <v>1737670.7019253334</v>
      </c>
    </row>
    <row r="6" spans="1:8">
      <c r="A6" s="3" t="s">
        <v>143</v>
      </c>
      <c r="B6" s="83">
        <v>0</v>
      </c>
      <c r="C6" s="4">
        <f>'Cost Data'!$B98</f>
        <v>1695890</v>
      </c>
      <c r="D6" s="4">
        <f>'Cost Data'!$B98</f>
        <v>1695890</v>
      </c>
      <c r="E6" s="4">
        <f>'Cost Data'!$B98</f>
        <v>1695890</v>
      </c>
      <c r="F6" s="4">
        <f>'Cost Data'!$B98</f>
        <v>1695890</v>
      </c>
      <c r="G6" s="4">
        <f>'Cost Data'!$B98</f>
        <v>1695890</v>
      </c>
      <c r="H6" s="83">
        <v>0</v>
      </c>
    </row>
    <row r="7" spans="1:8">
      <c r="A7" s="3" t="s">
        <v>160</v>
      </c>
      <c r="B7" s="83">
        <v>0</v>
      </c>
      <c r="C7" s="83">
        <v>0</v>
      </c>
      <c r="D7" s="83">
        <v>0</v>
      </c>
      <c r="E7" s="83">
        <v>0</v>
      </c>
      <c r="F7" s="83">
        <v>0</v>
      </c>
      <c r="G7" s="83">
        <v>0</v>
      </c>
      <c r="H7" s="83">
        <v>0</v>
      </c>
    </row>
  </sheetData>
  <phoneticPr fontId="49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China-data</vt:lpstr>
      <vt:lpstr>China-Cost Data</vt:lpstr>
      <vt:lpstr>Cost Data</vt:lpstr>
      <vt:lpstr>AVMC-passenger</vt:lpstr>
      <vt:lpstr>AVMC-freight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lenovo</cp:lastModifiedBy>
  <dcterms:created xsi:type="dcterms:W3CDTF">2017-06-22T21:46:00Z</dcterms:created>
  <dcterms:modified xsi:type="dcterms:W3CDTF">2023-02-10T06:37:29Z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