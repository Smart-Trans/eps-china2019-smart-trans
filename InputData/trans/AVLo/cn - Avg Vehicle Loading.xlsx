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D:\EPS-trans\伊皮埃斯\AVLo\"/>
    </mc:Choice>
  </mc:AlternateContent>
  <xr:revisionPtr revIDLastSave="0" documentId="13_ncr:1_{E3F94FF1-65C7-4733-AEDB-084B55F9088B}" xr6:coauthVersionLast="47" xr6:coauthVersionMax="47" xr10:uidLastSave="{00000000-0000-0000-0000-000000000000}"/>
  <bookViews>
    <workbookView xWindow="-108" yWindow="-108" windowWidth="23256" windowHeight="12576" activeTab="7" xr2:uid="{00000000-000D-0000-FFFF-FFFF00000000}"/>
  </bookViews>
  <sheets>
    <sheet name="About" sheetId="1" r:id="rId1"/>
    <sheet name="AVL" sheetId="3" r:id="rId2"/>
    <sheet name="aircraft" sheetId="9" r:id="rId3"/>
    <sheet name="Rail" sheetId="6" r:id="rId4"/>
    <sheet name="converter" sheetId="7" r:id="rId5"/>
    <sheet name="motorbike" sheetId="8" r:id="rId6"/>
    <sheet name="AVLo-passengers" sheetId="2" r:id="rId7"/>
    <sheet name="AVLo-freight" sheetId="4" r:id="rId8"/>
  </sheets>
  <externalReferences>
    <externalReference r:id="rId9"/>
  </externalReferences>
  <definedNames>
    <definedName name="Eno_TM">'[1]1997  Table 1a Modified'!#REF!</definedName>
    <definedName name="Eno_Tons">'[1]1997  Table 1a Modified'!#REF!</definedName>
    <definedName name="Sum_T2">'[1]1997  Table 1a Modified'!#REF!</definedName>
    <definedName name="Sum_TTM">'[1]1997  Table 1a Modified'!#REF!</definedName>
    <definedName name="ti_tbl_50">#REF!</definedName>
    <definedName name="ti_tbl_69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3" i="4" l="1"/>
  <c r="B2" i="4"/>
  <c r="B6" i="2"/>
  <c r="B53" i="3"/>
  <c r="B52" i="3"/>
  <c r="B51" i="3"/>
  <c r="B50" i="3"/>
  <c r="C36" i="3"/>
  <c r="B39" i="3" s="1"/>
  <c r="C38" i="3"/>
  <c r="C37" i="3"/>
  <c r="B4" i="4"/>
  <c r="B4" i="2"/>
  <c r="D3" i="9"/>
  <c r="D4" i="9"/>
  <c r="B4" i="9"/>
  <c r="B4" i="6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AL7" i="2"/>
  <c r="AM7" i="2"/>
  <c r="AN7" i="2"/>
  <c r="AO7" i="2"/>
  <c r="AP7" i="2"/>
  <c r="AQ7" i="2"/>
  <c r="AR7" i="2"/>
  <c r="AS7" i="2"/>
  <c r="C7" i="2"/>
  <c r="B7" i="2"/>
  <c r="B46" i="3"/>
  <c r="D7" i="4" l="1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AG7" i="4"/>
  <c r="AH7" i="4"/>
  <c r="AI7" i="4"/>
  <c r="AJ7" i="4"/>
  <c r="AK7" i="4"/>
  <c r="AL7" i="4"/>
  <c r="AM7" i="4"/>
  <c r="AN7" i="4"/>
  <c r="AO7" i="4"/>
  <c r="AP7" i="4"/>
  <c r="AQ7" i="4"/>
  <c r="AR7" i="4"/>
  <c r="AS7" i="4"/>
  <c r="AT7" i="4"/>
  <c r="C7" i="4"/>
  <c r="B7" i="4"/>
  <c r="B2" i="6" l="1"/>
  <c r="B3" i="6"/>
  <c r="AT2" i="4"/>
  <c r="AT4" i="4"/>
  <c r="AT5" i="4"/>
  <c r="AJ2" i="4"/>
  <c r="AK2" i="4"/>
  <c r="AL2" i="4"/>
  <c r="AM2" i="4"/>
  <c r="AN2" i="4"/>
  <c r="AO2" i="4"/>
  <c r="AP2" i="4"/>
  <c r="AQ2" i="4"/>
  <c r="AR2" i="4"/>
  <c r="AS2" i="4"/>
  <c r="AJ4" i="4"/>
  <c r="AK4" i="4"/>
  <c r="AL4" i="4"/>
  <c r="AM4" i="4"/>
  <c r="AN4" i="4"/>
  <c r="AO4" i="4"/>
  <c r="AP4" i="4"/>
  <c r="AQ4" i="4"/>
  <c r="AR4" i="4"/>
  <c r="AS4" i="4"/>
  <c r="AJ5" i="4"/>
  <c r="AK5" i="4"/>
  <c r="AL5" i="4" s="1"/>
  <c r="AM5" i="4" s="1"/>
  <c r="AN5" i="4" s="1"/>
  <c r="AO5" i="4" s="1"/>
  <c r="AP5" i="4" s="1"/>
  <c r="AQ5" i="4" s="1"/>
  <c r="AR5" i="4" s="1"/>
  <c r="AS5" i="4" s="1"/>
  <c r="AJ3" i="2"/>
  <c r="AK3" i="2"/>
  <c r="AL3" i="2"/>
  <c r="AM3" i="2"/>
  <c r="AN3" i="2" s="1"/>
  <c r="AO3" i="2" s="1"/>
  <c r="AP3" i="2" s="1"/>
  <c r="AQ3" i="2" s="1"/>
  <c r="AR3" i="2" s="1"/>
  <c r="AS3" i="2" s="1"/>
  <c r="AJ4" i="2"/>
  <c r="AK4" i="2"/>
  <c r="AL4" i="2"/>
  <c r="AM4" i="2"/>
  <c r="AN4" i="2"/>
  <c r="AO4" i="2"/>
  <c r="AP4" i="2"/>
  <c r="AQ4" i="2"/>
  <c r="AR4" i="2"/>
  <c r="AS4" i="2"/>
  <c r="D6" i="3" l="1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AG4" i="4"/>
  <c r="AH4" i="4"/>
  <c r="AI4" i="4"/>
  <c r="C4" i="4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AG4" i="2"/>
  <c r="AH4" i="2"/>
  <c r="AI4" i="2"/>
  <c r="C4" i="2"/>
  <c r="B33" i="3" l="1"/>
  <c r="B32" i="3"/>
  <c r="B31" i="3"/>
  <c r="B26" i="3" l="1"/>
  <c r="B21" i="3"/>
  <c r="B22" i="3" s="1"/>
  <c r="B20" i="3"/>
  <c r="B16" i="3"/>
  <c r="B15" i="3"/>
  <c r="B17" i="3" s="1"/>
  <c r="B6" i="3"/>
  <c r="B5" i="3"/>
  <c r="B3" i="3"/>
  <c r="B4" i="3" s="1"/>
  <c r="B5" i="4" l="1"/>
  <c r="B5" i="2"/>
  <c r="C6" i="2" l="1"/>
  <c r="D6" i="2" s="1"/>
  <c r="E6" i="2" s="1"/>
  <c r="F6" i="2" s="1"/>
  <c r="G6" i="2" s="1"/>
  <c r="H6" i="2" s="1"/>
  <c r="I6" i="2" s="1"/>
  <c r="J6" i="2" s="1"/>
  <c r="K6" i="2" s="1"/>
  <c r="L6" i="2" s="1"/>
  <c r="M6" i="2" s="1"/>
  <c r="N6" i="2" s="1"/>
  <c r="O6" i="2" s="1"/>
  <c r="P6" i="2" s="1"/>
  <c r="Q6" i="2" s="1"/>
  <c r="R6" i="2" s="1"/>
  <c r="S6" i="2" s="1"/>
  <c r="T6" i="2" s="1"/>
  <c r="U6" i="2" s="1"/>
  <c r="V6" i="2" s="1"/>
  <c r="W6" i="2" s="1"/>
  <c r="X6" i="2" s="1"/>
  <c r="Y6" i="2" s="1"/>
  <c r="Z6" i="2" s="1"/>
  <c r="AA6" i="2" s="1"/>
  <c r="AB6" i="2" s="1"/>
  <c r="AC6" i="2" s="1"/>
  <c r="AD6" i="2" s="1"/>
  <c r="AE6" i="2" s="1"/>
  <c r="AF6" i="2" s="1"/>
  <c r="AG6" i="2" s="1"/>
  <c r="AH6" i="2" s="1"/>
  <c r="AI6" i="2" s="1"/>
  <c r="AJ6" i="2" s="1"/>
  <c r="AK6" i="2" s="1"/>
  <c r="AL6" i="2" s="1"/>
  <c r="AM6" i="2" s="1"/>
  <c r="AN6" i="2" s="1"/>
  <c r="AO6" i="2" s="1"/>
  <c r="AP6" i="2" s="1"/>
  <c r="AQ6" i="2" s="1"/>
  <c r="AR6" i="2" s="1"/>
  <c r="AS6" i="2" s="1"/>
  <c r="B10" i="3"/>
  <c r="B28" i="3"/>
  <c r="C2" i="2" s="1"/>
  <c r="D2" i="2" s="1"/>
  <c r="E2" i="2" s="1"/>
  <c r="F2" i="2" s="1"/>
  <c r="G2" i="2" s="1"/>
  <c r="H2" i="2" s="1"/>
  <c r="I2" i="2" s="1"/>
  <c r="J2" i="2" s="1"/>
  <c r="K2" i="2" s="1"/>
  <c r="L2" i="2" s="1"/>
  <c r="M2" i="2" s="1"/>
  <c r="N2" i="2" s="1"/>
  <c r="O2" i="2" s="1"/>
  <c r="P2" i="2" s="1"/>
  <c r="Q2" i="2" s="1"/>
  <c r="R2" i="2" s="1"/>
  <c r="S2" i="2" s="1"/>
  <c r="T2" i="2" s="1"/>
  <c r="U2" i="2" s="1"/>
  <c r="V2" i="2" s="1"/>
  <c r="W2" i="2" s="1"/>
  <c r="X2" i="2" s="1"/>
  <c r="Y2" i="2" s="1"/>
  <c r="Z2" i="2" s="1"/>
  <c r="AA2" i="2" s="1"/>
  <c r="AB2" i="2" s="1"/>
  <c r="AC2" i="2" s="1"/>
  <c r="AD2" i="2" s="1"/>
  <c r="AE2" i="2" s="1"/>
  <c r="AF2" i="2" s="1"/>
  <c r="AG2" i="2" s="1"/>
  <c r="AH2" i="2" s="1"/>
  <c r="AI2" i="2" s="1"/>
  <c r="AJ2" i="2" s="1"/>
  <c r="AK2" i="2" s="1"/>
  <c r="AL2" i="2" s="1"/>
  <c r="AM2" i="2" s="1"/>
  <c r="AN2" i="2" s="1"/>
  <c r="AO2" i="2" s="1"/>
  <c r="AP2" i="2" s="1"/>
  <c r="AQ2" i="2" s="1"/>
  <c r="AR2" i="2" s="1"/>
  <c r="AS2" i="2" s="1"/>
  <c r="C5" i="4"/>
  <c r="D5" i="4" s="1"/>
  <c r="E5" i="4" s="1"/>
  <c r="F5" i="4" s="1"/>
  <c r="G5" i="4" s="1"/>
  <c r="H5" i="4" s="1"/>
  <c r="I5" i="4" s="1"/>
  <c r="J5" i="4" s="1"/>
  <c r="K5" i="4" s="1"/>
  <c r="L5" i="4" s="1"/>
  <c r="M5" i="4" s="1"/>
  <c r="N5" i="4" s="1"/>
  <c r="O5" i="4" s="1"/>
  <c r="P5" i="4" s="1"/>
  <c r="Q5" i="4" s="1"/>
  <c r="R5" i="4" s="1"/>
  <c r="S5" i="4" s="1"/>
  <c r="T5" i="4" s="1"/>
  <c r="U5" i="4" s="1"/>
  <c r="V5" i="4" s="1"/>
  <c r="W5" i="4" s="1"/>
  <c r="X5" i="4" s="1"/>
  <c r="Y5" i="4" s="1"/>
  <c r="Z5" i="4" s="1"/>
  <c r="AA5" i="4" s="1"/>
  <c r="AB5" i="4" s="1"/>
  <c r="AC5" i="4" s="1"/>
  <c r="AD5" i="4" s="1"/>
  <c r="AE5" i="4" s="1"/>
  <c r="AF5" i="4" s="1"/>
  <c r="AG5" i="4" s="1"/>
  <c r="AH5" i="4" s="1"/>
  <c r="AI5" i="4" s="1"/>
  <c r="C5" i="2"/>
  <c r="D5" i="2" s="1"/>
  <c r="E5" i="2" s="1"/>
  <c r="F5" i="2" s="1"/>
  <c r="G5" i="2" s="1"/>
  <c r="H5" i="2" s="1"/>
  <c r="I5" i="2" s="1"/>
  <c r="J5" i="2" s="1"/>
  <c r="K5" i="2" s="1"/>
  <c r="L5" i="2" s="1"/>
  <c r="M5" i="2" s="1"/>
  <c r="N5" i="2" s="1"/>
  <c r="O5" i="2" s="1"/>
  <c r="P5" i="2" s="1"/>
  <c r="Q5" i="2" s="1"/>
  <c r="R5" i="2" s="1"/>
  <c r="S5" i="2" s="1"/>
  <c r="T5" i="2" s="1"/>
  <c r="U5" i="2" s="1"/>
  <c r="V5" i="2" s="1"/>
  <c r="W5" i="2" s="1"/>
  <c r="X5" i="2" s="1"/>
  <c r="Y5" i="2" s="1"/>
  <c r="Z5" i="2" s="1"/>
  <c r="AA5" i="2" s="1"/>
  <c r="AB5" i="2" s="1"/>
  <c r="AC5" i="2" s="1"/>
  <c r="AD5" i="2" s="1"/>
  <c r="AE5" i="2" s="1"/>
  <c r="AF5" i="2" s="1"/>
  <c r="AG5" i="2" s="1"/>
  <c r="AH5" i="2" s="1"/>
  <c r="AI5" i="2" s="1"/>
  <c r="AJ5" i="2" s="1"/>
  <c r="AK5" i="2" s="1"/>
  <c r="AL5" i="2" s="1"/>
  <c r="AM5" i="2" s="1"/>
  <c r="AN5" i="2" s="1"/>
  <c r="AO5" i="2" s="1"/>
  <c r="AP5" i="2" s="1"/>
  <c r="AQ5" i="2" s="1"/>
  <c r="AR5" i="2" s="1"/>
  <c r="AS5" i="2" s="1"/>
  <c r="AI2" i="4"/>
  <c r="AH2" i="4"/>
  <c r="AG2" i="4"/>
  <c r="AF2" i="4"/>
  <c r="AE2" i="4"/>
  <c r="AD2" i="4"/>
  <c r="AC2" i="4"/>
  <c r="AB2" i="4"/>
  <c r="AA2" i="4"/>
  <c r="Z2" i="4"/>
  <c r="Y2" i="4"/>
  <c r="X2" i="4"/>
  <c r="W2" i="4"/>
  <c r="V2" i="4"/>
  <c r="U2" i="4"/>
  <c r="T2" i="4"/>
  <c r="S2" i="4"/>
  <c r="R2" i="4"/>
  <c r="Q2" i="4"/>
  <c r="P2" i="4"/>
  <c r="O2" i="4"/>
  <c r="N2" i="4"/>
  <c r="M2" i="4"/>
  <c r="L2" i="4"/>
  <c r="K2" i="4"/>
  <c r="J2" i="4"/>
  <c r="I2" i="4"/>
  <c r="H2" i="4"/>
  <c r="G2" i="4"/>
  <c r="F2" i="4"/>
  <c r="E2" i="4"/>
  <c r="D2" i="4"/>
  <c r="C2" i="4"/>
  <c r="B6" i="4" l="1"/>
  <c r="C6" i="4" s="1"/>
  <c r="D6" i="4" s="1"/>
  <c r="E6" i="4" s="1"/>
  <c r="F6" i="4" s="1"/>
  <c r="G6" i="4" s="1"/>
  <c r="H6" i="4" s="1"/>
  <c r="I6" i="4" s="1"/>
  <c r="J6" i="4" s="1"/>
  <c r="K6" i="4" s="1"/>
  <c r="L6" i="4" s="1"/>
  <c r="M6" i="4" s="1"/>
  <c r="N6" i="4" s="1"/>
  <c r="O6" i="4" s="1"/>
  <c r="P6" i="4" s="1"/>
  <c r="Q6" i="4" s="1"/>
  <c r="R6" i="4" s="1"/>
  <c r="S6" i="4" s="1"/>
  <c r="T6" i="4" s="1"/>
  <c r="U6" i="4" s="1"/>
  <c r="V6" i="4" s="1"/>
  <c r="W6" i="4" s="1"/>
  <c r="X6" i="4" s="1"/>
  <c r="Y6" i="4" s="1"/>
  <c r="Z6" i="4" s="1"/>
  <c r="AA6" i="4" s="1"/>
  <c r="AB6" i="4" s="1"/>
  <c r="AC6" i="4" s="1"/>
  <c r="AD6" i="4" s="1"/>
  <c r="AE6" i="4" s="1"/>
  <c r="AF6" i="4" s="1"/>
  <c r="AG6" i="4" s="1"/>
  <c r="AH6" i="4" s="1"/>
  <c r="AI6" i="4" s="1"/>
  <c r="AJ6" i="4" s="1"/>
  <c r="AK6" i="4" s="1"/>
  <c r="AL6" i="4" s="1"/>
  <c r="AM6" i="4" s="1"/>
  <c r="AN6" i="4" s="1"/>
  <c r="AO6" i="4" s="1"/>
  <c r="AP6" i="4" s="1"/>
  <c r="AQ6" i="4" s="1"/>
  <c r="AR6" i="4" s="1"/>
  <c r="AS6" i="4" s="1"/>
  <c r="AT6" i="4" s="1"/>
  <c r="C3" i="2"/>
  <c r="D3" i="2" s="1"/>
  <c r="E3" i="2" s="1"/>
  <c r="F3" i="2" s="1"/>
  <c r="G3" i="2" s="1"/>
  <c r="H3" i="2" s="1"/>
  <c r="I3" i="2" s="1"/>
  <c r="J3" i="2" s="1"/>
  <c r="K3" i="2" s="1"/>
  <c r="L3" i="2" s="1"/>
  <c r="M3" i="2" s="1"/>
  <c r="N3" i="2" s="1"/>
  <c r="O3" i="2" s="1"/>
  <c r="P3" i="2" s="1"/>
  <c r="Q3" i="2" s="1"/>
  <c r="R3" i="2" s="1"/>
  <c r="S3" i="2" s="1"/>
  <c r="T3" i="2" s="1"/>
  <c r="U3" i="2" s="1"/>
  <c r="V3" i="2" s="1"/>
  <c r="W3" i="2" s="1"/>
  <c r="X3" i="2" s="1"/>
  <c r="Y3" i="2" s="1"/>
  <c r="Z3" i="2" s="1"/>
  <c r="AA3" i="2" s="1"/>
  <c r="AB3" i="2" s="1"/>
  <c r="AC3" i="2" s="1"/>
  <c r="AD3" i="2" s="1"/>
  <c r="AE3" i="2" s="1"/>
  <c r="AF3" i="2" s="1"/>
  <c r="AG3" i="2" s="1"/>
  <c r="AH3" i="2" s="1"/>
  <c r="AI3" i="2" s="1"/>
  <c r="C3" i="4"/>
  <c r="D3" i="4" s="1"/>
  <c r="E3" i="4" s="1"/>
  <c r="F3" i="4" s="1"/>
  <c r="G3" i="4" s="1"/>
  <c r="H3" i="4" s="1"/>
  <c r="I3" i="4" s="1"/>
  <c r="J3" i="4" s="1"/>
  <c r="K3" i="4" s="1"/>
  <c r="L3" i="4" s="1"/>
  <c r="M3" i="4" s="1"/>
  <c r="N3" i="4" s="1"/>
  <c r="O3" i="4" s="1"/>
  <c r="P3" i="4" s="1"/>
  <c r="Q3" i="4" s="1"/>
  <c r="R3" i="4" s="1"/>
  <c r="S3" i="4" s="1"/>
  <c r="T3" i="4" s="1"/>
  <c r="U3" i="4" s="1"/>
  <c r="V3" i="4" s="1"/>
  <c r="W3" i="4" s="1"/>
  <c r="X3" i="4" s="1"/>
  <c r="Y3" i="4" s="1"/>
  <c r="Z3" i="4" s="1"/>
  <c r="AA3" i="4" s="1"/>
  <c r="AB3" i="4" s="1"/>
  <c r="AC3" i="4" s="1"/>
  <c r="AD3" i="4" s="1"/>
  <c r="AE3" i="4" s="1"/>
  <c r="AF3" i="4" s="1"/>
  <c r="AG3" i="4" s="1"/>
  <c r="AH3" i="4" s="1"/>
  <c r="AI3" i="4" s="1"/>
  <c r="AJ3" i="4" s="1"/>
  <c r="AK3" i="4" s="1"/>
  <c r="AL3" i="4" s="1"/>
  <c r="AM3" i="4" s="1"/>
  <c r="AN3" i="4" s="1"/>
  <c r="AO3" i="4" s="1"/>
  <c r="AP3" i="4" s="1"/>
  <c r="AQ3" i="4" s="1"/>
  <c r="AR3" i="4" s="1"/>
  <c r="AS3" i="4" s="1"/>
  <c r="AT3" i="4" s="1"/>
  <c r="B11" i="3"/>
  <c r="B1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WY</author>
  </authors>
  <commentList>
    <comment ref="B8" authorId="0" shapeId="0" xr:uid="{00000000-0006-0000-0100-000001000000}">
      <text>
        <r>
          <rPr>
            <b/>
            <sz val="9"/>
            <color indexed="81"/>
            <rFont val="宋体"/>
            <family val="3"/>
            <charset val="134"/>
          </rPr>
          <t>WY:</t>
        </r>
        <r>
          <rPr>
            <sz val="9"/>
            <color indexed="81"/>
            <rFont val="宋体"/>
            <family val="3"/>
            <charset val="134"/>
          </rPr>
          <t xml:space="preserve">
updated with SYVbT</t>
        </r>
      </text>
    </comment>
    <comment ref="B9" authorId="0" shapeId="0" xr:uid="{00000000-0006-0000-0100-000002000000}">
      <text>
        <r>
          <rPr>
            <b/>
            <sz val="9"/>
            <color indexed="81"/>
            <rFont val="宋体"/>
            <family val="3"/>
            <charset val="134"/>
          </rPr>
          <t>WY:</t>
        </r>
        <r>
          <rPr>
            <sz val="9"/>
            <color indexed="81"/>
            <rFont val="宋体"/>
            <family val="3"/>
            <charset val="134"/>
          </rPr>
          <t xml:space="preserve">
updated with SYVbT</t>
        </r>
      </text>
    </comment>
    <comment ref="B15" authorId="0" shapeId="0" xr:uid="{00000000-0006-0000-0100-000003000000}">
      <text>
        <r>
          <rPr>
            <b/>
            <sz val="9"/>
            <color indexed="81"/>
            <rFont val="宋体"/>
            <family val="3"/>
            <charset val="134"/>
          </rPr>
          <t>WY:</t>
        </r>
        <r>
          <rPr>
            <sz val="9"/>
            <color indexed="81"/>
            <rFont val="宋体"/>
            <family val="3"/>
            <charset val="134"/>
          </rPr>
          <t xml:space="preserve">
updated </t>
        </r>
      </text>
    </comment>
    <comment ref="B27" authorId="0" shapeId="0" xr:uid="{00000000-0006-0000-0100-000004000000}">
      <text>
        <r>
          <rPr>
            <b/>
            <sz val="9"/>
            <color indexed="81"/>
            <rFont val="宋体"/>
            <family val="3"/>
            <charset val="134"/>
          </rPr>
          <t>WY:</t>
        </r>
        <r>
          <rPr>
            <sz val="9"/>
            <color indexed="81"/>
            <rFont val="宋体"/>
            <family val="3"/>
            <charset val="134"/>
          </rPr>
          <t xml:space="preserve">
updated with SYVbT</t>
        </r>
      </text>
    </comment>
  </commentList>
</comments>
</file>

<file path=xl/sharedStrings.xml><?xml version="1.0" encoding="utf-8"?>
<sst xmlns="http://schemas.openxmlformats.org/spreadsheetml/2006/main" count="146" uniqueCount="124">
  <si>
    <t>Sources:</t>
  </si>
  <si>
    <t>passenger LDVs</t>
  </si>
  <si>
    <t>Passenger HDVs, freight HDVs， freight ships, passenger motorbikes</t>
    <phoneticPr fontId="40" type="noConversion"/>
  </si>
  <si>
    <t>Aircraft</t>
    <phoneticPr fontId="40" type="noConversion"/>
  </si>
  <si>
    <t>Rail</t>
    <phoneticPr fontId="40" type="noConversion"/>
  </si>
  <si>
    <t>Notes:</t>
  </si>
  <si>
    <t>Data for total/average vehicle/vessel travel distace is not available.</t>
    <phoneticPr fontId="40" type="noConversion"/>
  </si>
  <si>
    <t>No data available for motobikes. Assume an average loading level of 1.15 for passenger motobikes.</t>
    <phoneticPr fontId="40" type="noConversion"/>
  </si>
  <si>
    <t>Passenger aircraft and freight aircraft</t>
  </si>
  <si>
    <t>Aircraft revenue-miles</t>
    <phoneticPr fontId="40" type="noConversion"/>
  </si>
  <si>
    <t>Passenger-miles (millions)</t>
    <phoneticPr fontId="40" type="noConversion"/>
  </si>
  <si>
    <t>Revenue passenger-miles (millions)</t>
    <phoneticPr fontId="40" type="noConversion"/>
  </si>
  <si>
    <t>Ton-miles of freight (millions)</t>
    <phoneticPr fontId="40" type="noConversion"/>
  </si>
  <si>
    <t>total aircraft stock</t>
    <phoneticPr fontId="40" type="noConversion"/>
  </si>
  <si>
    <t>Assumes passenger and freight aircraft fly similar numbers of miles per year</t>
    <phoneticPr fontId="40" type="noConversion"/>
  </si>
  <si>
    <t>Passenger aircraft stock</t>
    <phoneticPr fontId="40" type="noConversion"/>
  </si>
  <si>
    <t xml:space="preserve">cargo aircraft stock </t>
    <phoneticPr fontId="40" type="noConversion"/>
  </si>
  <si>
    <t>share of aircraft-miles devoted to freight</t>
  </si>
  <si>
    <t>Distance-weighted avg. passengers / aircraft</t>
  </si>
  <si>
    <t>Distance-weighted avg. freight tons / aircraft</t>
  </si>
  <si>
    <t>Passenger HDVs (buses)</t>
  </si>
  <si>
    <t>Number of Vehicle * Total Mileage</t>
  </si>
  <si>
    <t>Distance-weighted avg. passengers/bus</t>
  </si>
  <si>
    <t>Commertial passenger road transport</t>
    <phoneticPr fontId="40" type="noConversion"/>
  </si>
  <si>
    <t xml:space="preserve">Freight HDVs </t>
    <phoneticPr fontId="40" type="noConversion"/>
  </si>
  <si>
    <t>Distance-weighted avg. tons/trucks</t>
    <phoneticPr fontId="40" type="noConversion"/>
  </si>
  <si>
    <t>Commertial freight road transport</t>
    <phoneticPr fontId="40" type="noConversion"/>
  </si>
  <si>
    <t>Passenger LDVs</t>
  </si>
  <si>
    <t>Passenger LDV use intensity - per vehicle per year</t>
    <phoneticPr fontId="40" type="noConversion"/>
  </si>
  <si>
    <t>Vehicle stock (millions)</t>
    <phoneticPr fontId="40" type="noConversion"/>
  </si>
  <si>
    <t>Private passenger road transport</t>
    <phoneticPr fontId="40" type="noConversion"/>
  </si>
  <si>
    <t>Freight Rail</t>
  </si>
  <si>
    <t>Passenger Rail</t>
  </si>
  <si>
    <t>Freight Ships</t>
  </si>
  <si>
    <t>ton-miles (millions), coastwise</t>
    <phoneticPr fontId="40" type="noConversion"/>
  </si>
  <si>
    <t>ton-miles (millions), riverwise/internal</t>
    <phoneticPr fontId="40" type="noConversion"/>
  </si>
  <si>
    <t>number of vessels</t>
    <phoneticPr fontId="40" type="noConversion"/>
  </si>
  <si>
    <t>Avg. freight tons/vessel, riverwise/inland</t>
    <phoneticPr fontId="40" type="noConversion"/>
  </si>
  <si>
    <t>Passenger Ships</t>
    <phoneticPr fontId="40" type="noConversion"/>
  </si>
  <si>
    <t>Based on marked loading, assume a 75% of inland shipping in total amount of passenger transported by ship.</t>
  </si>
  <si>
    <t>Avg. freight tons/vessel, riverwise/internal</t>
    <phoneticPr fontId="40" type="noConversion"/>
  </si>
  <si>
    <t>LDVs</t>
  </si>
  <si>
    <t>HDVs</t>
  </si>
  <si>
    <t>aircraft</t>
  </si>
  <si>
    <t>rail</t>
  </si>
  <si>
    <t>ships</t>
  </si>
  <si>
    <t>motorbikes</t>
  </si>
  <si>
    <t>Article，http://citeseerx.ist.psu.edu/viewdoc/download?doi=10.1.1.396.4005&amp;rep=rep1&amp;type=pdf</t>
    <phoneticPr fontId="40" type="noConversion"/>
  </si>
  <si>
    <t>Ministry of Public Security  http://auto.people.com.cn/n1/2018/0116/c1005-29766686.html</t>
    <phoneticPr fontId="40" type="noConversion"/>
  </si>
  <si>
    <t>Annual Development Report of Civil Aviation http://www.mot.gov.cn/tongjishuju/minhang/201806/P020180621341239857728.pdf</t>
    <phoneticPr fontId="40" type="noConversion"/>
  </si>
  <si>
    <t xml:space="preserve">Because we notice that the result of passenger HDV is somewhat strange, we use </t>
    <phoneticPr fontId="40" type="noConversion"/>
  </si>
  <si>
    <t>the U.S figure as the final value.</t>
    <phoneticPr fontId="40" type="noConversion"/>
  </si>
  <si>
    <t>Avg. passenger (per train)</t>
    <phoneticPr fontId="40" type="noConversion"/>
  </si>
  <si>
    <t>(https://baike.baidu.com/item/%E9%93%81%E8%B7%AF%E8%B4%A7%E8%BD%A6)</t>
    <phoneticPr fontId="40" type="noConversion"/>
  </si>
  <si>
    <t>Avg. freight tons (per train)</t>
    <phoneticPr fontId="40" type="noConversion"/>
  </si>
  <si>
    <t>mile</t>
  </si>
  <si>
    <t>=</t>
  </si>
  <si>
    <t>km</t>
  </si>
  <si>
    <t>Vehicle-miles, all buses (millions)</t>
    <phoneticPr fontId="40" type="noConversion"/>
  </si>
  <si>
    <t>Passenger-miles, all buses (millions)</t>
    <phoneticPr fontId="40" type="noConversion"/>
  </si>
  <si>
    <t>Vehicle-miles, all trucks (millions)</t>
    <phoneticPr fontId="40" type="noConversion"/>
  </si>
  <si>
    <t>Tons-miles, all trucks (millions)</t>
    <phoneticPr fontId="40" type="noConversion"/>
  </si>
  <si>
    <t>ton-miles (millions), cross ocean</t>
    <phoneticPr fontId="40" type="noConversion"/>
  </si>
  <si>
    <t>Total Inland navigation mileage:127100km=78978miles</t>
    <phoneticPr fontId="40" type="noConversion"/>
  </si>
  <si>
    <t>Average haul distance (mile)</t>
    <phoneticPr fontId="40" type="noConversion"/>
  </si>
  <si>
    <t>Passenger-mile (millions)</t>
    <phoneticPr fontId="40" type="noConversion"/>
  </si>
  <si>
    <t>SYVbT</t>
    <phoneticPr fontId="40" type="noConversion"/>
  </si>
  <si>
    <t>annual distance</t>
    <phoneticPr fontId="40" type="noConversion"/>
  </si>
  <si>
    <t>Total passengers</t>
    <phoneticPr fontId="40" type="noConversion"/>
  </si>
  <si>
    <t>Total freight tons</t>
    <phoneticPr fontId="40" type="noConversion"/>
  </si>
  <si>
    <t>Number of passenger ships</t>
    <phoneticPr fontId="40" type="noConversion"/>
  </si>
  <si>
    <t xml:space="preserve">For aircraft, the date calculated with China data is bit different from US data. </t>
    <phoneticPr fontId="40" type="noConversion"/>
  </si>
  <si>
    <t>Considering the rationality, we adust the results based on the US data.</t>
  </si>
  <si>
    <t>50-60 tons for feight</t>
    <phoneticPr fontId="40" type="noConversion"/>
  </si>
  <si>
    <r>
      <t>1108.8</t>
    </r>
    <r>
      <rPr>
        <sz val="12"/>
        <color rgb="FF333333"/>
        <rFont val="宋体"/>
        <family val="3"/>
        <charset val="134"/>
      </rPr>
      <t>万架次</t>
    </r>
    <phoneticPr fontId="40" type="noConversion"/>
  </si>
  <si>
    <t>万人</t>
    <phoneticPr fontId="40" type="noConversion"/>
  </si>
  <si>
    <t>Rail here means a whole train with 6-12 cars.</t>
    <phoneticPr fontId="40" type="noConversion"/>
  </si>
  <si>
    <t>BAU Cargo Distance Traveled relative to Start Year</t>
    <phoneticPr fontId="40" type="noConversion"/>
  </si>
  <si>
    <t>AVLo Average Vehicle Loading</t>
    <phoneticPr fontId="40" type="noConversion"/>
  </si>
  <si>
    <t>Annual Development Report of Rail of 2021: https://www.mot.gov.cn/tongjishuju/tielu/202205/P020220507531780768964.pdf</t>
    <phoneticPr fontId="40" type="noConversion"/>
  </si>
  <si>
    <t>source:https://www.mot.gov.cn/tongjishuju/tielu/202205/P020220507531780768964.pdf</t>
    <phoneticPr fontId="40" type="noConversion"/>
  </si>
  <si>
    <t>During 2021 new year vacation, China's railways run 9,100 passenger trains every day (https://baijiahao.baidu.com/s?id=1687940575408252000&amp;wfr=spider&amp;for=pc)</t>
    <phoneticPr fontId="40" type="noConversion"/>
  </si>
  <si>
    <t xml:space="preserve"> More details on the "rail" tab</t>
  </si>
  <si>
    <t xml:space="preserve">https://baijiahao.baidu.com/s?id=1687940575408252000&amp;wfr=spider&amp;for=pc </t>
    <phoneticPr fontId="40" type="noConversion"/>
  </si>
  <si>
    <t>average loading</t>
    <phoneticPr fontId="40" type="noConversion"/>
  </si>
  <si>
    <t>https://www.mybv.cn/mtxw/590050.html</t>
  </si>
  <si>
    <t>freight</t>
    <phoneticPr fontId="40" type="noConversion"/>
  </si>
  <si>
    <t>passenger</t>
    <phoneticPr fontId="40" type="noConversion"/>
  </si>
  <si>
    <t>https://xxgk.mot.gov.cn/2020/jigou/zhghs/202201/t20220119_3637301.html</t>
    <phoneticPr fontId="40" type="noConversion"/>
  </si>
  <si>
    <t>total ships:125900    freght ships:120000</t>
    <phoneticPr fontId="40" type="noConversion"/>
  </si>
  <si>
    <t>consistent with Shandong</t>
    <phoneticPr fontId="40" type="noConversion"/>
  </si>
  <si>
    <t>daily average amount is about 10000, https://www.sohu.com/a/537363985_161795</t>
    <phoneticPr fontId="40" type="noConversion"/>
  </si>
  <si>
    <t>7 times monthly, 12 months per year</t>
    <phoneticPr fontId="40" type="noConversion"/>
  </si>
  <si>
    <t xml:space="preserve">passenger </t>
    <phoneticPr fontId="40" type="noConversion"/>
  </si>
  <si>
    <t>total</t>
    <phoneticPr fontId="40" type="noConversion"/>
  </si>
  <si>
    <t>year：2021</t>
    <phoneticPr fontId="40" type="noConversion"/>
  </si>
  <si>
    <t>班次/万次</t>
    <phoneticPr fontId="40" type="noConversion"/>
  </si>
  <si>
    <t>https://baijiahao.baidu.com/s?id=1728890865770969590&amp;wfr=spider&amp;for=pc</t>
    <phoneticPr fontId="40" type="noConversion"/>
  </si>
  <si>
    <t>https://baijiahao.baidu.com/s?id=1721726067943270147&amp;wfr=spider&amp;for=pc</t>
    <phoneticPr fontId="40" type="noConversion"/>
  </si>
  <si>
    <t>https://baijiahao.baidu.com/s?id=1733239715752982315&amp;wfr=spider&amp;for=pc</t>
    <phoneticPr fontId="40" type="noConversion"/>
  </si>
  <si>
    <t>平均载客人数/货吨数</t>
    <phoneticPr fontId="40" type="noConversion"/>
  </si>
  <si>
    <t>https://xxgk.mot.gov.cn/2020/jigou/zhghs/202201/t20220119_3637300.html</t>
    <phoneticPr fontId="40" type="noConversion"/>
  </si>
  <si>
    <t>average tons, cross ocean</t>
    <phoneticPr fontId="40" type="noConversion"/>
  </si>
  <si>
    <t>average tons,coastwise</t>
    <phoneticPr fontId="40" type="noConversion"/>
  </si>
  <si>
    <t>average tons, riverwise/internal</t>
    <phoneticPr fontId="40" type="noConversion"/>
  </si>
  <si>
    <t>river passenger per ship</t>
    <phoneticPr fontId="40" type="noConversion"/>
  </si>
  <si>
    <t>costal passenger per ship</t>
    <phoneticPr fontId="40" type="noConversion"/>
  </si>
  <si>
    <t>cross ocean passenger per ship</t>
    <phoneticPr fontId="40" type="noConversion"/>
  </si>
  <si>
    <t>公路客运量</t>
    <phoneticPr fontId="40" type="noConversion"/>
  </si>
  <si>
    <t>50亿人</t>
    <phoneticPr fontId="40" type="noConversion"/>
  </si>
  <si>
    <t>平均运距</t>
    <phoneticPr fontId="40" type="noConversion"/>
  </si>
  <si>
    <t>71.31公里</t>
    <phoneticPr fontId="40" type="noConversion"/>
  </si>
  <si>
    <t>公路旅客周转量</t>
    <phoneticPr fontId="40" type="noConversion"/>
  </si>
  <si>
    <t>3627.54亿人公里</t>
    <phoneticPr fontId="40" type="noConversion"/>
  </si>
  <si>
    <t>能源基金会</t>
  </si>
  <si>
    <t>Preliminary investigation and research on freight industry</t>
  </si>
  <si>
    <t>HDVs LDVs freight</t>
    <phoneticPr fontId="40" type="noConversion"/>
  </si>
  <si>
    <t xml:space="preserve"> </t>
    <phoneticPr fontId="40" type="noConversion"/>
  </si>
  <si>
    <t>https://zhidao.baidu.com/question/1500326377840793819.html</t>
    <phoneticPr fontId="40" type="noConversion"/>
  </si>
  <si>
    <t>S</t>
    <phoneticPr fontId="40" type="noConversion"/>
  </si>
  <si>
    <t>吞吐量/万吨</t>
    <phoneticPr fontId="40" type="noConversion"/>
  </si>
  <si>
    <t>year：2019</t>
    <phoneticPr fontId="40" type="noConversion"/>
  </si>
  <si>
    <t>吞吐量/万人、万吨</t>
    <phoneticPr fontId="40" type="noConversion"/>
  </si>
  <si>
    <t>根据《从统计看民航（2020）》来看，上述计算结果可信度较高，因为货运和客运是一起的，客运200人-300人/架左右，货运20吨-30吨/架左右</t>
    <phoneticPr fontId="4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</si>
</sst>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0.000"/>
    <numFmt numFmtId="179" formatCode="0.0"/>
    <numFmt numFmtId="180" formatCode="###0.00_)"/>
    <numFmt numFmtId="181" formatCode="#,##0_)"/>
    <numFmt numFmtId="182" formatCode="0_ "/>
    <numFmt numFmtId="183" formatCode="0_);[Red]\(0\)"/>
    <numFmt numFmtId="184" formatCode="0.0_);[Red]\(0.0\)"/>
    <numFmt numFmtId="185" formatCode="0.00_ "/>
  </numFmts>
  <fonts count="52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8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sz val="10"/>
      <name val="Arial"/>
      <family val="2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9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2"/>
      <color indexed="30"/>
      <name val="Calibri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name val="宋体"/>
      <family val="3"/>
      <charset val="134"/>
      <scheme val="minor"/>
    </font>
    <font>
      <u/>
      <sz val="11"/>
      <color theme="11"/>
      <name val="宋体"/>
      <family val="2"/>
      <scheme val="minor"/>
    </font>
    <font>
      <sz val="11"/>
      <color rgb="FFFF0000"/>
      <name val="宋体"/>
      <family val="2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1"/>
      <name val="宋体"/>
      <family val="2"/>
      <scheme val="minor"/>
    </font>
    <font>
      <sz val="11"/>
      <color rgb="FF000000"/>
      <name val="宋体"/>
      <family val="3"/>
      <charset val="134"/>
      <scheme val="minor"/>
    </font>
    <font>
      <b/>
      <sz val="11"/>
      <color rgb="FF000000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  <font>
      <sz val="12"/>
      <color rgb="FF333333"/>
      <name val="Arial"/>
      <family val="2"/>
    </font>
    <font>
      <sz val="12"/>
      <color rgb="FF333333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9.9978637043366805E-2"/>
        <bgColor indexed="64"/>
      </patternFill>
    </fill>
  </fills>
  <borders count="2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ashed">
        <color rgb="FFBFBFB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auto="1"/>
      </bottom>
      <diagonal/>
    </border>
  </borders>
  <cellStyleXfs count="186">
    <xf numFmtId="0" fontId="0" fillId="0" borderId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2" borderId="0" applyNumberFormat="0" applyBorder="0" applyAlignment="0" applyProtection="0"/>
    <xf numFmtId="0" fontId="5" fillId="6" borderId="0" applyNumberFormat="0" applyBorder="0" applyAlignment="0" applyProtection="0"/>
    <xf numFmtId="0" fontId="6" fillId="0" borderId="2" applyNumberFormat="0" applyFont="0" applyProtection="0">
      <alignment wrapText="1"/>
    </xf>
    <xf numFmtId="0" fontId="6" fillId="0" borderId="2" applyNumberFormat="0" applyFont="0" applyProtection="0">
      <alignment wrapText="1"/>
    </xf>
    <xf numFmtId="0" fontId="7" fillId="23" borderId="3" applyNumberFormat="0" applyAlignment="0" applyProtection="0"/>
    <xf numFmtId="0" fontId="8" fillId="24" borderId="4" applyNumberFormat="0" applyAlignment="0" applyProtection="0"/>
    <xf numFmtId="0" fontId="9" fillId="0" borderId="0">
      <alignment horizontal="center" vertical="center" wrapText="1"/>
    </xf>
    <xf numFmtId="177" fontId="10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10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11" fillId="0" borderId="0">
      <alignment horizontal="left" vertical="center" wrapText="1"/>
    </xf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10" fillId="0" borderId="0" applyFont="0" applyFill="0" applyBorder="0" applyAlignment="0" applyProtection="0"/>
    <xf numFmtId="180" fontId="12" fillId="0" borderId="5" applyNumberFormat="0" applyFill="0">
      <alignment horizontal="right"/>
    </xf>
    <xf numFmtId="180" fontId="13" fillId="0" borderId="5" applyNumberFormat="0" applyFill="0">
      <alignment horizontal="right"/>
    </xf>
    <xf numFmtId="181" fontId="14" fillId="0" borderId="5">
      <alignment horizontal="right" vertical="center"/>
    </xf>
    <xf numFmtId="49" fontId="15" fillId="0" borderId="5">
      <alignment horizontal="left" vertical="center"/>
    </xf>
    <xf numFmtId="180" fontId="12" fillId="0" borderId="5" applyNumberFormat="0" applyFill="0">
      <alignment horizontal="right"/>
    </xf>
    <xf numFmtId="0" fontId="1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6" applyNumberFormat="0" applyProtection="0">
      <alignment wrapText="1"/>
    </xf>
    <xf numFmtId="0" fontId="6" fillId="0" borderId="6" applyNumberFormat="0" applyProtection="0">
      <alignment wrapText="1"/>
    </xf>
    <xf numFmtId="0" fontId="17" fillId="7" borderId="0" applyNumberFormat="0" applyBorder="0" applyAlignment="0" applyProtection="0"/>
    <xf numFmtId="0" fontId="18" fillId="0" borderId="7" applyNumberFormat="0" applyProtection="0">
      <alignment wrapText="1"/>
    </xf>
    <xf numFmtId="0" fontId="18" fillId="0" borderId="7" applyNumberFormat="0" applyProtection="0">
      <alignment wrapText="1"/>
    </xf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1" fillId="0" borderId="10" applyNumberFormat="0" applyFill="0" applyAlignment="0" applyProtection="0"/>
    <xf numFmtId="0" fontId="21" fillId="0" borderId="0" applyNumberFormat="0" applyFill="0" applyBorder="0" applyAlignment="0" applyProtection="0"/>
    <xf numFmtId="0" fontId="22" fillId="0" borderId="5">
      <alignment horizontal="left"/>
    </xf>
    <xf numFmtId="0" fontId="23" fillId="0" borderId="5">
      <alignment horizontal="left"/>
    </xf>
    <xf numFmtId="0" fontId="24" fillId="0" borderId="11">
      <alignment horizontal="right" vertical="center"/>
    </xf>
    <xf numFmtId="0" fontId="25" fillId="0" borderId="5">
      <alignment horizontal="left" vertical="center"/>
    </xf>
    <xf numFmtId="0" fontId="12" fillId="0" borderId="5">
      <alignment horizontal="left" vertical="center"/>
    </xf>
    <xf numFmtId="0" fontId="22" fillId="0" borderId="5">
      <alignment horizontal="left"/>
    </xf>
    <xf numFmtId="0" fontId="22" fillId="25" borderId="0">
      <alignment horizontal="centerContinuous" wrapText="1"/>
    </xf>
    <xf numFmtId="49" fontId="22" fillId="25" borderId="12">
      <alignment horizontal="left" vertical="center"/>
    </xf>
    <xf numFmtId="0" fontId="22" fillId="25" borderId="0">
      <alignment horizontal="centerContinuous" vertical="center" wrapText="1"/>
    </xf>
    <xf numFmtId="0" fontId="26" fillId="0" borderId="0" applyNumberFormat="0" applyFill="0" applyBorder="0" applyAlignment="0" applyProtection="0">
      <alignment vertical="top"/>
      <protection locked="0"/>
    </xf>
    <xf numFmtId="0" fontId="27" fillId="10" borderId="3" applyNumberFormat="0" applyAlignment="0" applyProtection="0"/>
    <xf numFmtId="0" fontId="28" fillId="0" borderId="13" applyNumberFormat="0" applyFill="0" applyAlignment="0" applyProtection="0"/>
    <xf numFmtId="0" fontId="29" fillId="26" borderId="0" applyNumberFormat="0" applyBorder="0" applyAlignment="0" applyProtection="0"/>
    <xf numFmtId="0" fontId="2" fillId="0" borderId="0"/>
    <xf numFmtId="0" fontId="2" fillId="0" borderId="0"/>
    <xf numFmtId="0" fontId="6" fillId="0" borderId="0"/>
    <xf numFmtId="0" fontId="10" fillId="0" borderId="0"/>
    <xf numFmtId="0" fontId="30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4" borderId="1" applyNumberFormat="0" applyFont="0" applyAlignment="0" applyProtection="0"/>
    <xf numFmtId="0" fontId="10" fillId="27" borderId="14" applyNumberFormat="0" applyFont="0" applyAlignment="0" applyProtection="0"/>
    <xf numFmtId="0" fontId="31" fillId="23" borderId="15" applyNumberFormat="0" applyAlignment="0" applyProtection="0"/>
    <xf numFmtId="0" fontId="18" fillId="0" borderId="16" applyNumberFormat="0" applyProtection="0">
      <alignment wrapText="1"/>
    </xf>
    <xf numFmtId="0" fontId="18" fillId="0" borderId="16" applyNumberFormat="0" applyProtection="0">
      <alignment wrapText="1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" fillId="0" borderId="0" applyFont="0" applyFill="0" applyBorder="0" applyAlignment="0" applyProtection="0"/>
    <xf numFmtId="3" fontId="14" fillId="0" borderId="0">
      <alignment horizontal="left" vertical="center"/>
    </xf>
    <xf numFmtId="0" fontId="9" fillId="0" borderId="0">
      <alignment horizontal="left" vertical="center"/>
    </xf>
    <xf numFmtId="0" fontId="32" fillId="0" borderId="0">
      <alignment horizontal="right"/>
    </xf>
    <xf numFmtId="49" fontId="32" fillId="0" borderId="0">
      <alignment horizontal="center"/>
    </xf>
    <xf numFmtId="0" fontId="15" fillId="0" borderId="0">
      <alignment horizontal="right"/>
    </xf>
    <xf numFmtId="0" fontId="33" fillId="0" borderId="0">
      <alignment horizontal="right"/>
    </xf>
    <xf numFmtId="0" fontId="32" fillId="0" borderId="0">
      <alignment horizontal="left"/>
    </xf>
    <xf numFmtId="0" fontId="34" fillId="0" borderId="0">
      <alignment horizontal="left"/>
    </xf>
    <xf numFmtId="49" fontId="14" fillId="0" borderId="0">
      <alignment horizontal="left" vertical="center"/>
    </xf>
    <xf numFmtId="49" fontId="15" fillId="0" borderId="5">
      <alignment horizontal="left"/>
    </xf>
    <xf numFmtId="180" fontId="14" fillId="0" borderId="0" applyNumberFormat="0">
      <alignment horizontal="right"/>
    </xf>
    <xf numFmtId="0" fontId="24" fillId="28" borderId="0">
      <alignment horizontal="centerContinuous" vertical="center" wrapText="1"/>
    </xf>
    <xf numFmtId="0" fontId="24" fillId="0" borderId="17">
      <alignment horizontal="left" vertical="center"/>
    </xf>
    <xf numFmtId="0" fontId="35" fillId="0" borderId="0" applyNumberFormat="0" applyProtection="0">
      <alignment horizontal="left"/>
    </xf>
    <xf numFmtId="0" fontId="35" fillId="0" borderId="0" applyNumberFormat="0" applyProtection="0">
      <alignment horizontal="left"/>
    </xf>
    <xf numFmtId="0" fontId="36" fillId="0" borderId="0" applyNumberFormat="0" applyFill="0" applyBorder="0" applyAlignment="0" applyProtection="0"/>
    <xf numFmtId="0" fontId="22" fillId="0" borderId="0">
      <alignment horizontal="left"/>
    </xf>
    <xf numFmtId="0" fontId="11" fillId="0" borderId="0">
      <alignment horizontal="left"/>
    </xf>
    <xf numFmtId="0" fontId="12" fillId="0" borderId="0">
      <alignment horizontal="left"/>
    </xf>
    <xf numFmtId="0" fontId="37" fillId="0" borderId="0">
      <alignment horizontal="left" vertical="top"/>
    </xf>
    <xf numFmtId="0" fontId="11" fillId="0" borderId="0">
      <alignment horizontal="left"/>
    </xf>
    <xf numFmtId="0" fontId="12" fillId="0" borderId="0">
      <alignment horizontal="left"/>
    </xf>
    <xf numFmtId="0" fontId="38" fillId="0" borderId="18" applyNumberFormat="0" applyFill="0" applyAlignment="0" applyProtection="0"/>
    <xf numFmtId="0" fontId="39" fillId="0" borderId="0" applyNumberFormat="0" applyFill="0" applyBorder="0" applyAlignment="0" applyProtection="0"/>
    <xf numFmtId="49" fontId="14" fillId="0" borderId="5">
      <alignment horizontal="left"/>
    </xf>
    <xf numFmtId="0" fontId="24" fillId="0" borderId="11">
      <alignment horizontal="left"/>
    </xf>
    <xf numFmtId="0" fontId="22" fillId="0" borderId="0">
      <alignment horizontal="left" vertical="center"/>
    </xf>
    <xf numFmtId="49" fontId="32" fillId="0" borderId="5">
      <alignment horizontal="left"/>
    </xf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8" fillId="0" borderId="0" applyNumberFormat="0" applyFill="0" applyBorder="0" applyAlignment="0" applyProtection="0"/>
  </cellStyleXfs>
  <cellXfs count="43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0" borderId="0" xfId="0" applyFont="1" applyAlignment="1">
      <alignment horizontal="right"/>
    </xf>
    <xf numFmtId="1" fontId="0" fillId="0" borderId="0" xfId="0" applyNumberFormat="1"/>
    <xf numFmtId="179" fontId="0" fillId="0" borderId="0" xfId="0" applyNumberFormat="1"/>
    <xf numFmtId="182" fontId="0" fillId="0" borderId="0" xfId="0" applyNumberFormat="1" applyAlignment="1">
      <alignment horizontal="right"/>
    </xf>
    <xf numFmtId="0" fontId="0" fillId="0" borderId="19" xfId="0" applyBorder="1"/>
    <xf numFmtId="0" fontId="0" fillId="0" borderId="12" xfId="0" applyBorder="1"/>
    <xf numFmtId="178" fontId="0" fillId="0" borderId="12" xfId="0" applyNumberFormat="1" applyBorder="1"/>
    <xf numFmtId="0" fontId="0" fillId="29" borderId="19" xfId="0" applyFill="1" applyBorder="1"/>
    <xf numFmtId="179" fontId="0" fillId="29" borderId="19" xfId="0" applyNumberFormat="1" applyFill="1" applyBorder="1"/>
    <xf numFmtId="0" fontId="0" fillId="29" borderId="20" xfId="0" applyFill="1" applyBorder="1"/>
    <xf numFmtId="179" fontId="0" fillId="29" borderId="20" xfId="0" applyNumberFormat="1" applyFill="1" applyBorder="1"/>
    <xf numFmtId="183" fontId="0" fillId="0" borderId="0" xfId="0" applyNumberFormat="1"/>
    <xf numFmtId="184" fontId="0" fillId="29" borderId="20" xfId="0" applyNumberFormat="1" applyFill="1" applyBorder="1"/>
    <xf numFmtId="0" fontId="0" fillId="30" borderId="0" xfId="0" applyFill="1"/>
    <xf numFmtId="0" fontId="0" fillId="30" borderId="20" xfId="0" applyFill="1" applyBorder="1"/>
    <xf numFmtId="0" fontId="0" fillId="0" borderId="0" xfId="0" applyAlignment="1">
      <alignment horizontal="left" vertical="top"/>
    </xf>
    <xf numFmtId="1" fontId="0" fillId="29" borderId="20" xfId="0" applyNumberFormat="1" applyFill="1" applyBorder="1"/>
    <xf numFmtId="1" fontId="0" fillId="30" borderId="20" xfId="0" applyNumberFormat="1" applyFill="1" applyBorder="1"/>
    <xf numFmtId="185" fontId="0" fillId="0" borderId="0" xfId="0" applyNumberFormat="1"/>
    <xf numFmtId="0" fontId="0" fillId="3" borderId="0" xfId="0" applyFill="1"/>
    <xf numFmtId="185" fontId="45" fillId="0" borderId="0" xfId="0" applyNumberFormat="1" applyFont="1"/>
    <xf numFmtId="179" fontId="42" fillId="30" borderId="20" xfId="0" applyNumberFormat="1" applyFont="1" applyFill="1" applyBorder="1"/>
    <xf numFmtId="0" fontId="42" fillId="0" borderId="0" xfId="0" applyFont="1"/>
    <xf numFmtId="0" fontId="0" fillId="0" borderId="0" xfId="0" applyAlignment="1">
      <alignment horizontal="center" vertical="center"/>
    </xf>
    <xf numFmtId="1" fontId="42" fillId="0" borderId="0" xfId="0" applyNumberFormat="1" applyFont="1"/>
    <xf numFmtId="182" fontId="0" fillId="0" borderId="0" xfId="0" applyNumberFormat="1"/>
    <xf numFmtId="0" fontId="0" fillId="0" borderId="0" xfId="0" applyAlignment="1">
      <alignment horizontal="center"/>
    </xf>
    <xf numFmtId="185" fontId="0" fillId="0" borderId="0" xfId="0" applyNumberFormat="1" applyAlignment="1">
      <alignment horizontal="right"/>
    </xf>
    <xf numFmtId="0" fontId="46" fillId="0" borderId="0" xfId="0" applyFont="1"/>
    <xf numFmtId="0" fontId="47" fillId="0" borderId="0" xfId="0" applyFont="1"/>
    <xf numFmtId="0" fontId="48" fillId="0" borderId="0" xfId="185"/>
    <xf numFmtId="0" fontId="49" fillId="0" borderId="0" xfId="0" applyFont="1"/>
    <xf numFmtId="0" fontId="0" fillId="0" borderId="0" xfId="0" applyAlignment="1">
      <alignment horizontal="left"/>
    </xf>
    <xf numFmtId="0" fontId="48" fillId="0" borderId="0" xfId="185" applyAlignment="1">
      <alignment horizontal="center"/>
    </xf>
    <xf numFmtId="0" fontId="0" fillId="31" borderId="0" xfId="0" applyFill="1"/>
    <xf numFmtId="1" fontId="0" fillId="31" borderId="20" xfId="0" applyNumberFormat="1" applyFill="1" applyBorder="1"/>
    <xf numFmtId="185" fontId="0" fillId="3" borderId="0" xfId="0" applyNumberFormat="1" applyFill="1"/>
    <xf numFmtId="0" fontId="51" fillId="2" borderId="0" xfId="0" applyFont="1" applyFill="1"/>
    <xf numFmtId="0" fontId="0" fillId="32" borderId="0" xfId="0" applyFill="1" applyAlignment="1">
      <alignment horizontal="center" wrapText="1"/>
    </xf>
    <xf numFmtId="0" fontId="0" fillId="0" borderId="0" xfId="0" applyAlignment="1">
      <alignment horizontal="left" wrapText="1"/>
    </xf>
  </cellXfs>
  <cellStyles count="186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Body: normal cell" xfId="26" xr:uid="{00000000-0005-0000-0000-000019000000}"/>
    <cellStyle name="Body: normal cell 2" xfId="27" xr:uid="{00000000-0005-0000-0000-00001A000000}"/>
    <cellStyle name="Calculation 2" xfId="28" xr:uid="{00000000-0005-0000-0000-00001B000000}"/>
    <cellStyle name="Check Cell 2" xfId="29" xr:uid="{00000000-0005-0000-0000-00001C000000}"/>
    <cellStyle name="Column heading" xfId="30" xr:uid="{00000000-0005-0000-0000-00001D000000}"/>
    <cellStyle name="Comma 2" xfId="31" xr:uid="{00000000-0005-0000-0000-00001E000000}"/>
    <cellStyle name="Comma 2 2" xfId="32" xr:uid="{00000000-0005-0000-0000-00001F000000}"/>
    <cellStyle name="Comma 3" xfId="33" xr:uid="{00000000-0005-0000-0000-000020000000}"/>
    <cellStyle name="Comma 4" xfId="34" xr:uid="{00000000-0005-0000-0000-000021000000}"/>
    <cellStyle name="Comma 5" xfId="35" xr:uid="{00000000-0005-0000-0000-000022000000}"/>
    <cellStyle name="Comma 6" xfId="36" xr:uid="{00000000-0005-0000-0000-000023000000}"/>
    <cellStyle name="Comma 7" xfId="37" xr:uid="{00000000-0005-0000-0000-000024000000}"/>
    <cellStyle name="Comma 8" xfId="38" xr:uid="{00000000-0005-0000-0000-000025000000}"/>
    <cellStyle name="Corner heading" xfId="39" xr:uid="{00000000-0005-0000-0000-000026000000}"/>
    <cellStyle name="Currency 2" xfId="40" xr:uid="{00000000-0005-0000-0000-000027000000}"/>
    <cellStyle name="Currency 3" xfId="41" xr:uid="{00000000-0005-0000-0000-000028000000}"/>
    <cellStyle name="Currency 3 2" xfId="42" xr:uid="{00000000-0005-0000-0000-000029000000}"/>
    <cellStyle name="Data" xfId="43" xr:uid="{00000000-0005-0000-0000-00002A000000}"/>
    <cellStyle name="Data 2" xfId="44" xr:uid="{00000000-0005-0000-0000-00002B000000}"/>
    <cellStyle name="Data no deci" xfId="45" xr:uid="{00000000-0005-0000-0000-00002C000000}"/>
    <cellStyle name="Data Superscript" xfId="46" xr:uid="{00000000-0005-0000-0000-00002D000000}"/>
    <cellStyle name="Data_1-1A-Regular" xfId="47" xr:uid="{00000000-0005-0000-0000-00002E000000}"/>
    <cellStyle name="Explanatory Text 2" xfId="48" xr:uid="{00000000-0005-0000-0000-00002F000000}"/>
    <cellStyle name="Font: Calibri, 9pt regular" xfId="49" xr:uid="{00000000-0005-0000-0000-000050000000}"/>
    <cellStyle name="Font: Calibri, 9pt regular 2" xfId="50" xr:uid="{00000000-0005-0000-0000-000051000000}"/>
    <cellStyle name="Footnotes: top row" xfId="51" xr:uid="{00000000-0005-0000-0000-000052000000}"/>
    <cellStyle name="Footnotes: top row 2" xfId="52" xr:uid="{00000000-0005-0000-0000-000053000000}"/>
    <cellStyle name="Good 2" xfId="53" xr:uid="{00000000-0005-0000-0000-000054000000}"/>
    <cellStyle name="Header: bottom row" xfId="54" xr:uid="{00000000-0005-0000-0000-000055000000}"/>
    <cellStyle name="Header: bottom row 2" xfId="55" xr:uid="{00000000-0005-0000-0000-000056000000}"/>
    <cellStyle name="Heading 1 2" xfId="56" xr:uid="{00000000-0005-0000-0000-000057000000}"/>
    <cellStyle name="Heading 2 2" xfId="57" xr:uid="{00000000-0005-0000-0000-000058000000}"/>
    <cellStyle name="Heading 3 2" xfId="58" xr:uid="{00000000-0005-0000-0000-000059000000}"/>
    <cellStyle name="Heading 4 2" xfId="59" xr:uid="{00000000-0005-0000-0000-00005A000000}"/>
    <cellStyle name="Hed Side" xfId="60" xr:uid="{00000000-0005-0000-0000-00005B000000}"/>
    <cellStyle name="Hed Side 2" xfId="61" xr:uid="{00000000-0005-0000-0000-00005C000000}"/>
    <cellStyle name="Hed Side bold" xfId="62" xr:uid="{00000000-0005-0000-0000-00005D000000}"/>
    <cellStyle name="Hed Side Indent" xfId="63" xr:uid="{00000000-0005-0000-0000-00005E000000}"/>
    <cellStyle name="Hed Side Regular" xfId="64" xr:uid="{00000000-0005-0000-0000-00005F000000}"/>
    <cellStyle name="Hed Side_1-1A-Regular" xfId="65" xr:uid="{00000000-0005-0000-0000-000060000000}"/>
    <cellStyle name="Hed Top" xfId="66" xr:uid="{00000000-0005-0000-0000-000061000000}"/>
    <cellStyle name="Hed Top - SECTION" xfId="67" xr:uid="{00000000-0005-0000-0000-000062000000}"/>
    <cellStyle name="Hed Top_3-new4" xfId="68" xr:uid="{00000000-0005-0000-0000-000063000000}"/>
    <cellStyle name="Hyperlink 2" xfId="69" xr:uid="{00000000-0005-0000-0000-000065000000}"/>
    <cellStyle name="Input 2" xfId="70" xr:uid="{00000000-0005-0000-0000-000066000000}"/>
    <cellStyle name="Linked Cell 2" xfId="71" xr:uid="{00000000-0005-0000-0000-000067000000}"/>
    <cellStyle name="Neutral 2" xfId="72" xr:uid="{00000000-0005-0000-0000-000068000000}"/>
    <cellStyle name="Normal 10" xfId="73" xr:uid="{00000000-0005-0000-0000-00006A000000}"/>
    <cellStyle name="Normal 11" xfId="74" xr:uid="{00000000-0005-0000-0000-00006B000000}"/>
    <cellStyle name="Normal 2" xfId="75" xr:uid="{00000000-0005-0000-0000-00006C000000}"/>
    <cellStyle name="Normal 2 2" xfId="76" xr:uid="{00000000-0005-0000-0000-00006D000000}"/>
    <cellStyle name="Normal 2 3" xfId="77" xr:uid="{00000000-0005-0000-0000-00006E000000}"/>
    <cellStyle name="Normal 3" xfId="78" xr:uid="{00000000-0005-0000-0000-00006F000000}"/>
    <cellStyle name="Normal 3 2" xfId="79" xr:uid="{00000000-0005-0000-0000-000070000000}"/>
    <cellStyle name="Normal 3 2 2" xfId="80" xr:uid="{00000000-0005-0000-0000-000071000000}"/>
    <cellStyle name="Normal 3 2 2 2" xfId="81" xr:uid="{00000000-0005-0000-0000-000072000000}"/>
    <cellStyle name="Normal 3 2 3" xfId="82" xr:uid="{00000000-0005-0000-0000-000073000000}"/>
    <cellStyle name="Normal 3 3" xfId="83" xr:uid="{00000000-0005-0000-0000-000074000000}"/>
    <cellStyle name="Normal 3 3 2" xfId="84" xr:uid="{00000000-0005-0000-0000-000075000000}"/>
    <cellStyle name="Normal 3 3 2 2" xfId="85" xr:uid="{00000000-0005-0000-0000-000076000000}"/>
    <cellStyle name="Normal 3 3 3" xfId="86" xr:uid="{00000000-0005-0000-0000-000077000000}"/>
    <cellStyle name="Normal 3 4" xfId="87" xr:uid="{00000000-0005-0000-0000-000078000000}"/>
    <cellStyle name="Normal 3 4 2" xfId="88" xr:uid="{00000000-0005-0000-0000-000079000000}"/>
    <cellStyle name="Normal 3 5" xfId="89" xr:uid="{00000000-0005-0000-0000-00007A000000}"/>
    <cellStyle name="Normal 3 6" xfId="90" xr:uid="{00000000-0005-0000-0000-00007B000000}"/>
    <cellStyle name="Normal 3 7" xfId="91" xr:uid="{00000000-0005-0000-0000-00007C000000}"/>
    <cellStyle name="Normal 4" xfId="92" xr:uid="{00000000-0005-0000-0000-00007D000000}"/>
    <cellStyle name="Normal 4 2" xfId="93" xr:uid="{00000000-0005-0000-0000-00007E000000}"/>
    <cellStyle name="Normal 4 2 2" xfId="94" xr:uid="{00000000-0005-0000-0000-00007F000000}"/>
    <cellStyle name="Normal 4 2 2 2" xfId="95" xr:uid="{00000000-0005-0000-0000-000080000000}"/>
    <cellStyle name="Normal 4 2 3" xfId="96" xr:uid="{00000000-0005-0000-0000-000081000000}"/>
    <cellStyle name="Normal 4 3" xfId="97" xr:uid="{00000000-0005-0000-0000-000082000000}"/>
    <cellStyle name="Normal 4 3 2" xfId="98" xr:uid="{00000000-0005-0000-0000-000083000000}"/>
    <cellStyle name="Normal 4 3 2 2" xfId="99" xr:uid="{00000000-0005-0000-0000-000084000000}"/>
    <cellStyle name="Normal 4 3 3" xfId="100" xr:uid="{00000000-0005-0000-0000-000085000000}"/>
    <cellStyle name="Normal 4 4" xfId="101" xr:uid="{00000000-0005-0000-0000-000086000000}"/>
    <cellStyle name="Normal 4 4 2" xfId="102" xr:uid="{00000000-0005-0000-0000-000087000000}"/>
    <cellStyle name="Normal 4 5" xfId="103" xr:uid="{00000000-0005-0000-0000-000088000000}"/>
    <cellStyle name="Normal 4 6" xfId="104" xr:uid="{00000000-0005-0000-0000-000089000000}"/>
    <cellStyle name="Normal 4 7" xfId="105" xr:uid="{00000000-0005-0000-0000-00008A000000}"/>
    <cellStyle name="Normal 5" xfId="106" xr:uid="{00000000-0005-0000-0000-00008B000000}"/>
    <cellStyle name="Normal 5 2" xfId="107" xr:uid="{00000000-0005-0000-0000-00008C000000}"/>
    <cellStyle name="Normal 5 3" xfId="108" xr:uid="{00000000-0005-0000-0000-00008D000000}"/>
    <cellStyle name="Normal 6" xfId="109" xr:uid="{00000000-0005-0000-0000-00008E000000}"/>
    <cellStyle name="Normal 6 2" xfId="110" xr:uid="{00000000-0005-0000-0000-00008F000000}"/>
    <cellStyle name="Normal 7" xfId="111" xr:uid="{00000000-0005-0000-0000-000090000000}"/>
    <cellStyle name="Normal 7 2" xfId="112" xr:uid="{00000000-0005-0000-0000-000091000000}"/>
    <cellStyle name="Normal 8" xfId="113" xr:uid="{00000000-0005-0000-0000-000092000000}"/>
    <cellStyle name="Normal 9" xfId="114" xr:uid="{00000000-0005-0000-0000-000093000000}"/>
    <cellStyle name="Note 2" xfId="115" xr:uid="{00000000-0005-0000-0000-000094000000}"/>
    <cellStyle name="Note 2 2" xfId="116" xr:uid="{00000000-0005-0000-0000-000095000000}"/>
    <cellStyle name="Output 2" xfId="117" xr:uid="{00000000-0005-0000-0000-000096000000}"/>
    <cellStyle name="Parent row" xfId="118" xr:uid="{00000000-0005-0000-0000-000097000000}"/>
    <cellStyle name="Parent row 2" xfId="119" xr:uid="{00000000-0005-0000-0000-000098000000}"/>
    <cellStyle name="Percent 2" xfId="120" xr:uid="{00000000-0005-0000-0000-000099000000}"/>
    <cellStyle name="Percent 2 2" xfId="121" xr:uid="{00000000-0005-0000-0000-00009A000000}"/>
    <cellStyle name="Percent 3" xfId="122" xr:uid="{00000000-0005-0000-0000-00009B000000}"/>
    <cellStyle name="Percent 3 2" xfId="123" xr:uid="{00000000-0005-0000-0000-00009C000000}"/>
    <cellStyle name="Percent 4" xfId="124" xr:uid="{00000000-0005-0000-0000-00009D000000}"/>
    <cellStyle name="Reference" xfId="125" xr:uid="{00000000-0005-0000-0000-00009E000000}"/>
    <cellStyle name="Row heading" xfId="126" xr:uid="{00000000-0005-0000-0000-00009F000000}"/>
    <cellStyle name="Source Hed" xfId="127" xr:uid="{00000000-0005-0000-0000-0000A0000000}"/>
    <cellStyle name="Source Letter" xfId="128" xr:uid="{00000000-0005-0000-0000-0000A1000000}"/>
    <cellStyle name="Source Superscript" xfId="129" xr:uid="{00000000-0005-0000-0000-0000A2000000}"/>
    <cellStyle name="Source Superscript 2" xfId="130" xr:uid="{00000000-0005-0000-0000-0000A3000000}"/>
    <cellStyle name="Source Text" xfId="131" xr:uid="{00000000-0005-0000-0000-0000A4000000}"/>
    <cellStyle name="Source Text 2" xfId="132" xr:uid="{00000000-0005-0000-0000-0000A5000000}"/>
    <cellStyle name="State" xfId="133" xr:uid="{00000000-0005-0000-0000-0000A6000000}"/>
    <cellStyle name="Superscript" xfId="134" xr:uid="{00000000-0005-0000-0000-0000A7000000}"/>
    <cellStyle name="Table Data" xfId="135" xr:uid="{00000000-0005-0000-0000-0000A8000000}"/>
    <cellStyle name="Table Head Top" xfId="136" xr:uid="{00000000-0005-0000-0000-0000A9000000}"/>
    <cellStyle name="Table Hed Side" xfId="137" xr:uid="{00000000-0005-0000-0000-0000AA000000}"/>
    <cellStyle name="Table title" xfId="138" xr:uid="{00000000-0005-0000-0000-0000AB000000}"/>
    <cellStyle name="Table title 2" xfId="139" xr:uid="{00000000-0005-0000-0000-0000AC000000}"/>
    <cellStyle name="Title 2" xfId="140" xr:uid="{00000000-0005-0000-0000-0000AD000000}"/>
    <cellStyle name="Title Text" xfId="141" xr:uid="{00000000-0005-0000-0000-0000AE000000}"/>
    <cellStyle name="Title Text 1" xfId="142" xr:uid="{00000000-0005-0000-0000-0000AF000000}"/>
    <cellStyle name="Title Text 2" xfId="143" xr:uid="{00000000-0005-0000-0000-0000B0000000}"/>
    <cellStyle name="Title-1" xfId="144" xr:uid="{00000000-0005-0000-0000-0000B1000000}"/>
    <cellStyle name="Title-2" xfId="145" xr:uid="{00000000-0005-0000-0000-0000B2000000}"/>
    <cellStyle name="Title-3" xfId="146" xr:uid="{00000000-0005-0000-0000-0000B3000000}"/>
    <cellStyle name="Total 2" xfId="147" xr:uid="{00000000-0005-0000-0000-0000B4000000}"/>
    <cellStyle name="Warning Text 2" xfId="148" xr:uid="{00000000-0005-0000-0000-0000B5000000}"/>
    <cellStyle name="Wrap" xfId="149" xr:uid="{00000000-0005-0000-0000-0000B6000000}"/>
    <cellStyle name="Wrap Bold" xfId="150" xr:uid="{00000000-0005-0000-0000-0000B7000000}"/>
    <cellStyle name="Wrap Title" xfId="151" xr:uid="{00000000-0005-0000-0000-0000B8000000}"/>
    <cellStyle name="Wrap_NTS99-~11" xfId="152" xr:uid="{00000000-0005-0000-0000-0000B9000000}"/>
    <cellStyle name="常规" xfId="0" builtinId="0"/>
    <cellStyle name="超链接" xfId="185" builtinId="8"/>
    <cellStyle name="已访问的超链接" xfId="155" builtinId="9" hidden="1"/>
    <cellStyle name="已访问的超链接" xfId="156" builtinId="9" hidden="1"/>
    <cellStyle name="已访问的超链接" xfId="157" builtinId="9" hidden="1"/>
    <cellStyle name="已访问的超链接" xfId="153" builtinId="9" hidden="1"/>
    <cellStyle name="已访问的超链接" xfId="154" builtinId="9" hidden="1"/>
    <cellStyle name="已访问的超链接" xfId="163" builtinId="9" hidden="1"/>
    <cellStyle name="已访问的超链接" xfId="170" builtinId="9" hidden="1"/>
    <cellStyle name="已访问的超链接" xfId="171" builtinId="9" hidden="1"/>
    <cellStyle name="已访问的超链接" xfId="172" builtinId="9" hidden="1"/>
    <cellStyle name="已访问的超链接" xfId="174" builtinId="9" hidden="1"/>
    <cellStyle name="已访问的超链接" xfId="176" builtinId="9" hidden="1"/>
    <cellStyle name="已访问的超链接" xfId="177" builtinId="9" hidden="1"/>
    <cellStyle name="已访问的超链接" xfId="178" builtinId="9" hidden="1"/>
    <cellStyle name="已访问的超链接" xfId="175" builtinId="9" hidden="1"/>
    <cellStyle name="已访问的超链接" xfId="167" builtinId="9" hidden="1"/>
    <cellStyle name="已访问的超链接" xfId="158" builtinId="9" hidden="1"/>
    <cellStyle name="已访问的超链接" xfId="160" builtinId="9" hidden="1"/>
    <cellStyle name="已访问的超链接" xfId="161" builtinId="9" hidden="1"/>
    <cellStyle name="已访问的超链接" xfId="162" builtinId="9" hidden="1"/>
    <cellStyle name="已访问的超链接" xfId="159" builtinId="9" hidden="1"/>
    <cellStyle name="已访问的超链接" xfId="173" builtinId="9" hidden="1"/>
    <cellStyle name="已访问的超链接" xfId="179" builtinId="9" hidden="1"/>
    <cellStyle name="已访问的超链接" xfId="164" builtinId="9" hidden="1"/>
    <cellStyle name="已访问的超链接" xfId="165" builtinId="9" hidden="1"/>
    <cellStyle name="已访问的超链接" xfId="166" builtinId="9" hidden="1"/>
    <cellStyle name="已访问的超链接" xfId="168" builtinId="9" hidden="1"/>
    <cellStyle name="已访问的超链接" xfId="169" builtinId="9" hidden="1"/>
    <cellStyle name="已访问的超链接" xfId="182" builtinId="9" hidden="1"/>
    <cellStyle name="已访问的超链接" xfId="184" builtinId="9" hidden="1"/>
    <cellStyle name="已访问的超链接" xfId="183" builtinId="9" hidden="1"/>
    <cellStyle name="已访问的超链接" xfId="181" builtinId="9" hidden="1"/>
    <cellStyle name="已访问的超链接" xfId="180" builtinId="9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4065270</xdr:colOff>
      <xdr:row>17</xdr:row>
      <xdr:rowOff>91440</xdr:rowOff>
    </xdr:from>
    <xdr:to>
      <xdr:col>6</xdr:col>
      <xdr:colOff>130621</xdr:colOff>
      <xdr:row>59</xdr:row>
      <xdr:rowOff>63927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F02D028D-9599-92A2-7F18-A309446305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89670" y="3196590"/>
          <a:ext cx="7752526" cy="761153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434341</xdr:colOff>
      <xdr:row>13</xdr:row>
      <xdr:rowOff>99060</xdr:rowOff>
    </xdr:from>
    <xdr:to>
      <xdr:col>10</xdr:col>
      <xdr:colOff>608203</xdr:colOff>
      <xdr:row>28</xdr:row>
      <xdr:rowOff>152932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9E1FE8F5-2A30-B19F-1711-FFD827624B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49841" y="2476500"/>
          <a:ext cx="3831462" cy="389435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newri.sharepoint.com/WINDOWS/TEMP/USFreight97-9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l shipments 93-97"/>
      <sheetName val="Waterborne Flows 93-97"/>
      <sheetName val="Air and vessel 93-97"/>
      <sheetName val="Figure 2 compare"/>
      <sheetName val="Factors Comparisons"/>
      <sheetName val="1997  Table 1a Modified"/>
      <sheetName val="Figure 1"/>
      <sheetName val="1993-97 Table 1  US Highlights"/>
      <sheetName val="93-97 US Freight Table 1"/>
      <sheetName val="93-97 US Freight Table 1 (b)"/>
      <sheetName val="93-97 Percents Tab 2&amp;3"/>
      <sheetName val="Integrated View 93-97"/>
      <sheetName val="Figure 3 modal shares"/>
      <sheetName val="1993-97 Percents"/>
      <sheetName val="BTS &amp; ORNL estimates"/>
      <sheetName val="Oil Pipeline (2)"/>
      <sheetName val="1997 Table 2"/>
      <sheetName val="Table 4 Distance"/>
      <sheetName val="Distance percent change"/>
      <sheetName val="Distance 93-97"/>
      <sheetName val="Distance Fig value per ton"/>
      <sheetName val="Distance Bar"/>
      <sheetName val="Table 5 Size 93-97"/>
      <sheetName val="Size percent change"/>
      <sheetName val="Size Fig value per ton"/>
      <sheetName val="Size Bar "/>
      <sheetName val="BTS Mode"/>
      <sheetName val="Ton-miles data"/>
      <sheetName val="Ton-miles figure"/>
      <sheetName val="table 3 commodities"/>
      <sheetName val="Commodities ranked by value"/>
      <sheetName val="Commod ranked by tons"/>
      <sheetName val="Commod ranked by ton-miles"/>
      <sheetName val="Commod ranked by miles per ton "/>
      <sheetName val="Commod ranked by val per t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/>
      <sheetData sheetId="24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baijiahao.baidu.com/s?id=1687940575408252000&amp;wfr=spider&amp;for=pc" TargetMode="External"/><Relationship Id="rId1" Type="http://schemas.openxmlformats.org/officeDocument/2006/relationships/hyperlink" Target="https://zhidao.baidu.com/question/1500326377840793819.html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xxgk.mot.gov.cn/2020/jigou/zhghs/202205/t20220524_3656659.html" TargetMode="External"/><Relationship Id="rId7" Type="http://schemas.openxmlformats.org/officeDocument/2006/relationships/comments" Target="../comments1.xml"/><Relationship Id="rId2" Type="http://schemas.openxmlformats.org/officeDocument/2006/relationships/hyperlink" Target="https://xxgk.mot.gov.cn/2020/jigou/zhghs/202201/t20220119_3637300.html" TargetMode="External"/><Relationship Id="rId1" Type="http://schemas.openxmlformats.org/officeDocument/2006/relationships/hyperlink" Target="https://xxgk.mot.gov.cn/2020/jigou/zhghs/202201/t20220119_3637301.html" TargetMode="External"/><Relationship Id="rId6" Type="http://schemas.openxmlformats.org/officeDocument/2006/relationships/vmlDrawing" Target="../drawings/vmlDrawing1.v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baijiahao.baidu.com/s?id=1733239715752982315&amp;wfr=spider&amp;for=pc" TargetMode="External"/><Relationship Id="rId2" Type="http://schemas.openxmlformats.org/officeDocument/2006/relationships/hyperlink" Target="https://baijiahao.baidu.com/s?id=1721726067943270147&amp;wfr=spider&amp;for=pc" TargetMode="External"/><Relationship Id="rId1" Type="http://schemas.openxmlformats.org/officeDocument/2006/relationships/hyperlink" Target="https://baijiahao.baidu.com/s?id=1728890865770969590&amp;wfr=spider&amp;for=pc" TargetMode="External"/><Relationship Id="rId4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workbookViewId="0">
      <selection activeCell="L20" sqref="L20"/>
    </sheetView>
  </sheetViews>
  <sheetFormatPr defaultColWidth="8.88671875" defaultRowHeight="14.4"/>
  <cols>
    <col min="1" max="1" width="11.5546875" customWidth="1"/>
    <col min="2" max="2" width="88.109375" customWidth="1"/>
  </cols>
  <sheetData>
    <row r="1" spans="1:3">
      <c r="A1" s="1" t="s">
        <v>78</v>
      </c>
    </row>
    <row r="3" spans="1:3">
      <c r="A3" s="1" t="s">
        <v>0</v>
      </c>
      <c r="B3" s="2" t="s">
        <v>1</v>
      </c>
    </row>
    <row r="4" spans="1:3">
      <c r="B4" t="s">
        <v>47</v>
      </c>
    </row>
    <row r="5" spans="1:3">
      <c r="B5" s="2" t="s">
        <v>2</v>
      </c>
    </row>
    <row r="6" spans="1:3">
      <c r="B6" s="18" t="s">
        <v>48</v>
      </c>
    </row>
    <row r="7" spans="1:3">
      <c r="B7" s="2" t="s">
        <v>3</v>
      </c>
    </row>
    <row r="8" spans="1:3">
      <c r="B8" t="s">
        <v>49</v>
      </c>
    </row>
    <row r="9" spans="1:3">
      <c r="B9" s="33" t="s">
        <v>118</v>
      </c>
      <c r="C9" t="s">
        <v>73</v>
      </c>
    </row>
    <row r="10" spans="1:3">
      <c r="B10" s="2" t="s">
        <v>4</v>
      </c>
    </row>
    <row r="11" spans="1:3">
      <c r="B11" t="s">
        <v>79</v>
      </c>
    </row>
    <row r="12" spans="1:3">
      <c r="B12" s="33" t="s">
        <v>83</v>
      </c>
    </row>
    <row r="13" spans="1:3">
      <c r="B13" t="s">
        <v>82</v>
      </c>
    </row>
    <row r="14" spans="1:3">
      <c r="B14" s="40" t="s">
        <v>116</v>
      </c>
    </row>
    <row r="15" spans="1:3">
      <c r="B15" t="s">
        <v>114</v>
      </c>
    </row>
    <row r="16" spans="1:3">
      <c r="B16" s="35">
        <v>2019</v>
      </c>
    </row>
    <row r="17" spans="1:2">
      <c r="B17" t="s">
        <v>115</v>
      </c>
    </row>
    <row r="18" spans="1:2">
      <c r="A18" s="1" t="s">
        <v>5</v>
      </c>
      <c r="B18" t="s">
        <v>6</v>
      </c>
    </row>
    <row r="20" spans="1:2">
      <c r="B20" t="s">
        <v>7</v>
      </c>
    </row>
    <row r="22" spans="1:2">
      <c r="B22" t="s">
        <v>50</v>
      </c>
    </row>
    <row r="23" spans="1:2">
      <c r="B23" t="s">
        <v>51</v>
      </c>
    </row>
    <row r="25" spans="1:2">
      <c r="B25" s="31" t="s">
        <v>71</v>
      </c>
    </row>
    <row r="26" spans="1:2">
      <c r="B26" t="s">
        <v>72</v>
      </c>
    </row>
    <row r="28" spans="1:2">
      <c r="B28" t="s">
        <v>76</v>
      </c>
    </row>
    <row r="29" spans="1:2">
      <c r="B29" t="s">
        <v>117</v>
      </c>
    </row>
  </sheetData>
  <phoneticPr fontId="40" type="noConversion"/>
  <hyperlinks>
    <hyperlink ref="B9" r:id="rId1" xr:uid="{00000000-0004-0000-0000-000000000000}"/>
    <hyperlink ref="B12" r:id="rId2" xr:uid="{2AA98BBB-E530-4091-BBD0-17F52A72668B}"/>
  </hyperlinks>
  <pageMargins left="0.7" right="0.7" top="0.75" bottom="0.75" header="0.3" footer="0.3"/>
  <pageSetup orientation="portrait" horizontalDpi="1200" verticalDpi="12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2"/>
  <sheetViews>
    <sheetView topLeftCell="A25" workbookViewId="0">
      <selection activeCell="C65" sqref="C65"/>
    </sheetView>
  </sheetViews>
  <sheetFormatPr defaultColWidth="8.88671875" defaultRowHeight="14.4"/>
  <cols>
    <col min="1" max="1" width="50.44140625" customWidth="1"/>
    <col min="2" max="2" width="18.44140625" customWidth="1"/>
    <col min="3" max="3" width="131.21875" bestFit="1" customWidth="1"/>
    <col min="4" max="4" width="21.44140625" customWidth="1"/>
  </cols>
  <sheetData>
    <row r="1" spans="1:8">
      <c r="A1" s="2" t="s">
        <v>8</v>
      </c>
      <c r="B1" s="2">
        <v>2017</v>
      </c>
    </row>
    <row r="2" spans="1:8">
      <c r="A2" t="s">
        <v>9</v>
      </c>
      <c r="B2" s="22">
        <v>65230</v>
      </c>
    </row>
    <row r="3" spans="1:8">
      <c r="A3" t="s">
        <v>10</v>
      </c>
      <c r="B3" s="27">
        <f>951304/G3</f>
        <v>591129.06232523464</v>
      </c>
      <c r="D3">
        <v>1</v>
      </c>
      <c r="E3" t="s">
        <v>55</v>
      </c>
      <c r="F3" s="26" t="s">
        <v>56</v>
      </c>
      <c r="G3" s="22">
        <v>1.6093</v>
      </c>
      <c r="H3" t="s">
        <v>57</v>
      </c>
    </row>
    <row r="4" spans="1:8">
      <c r="A4" t="s">
        <v>11</v>
      </c>
      <c r="B4" s="6">
        <f>5.51*B3</f>
        <v>3257121.1334120426</v>
      </c>
      <c r="D4" s="35">
        <v>61174</v>
      </c>
      <c r="E4" t="s">
        <v>75</v>
      </c>
    </row>
    <row r="5" spans="1:8" ht="15.6">
      <c r="A5" t="s">
        <v>12</v>
      </c>
      <c r="B5" s="27">
        <f>108308/G3</f>
        <v>67301.31112906232</v>
      </c>
      <c r="D5" s="34" t="s">
        <v>74</v>
      </c>
    </row>
    <row r="6" spans="1:8">
      <c r="A6" t="s">
        <v>11</v>
      </c>
      <c r="B6" s="4">
        <f>4.57*B5</f>
        <v>307566.99185981485</v>
      </c>
      <c r="D6">
        <f>D4/1108.8</f>
        <v>55.171356421356421</v>
      </c>
    </row>
    <row r="7" spans="1:8" ht="14.1" customHeight="1">
      <c r="A7" s="7" t="s">
        <v>13</v>
      </c>
      <c r="B7" s="7">
        <v>3296</v>
      </c>
      <c r="C7" s="42" t="s">
        <v>14</v>
      </c>
    </row>
    <row r="8" spans="1:8">
      <c r="A8" t="s">
        <v>15</v>
      </c>
      <c r="B8">
        <v>3153</v>
      </c>
      <c r="C8" s="42"/>
    </row>
    <row r="9" spans="1:8">
      <c r="A9" t="s">
        <v>16</v>
      </c>
      <c r="B9">
        <v>143</v>
      </c>
      <c r="C9" s="42"/>
    </row>
    <row r="10" spans="1:8">
      <c r="A10" s="8" t="s">
        <v>17</v>
      </c>
      <c r="B10" s="9">
        <f>B9/B7</f>
        <v>4.3385922330097089E-2</v>
      </c>
      <c r="C10" s="42"/>
    </row>
    <row r="11" spans="1:8">
      <c r="A11" s="10" t="s">
        <v>18</v>
      </c>
      <c r="B11" s="11">
        <f>B4/(B2*(1-B10))</f>
        <v>52.197507357415731</v>
      </c>
    </row>
    <row r="12" spans="1:8" ht="15" thickBot="1">
      <c r="A12" s="12" t="s">
        <v>19</v>
      </c>
      <c r="B12" s="13">
        <f>B6/(B2*B10)</f>
        <v>108.67846910393988</v>
      </c>
    </row>
    <row r="14" spans="1:8">
      <c r="A14" s="2" t="s">
        <v>20</v>
      </c>
      <c r="B14" s="2"/>
    </row>
    <row r="15" spans="1:8">
      <c r="A15" t="s">
        <v>58</v>
      </c>
      <c r="B15" s="5">
        <f>2.32*67.03/G3</f>
        <v>96.631827502640903</v>
      </c>
      <c r="C15" t="s">
        <v>21</v>
      </c>
    </row>
    <row r="16" spans="1:8">
      <c r="A16" t="s">
        <v>59</v>
      </c>
      <c r="B16" s="4">
        <f>14568/G3</f>
        <v>9052.3830236748909</v>
      </c>
    </row>
    <row r="17" spans="1:4" ht="15" thickBot="1">
      <c r="A17" s="17" t="s">
        <v>22</v>
      </c>
      <c r="B17" s="24">
        <f>B16/B15</f>
        <v>93.679104055312351</v>
      </c>
      <c r="C17" t="s">
        <v>23</v>
      </c>
      <c r="D17" s="25"/>
    </row>
    <row r="18" spans="1:4">
      <c r="B18" s="5"/>
    </row>
    <row r="19" spans="1:4">
      <c r="A19" s="2" t="s">
        <v>24</v>
      </c>
      <c r="B19" s="2">
        <v>2017</v>
      </c>
    </row>
    <row r="20" spans="1:4">
      <c r="A20" t="s">
        <v>60</v>
      </c>
      <c r="B20" s="14">
        <f>13.7*181.1/G3</f>
        <v>1541.7075747219287</v>
      </c>
      <c r="C20" t="s">
        <v>21</v>
      </c>
    </row>
    <row r="21" spans="1:4">
      <c r="A21" t="s">
        <v>61</v>
      </c>
      <c r="B21" s="14">
        <f>36869/G3</f>
        <v>22909.960852544584</v>
      </c>
    </row>
    <row r="22" spans="1:4" ht="15" thickBot="1">
      <c r="A22" s="12" t="s">
        <v>25</v>
      </c>
      <c r="B22" s="15">
        <f>B21/B20</f>
        <v>14.860120834962334</v>
      </c>
      <c r="C22" t="s">
        <v>26</v>
      </c>
    </row>
    <row r="23" spans="1:4">
      <c r="B23" s="14"/>
    </row>
    <row r="24" spans="1:4">
      <c r="A24" s="2" t="s">
        <v>27</v>
      </c>
      <c r="B24" s="2"/>
    </row>
    <row r="25" spans="1:4">
      <c r="A25" t="s">
        <v>28</v>
      </c>
      <c r="B25" s="14">
        <v>30</v>
      </c>
    </row>
    <row r="26" spans="1:4">
      <c r="A26" t="s">
        <v>10</v>
      </c>
      <c r="B26" s="14">
        <f>14568/2/G3</f>
        <v>4526.1915118374454</v>
      </c>
    </row>
    <row r="27" spans="1:4">
      <c r="A27" t="s">
        <v>29</v>
      </c>
      <c r="B27" s="14">
        <v>182.43</v>
      </c>
    </row>
    <row r="28" spans="1:4" ht="15" thickBot="1">
      <c r="A28" s="12" t="s">
        <v>25</v>
      </c>
      <c r="B28" s="15">
        <f>B26/(B27*B25)</f>
        <v>0.82701885871063696</v>
      </c>
      <c r="C28" t="s">
        <v>30</v>
      </c>
    </row>
    <row r="29" spans="1:4">
      <c r="B29" s="14"/>
    </row>
    <row r="30" spans="1:4">
      <c r="A30" s="2" t="s">
        <v>33</v>
      </c>
      <c r="B30" s="2">
        <v>2021</v>
      </c>
    </row>
    <row r="31" spans="1:4">
      <c r="A31" t="s">
        <v>62</v>
      </c>
      <c r="B31" s="4">
        <f>5508386/G3</f>
        <v>3422845.9578698813</v>
      </c>
    </row>
    <row r="32" spans="1:4">
      <c r="A32" t="s">
        <v>34</v>
      </c>
      <c r="B32" s="4">
        <f>2857871/G3</f>
        <v>1775847.262785062</v>
      </c>
    </row>
    <row r="33" spans="1:4">
      <c r="A33" s="1" t="s">
        <v>35</v>
      </c>
      <c r="B33" s="4">
        <f>1494868/G3</f>
        <v>928893.30764928856</v>
      </c>
    </row>
    <row r="34" spans="1:4">
      <c r="A34" t="s">
        <v>69</v>
      </c>
      <c r="B34" s="16">
        <v>8239730000</v>
      </c>
      <c r="C34" s="33" t="s">
        <v>101</v>
      </c>
      <c r="D34" s="33" t="s">
        <v>119</v>
      </c>
    </row>
    <row r="35" spans="1:4">
      <c r="A35" t="s">
        <v>36</v>
      </c>
      <c r="B35" s="16">
        <v>120000</v>
      </c>
      <c r="C35" t="s">
        <v>66</v>
      </c>
    </row>
    <row r="36" spans="1:4">
      <c r="A36" t="s">
        <v>102</v>
      </c>
      <c r="B36" s="4">
        <v>34736</v>
      </c>
      <c r="C36">
        <f>0.1402/12.5893</f>
        <v>1.113644126361275E-2</v>
      </c>
    </row>
    <row r="37" spans="1:4">
      <c r="A37" t="s">
        <v>103</v>
      </c>
      <c r="B37" s="4">
        <v>8158</v>
      </c>
      <c r="C37">
        <f>1.0891/12.5893</f>
        <v>8.650997275464084E-2</v>
      </c>
    </row>
    <row r="38" spans="1:4">
      <c r="A38" t="s">
        <v>104</v>
      </c>
      <c r="B38" s="4">
        <v>1291</v>
      </c>
      <c r="C38">
        <f>11.36/12.5893</f>
        <v>0.90235358598174642</v>
      </c>
    </row>
    <row r="39" spans="1:4" ht="15" thickBot="1">
      <c r="A39" s="17" t="s">
        <v>37</v>
      </c>
      <c r="B39" s="38">
        <f>B36*C36+B37*C37+B38*C38</f>
        <v>2257.5222609676471</v>
      </c>
      <c r="C39" t="s">
        <v>63</v>
      </c>
    </row>
    <row r="40" spans="1:4">
      <c r="B40" s="4"/>
    </row>
    <row r="41" spans="1:4">
      <c r="A41" s="2" t="s">
        <v>38</v>
      </c>
      <c r="B41" s="2">
        <v>2021</v>
      </c>
    </row>
    <row r="42" spans="1:4">
      <c r="A42" t="s">
        <v>68</v>
      </c>
      <c r="B42">
        <v>163370000</v>
      </c>
      <c r="C42" s="33" t="s">
        <v>88</v>
      </c>
    </row>
    <row r="43" spans="1:4">
      <c r="A43" t="s">
        <v>70</v>
      </c>
      <c r="B43" s="16">
        <v>5900</v>
      </c>
      <c r="C43" t="s">
        <v>89</v>
      </c>
    </row>
    <row r="44" spans="1:4">
      <c r="A44" t="s">
        <v>67</v>
      </c>
      <c r="B44" s="4">
        <v>20.309999999999999</v>
      </c>
    </row>
    <row r="45" spans="1:4">
      <c r="B45" s="4"/>
      <c r="C45" s="42" t="s">
        <v>39</v>
      </c>
    </row>
    <row r="46" spans="1:4" ht="15" thickBot="1">
      <c r="A46" s="17" t="s">
        <v>40</v>
      </c>
      <c r="B46" s="20">
        <f>B42/(B43*7*12)</f>
        <v>329.64083938660212</v>
      </c>
      <c r="C46" s="42"/>
    </row>
    <row r="47" spans="1:4">
      <c r="B47" s="4"/>
      <c r="C47" t="s">
        <v>92</v>
      </c>
    </row>
    <row r="50" spans="1:3">
      <c r="A50" t="s">
        <v>105</v>
      </c>
      <c r="B50">
        <f>59.45/11.36</f>
        <v>5.2332746478873249</v>
      </c>
    </row>
    <row r="51" spans="1:3">
      <c r="A51" t="s">
        <v>106</v>
      </c>
      <c r="B51">
        <f>23.91/1.0891</f>
        <v>21.953906895601875</v>
      </c>
    </row>
    <row r="52" spans="1:3">
      <c r="A52" t="s">
        <v>107</v>
      </c>
      <c r="B52">
        <f>2.42/0.1402</f>
        <v>17.26105563480742</v>
      </c>
      <c r="C52">
        <v>1291</v>
      </c>
    </row>
    <row r="53" spans="1:3">
      <c r="B53" s="37">
        <f>B50*C36+B51*C37+B52*C38</f>
        <v>17.533087393027898</v>
      </c>
      <c r="C53">
        <v>8158</v>
      </c>
    </row>
    <row r="54" spans="1:3">
      <c r="C54">
        <v>34736</v>
      </c>
    </row>
    <row r="60" spans="1:3">
      <c r="A60" t="s">
        <v>108</v>
      </c>
      <c r="B60" t="s">
        <v>109</v>
      </c>
    </row>
    <row r="61" spans="1:3">
      <c r="A61" t="s">
        <v>110</v>
      </c>
      <c r="B61" t="s">
        <v>111</v>
      </c>
    </row>
    <row r="62" spans="1:3">
      <c r="A62" t="s">
        <v>112</v>
      </c>
      <c r="B62" t="s">
        <v>113</v>
      </c>
    </row>
  </sheetData>
  <mergeCells count="2">
    <mergeCell ref="C7:C10"/>
    <mergeCell ref="C45:C46"/>
  </mergeCells>
  <phoneticPr fontId="40" type="noConversion"/>
  <hyperlinks>
    <hyperlink ref="C42" r:id="rId1" xr:uid="{5B34FB6D-4540-4C6F-83D3-A84D0E4A2FC1}"/>
    <hyperlink ref="C34" r:id="rId2" xr:uid="{F60B52B0-FE77-4026-9EAA-2F4502A7AB3D}"/>
    <hyperlink ref="D34" r:id="rId3" display="https://xxgk.mot.gov.cn/2020/jigou/zhghs/202205/t20220524_3656659.html" xr:uid="{35A658F5-C2B0-4CD8-BB90-73F5182ED5C5}"/>
  </hyperlinks>
  <pageMargins left="0.7" right="0.7" top="0.75" bottom="0.75" header="0.3" footer="0.3"/>
  <pageSetup orientation="portrait" r:id="rId4"/>
  <drawing r:id="rId5"/>
  <legacyDrawing r:id="rId6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106B0-C4F0-420C-81FE-F67A0635B1D7}">
  <dimension ref="A1:J26"/>
  <sheetViews>
    <sheetView topLeftCell="A4" workbookViewId="0">
      <selection activeCell="D24" sqref="D24"/>
    </sheetView>
  </sheetViews>
  <sheetFormatPr defaultRowHeight="14.4"/>
  <cols>
    <col min="1" max="1" width="86.88671875" bestFit="1" customWidth="1"/>
    <col min="2" max="2" width="12.77734375" bestFit="1" customWidth="1"/>
    <col min="3" max="3" width="19.33203125" bestFit="1" customWidth="1"/>
    <col min="4" max="4" width="22.6640625" bestFit="1" customWidth="1"/>
  </cols>
  <sheetData>
    <row r="1" spans="1:10">
      <c r="A1" s="29"/>
      <c r="B1" s="29" t="s">
        <v>95</v>
      </c>
      <c r="C1" s="29"/>
      <c r="D1" s="29"/>
      <c r="E1" s="29"/>
      <c r="F1" s="29"/>
      <c r="G1" s="29"/>
      <c r="H1" s="29"/>
    </row>
    <row r="2" spans="1:10">
      <c r="A2" s="29"/>
      <c r="B2" s="29" t="s">
        <v>96</v>
      </c>
      <c r="C2" s="29" t="s">
        <v>120</v>
      </c>
      <c r="D2" s="29" t="s">
        <v>100</v>
      </c>
      <c r="E2" s="29"/>
      <c r="F2" s="29"/>
      <c r="G2" s="29"/>
      <c r="H2" s="29"/>
    </row>
    <row r="3" spans="1:10">
      <c r="A3" s="29" t="s">
        <v>93</v>
      </c>
      <c r="B3" s="29">
        <v>378.59</v>
      </c>
      <c r="C3" s="29">
        <v>90748.3</v>
      </c>
      <c r="D3" s="29">
        <f>C3/B3</f>
        <v>239.70073166222036</v>
      </c>
      <c r="E3" s="29"/>
      <c r="F3" s="29"/>
      <c r="G3" s="29"/>
      <c r="H3" s="29"/>
    </row>
    <row r="4" spans="1:10">
      <c r="A4" s="29" t="s">
        <v>86</v>
      </c>
      <c r="B4" s="29">
        <f>B5-B3</f>
        <v>60.410000000000025</v>
      </c>
      <c r="C4" s="29">
        <v>1782.8</v>
      </c>
      <c r="D4" s="29">
        <f>C4/B4</f>
        <v>29.511670253269312</v>
      </c>
      <c r="E4" s="29"/>
      <c r="F4" s="29"/>
      <c r="G4" s="29"/>
      <c r="H4" s="29"/>
    </row>
    <row r="5" spans="1:10">
      <c r="A5" s="29" t="s">
        <v>94</v>
      </c>
      <c r="B5" s="29">
        <v>439</v>
      </c>
      <c r="C5" s="29"/>
      <c r="D5" s="29"/>
      <c r="E5" s="29"/>
      <c r="F5" s="29"/>
      <c r="G5" s="29"/>
      <c r="H5" s="29"/>
    </row>
    <row r="6" spans="1:10">
      <c r="A6" s="29"/>
      <c r="B6" s="29"/>
      <c r="C6" s="29"/>
      <c r="D6" s="29"/>
      <c r="E6" s="29"/>
      <c r="F6" s="29"/>
      <c r="G6" s="29"/>
      <c r="H6" s="29"/>
    </row>
    <row r="7" spans="1:10">
      <c r="A7" s="29"/>
      <c r="B7" s="29"/>
      <c r="C7" s="29"/>
      <c r="D7" s="29"/>
      <c r="E7" s="29"/>
      <c r="F7" s="29"/>
      <c r="G7" s="29"/>
      <c r="H7" s="29"/>
    </row>
    <row r="8" spans="1:10">
      <c r="A8" s="29"/>
      <c r="B8" s="36" t="s">
        <v>97</v>
      </c>
      <c r="C8" s="29"/>
      <c r="D8" s="29"/>
      <c r="E8" s="29"/>
      <c r="F8" s="29"/>
      <c r="G8" s="29"/>
      <c r="H8" s="29"/>
    </row>
    <row r="9" spans="1:10">
      <c r="A9" s="36" t="s">
        <v>98</v>
      </c>
      <c r="B9" s="29"/>
      <c r="C9" s="29"/>
      <c r="D9" s="29"/>
      <c r="E9" s="29"/>
      <c r="F9" s="29"/>
      <c r="G9" s="29"/>
      <c r="H9" s="29"/>
    </row>
    <row r="10" spans="1:10">
      <c r="A10" s="36" t="s">
        <v>99</v>
      </c>
      <c r="B10" s="29"/>
      <c r="C10" s="29"/>
      <c r="D10" s="29"/>
      <c r="E10" s="29"/>
      <c r="F10" s="29"/>
      <c r="G10" s="29"/>
      <c r="H10" s="29"/>
    </row>
    <row r="11" spans="1:10">
      <c r="A11" s="29"/>
      <c r="B11" s="29"/>
      <c r="C11" s="29"/>
      <c r="D11" s="29"/>
      <c r="E11" s="29"/>
      <c r="F11" s="29"/>
      <c r="G11" s="29"/>
      <c r="H11" s="29"/>
    </row>
    <row r="12" spans="1:10">
      <c r="A12" s="29"/>
      <c r="B12" s="29"/>
      <c r="C12" s="29"/>
      <c r="D12" s="29"/>
      <c r="E12" s="29"/>
      <c r="F12" s="29"/>
      <c r="G12" s="29"/>
      <c r="H12" s="29"/>
    </row>
    <row r="13" spans="1:10">
      <c r="A13" s="29"/>
      <c r="B13" s="29" t="s">
        <v>121</v>
      </c>
      <c r="C13" s="29"/>
      <c r="D13" s="29"/>
      <c r="E13" s="29"/>
      <c r="F13" s="29"/>
      <c r="G13" s="29"/>
      <c r="H13" s="29"/>
      <c r="I13" s="29"/>
      <c r="J13" s="29"/>
    </row>
    <row r="14" spans="1:10">
      <c r="A14" s="29"/>
      <c r="B14" s="29" t="s">
        <v>96</v>
      </c>
      <c r="C14" s="29" t="s">
        <v>122</v>
      </c>
      <c r="D14" s="29"/>
      <c r="E14" s="29"/>
      <c r="F14" s="29"/>
      <c r="G14" s="29"/>
      <c r="H14" s="29"/>
      <c r="I14" s="29"/>
      <c r="J14" s="29"/>
    </row>
    <row r="15" spans="1:10" ht="100.8">
      <c r="A15" s="29" t="s">
        <v>87</v>
      </c>
      <c r="B15" s="29"/>
      <c r="C15" s="29">
        <v>135162</v>
      </c>
      <c r="D15" s="41" t="s">
        <v>123</v>
      </c>
      <c r="E15" s="29"/>
      <c r="F15" s="29"/>
      <c r="G15" s="29"/>
      <c r="H15" s="29"/>
      <c r="I15" s="29"/>
      <c r="J15" s="29"/>
    </row>
    <row r="16" spans="1:10">
      <c r="A16" s="29" t="s">
        <v>86</v>
      </c>
      <c r="B16" s="29"/>
      <c r="C16" s="29">
        <v>1710</v>
      </c>
      <c r="D16" s="29"/>
      <c r="E16" s="29"/>
      <c r="F16" s="29"/>
      <c r="G16" s="29"/>
      <c r="H16" s="29"/>
      <c r="I16" s="29"/>
      <c r="J16" s="29"/>
    </row>
    <row r="17" spans="1:10">
      <c r="A17" s="29"/>
      <c r="B17" s="29"/>
      <c r="C17" s="29"/>
      <c r="D17" s="29"/>
      <c r="E17" s="29"/>
      <c r="F17" s="29"/>
      <c r="G17" s="29"/>
      <c r="H17" s="29"/>
      <c r="I17" s="29"/>
      <c r="J17" s="29"/>
    </row>
    <row r="18" spans="1:10">
      <c r="A18" s="29"/>
      <c r="B18" s="29"/>
      <c r="C18" s="29"/>
      <c r="D18" s="29"/>
      <c r="E18" s="29"/>
      <c r="F18" s="29"/>
      <c r="G18" s="29"/>
      <c r="H18" s="29"/>
      <c r="I18" s="29"/>
      <c r="J18" s="29"/>
    </row>
    <row r="19" spans="1:10">
      <c r="A19" s="29"/>
      <c r="B19" s="29"/>
      <c r="C19" s="29"/>
      <c r="D19" s="29"/>
      <c r="E19" s="29"/>
      <c r="F19" s="29"/>
      <c r="G19" s="29"/>
      <c r="H19" s="29"/>
      <c r="I19" s="29"/>
      <c r="J19" s="29"/>
    </row>
    <row r="20" spans="1:10">
      <c r="A20" s="29"/>
      <c r="B20" s="29"/>
      <c r="C20" s="29"/>
      <c r="D20" s="29"/>
      <c r="E20" s="29"/>
      <c r="F20" s="29"/>
      <c r="G20" s="29"/>
      <c r="H20" s="29"/>
      <c r="I20" s="29"/>
      <c r="J20" s="29"/>
    </row>
    <row r="21" spans="1:10">
      <c r="A21" s="29"/>
      <c r="B21" s="29"/>
      <c r="C21" s="29"/>
      <c r="D21" s="29"/>
      <c r="E21" s="29"/>
      <c r="F21" s="29"/>
      <c r="G21" s="29"/>
      <c r="H21" s="29"/>
      <c r="I21" s="29"/>
      <c r="J21" s="29"/>
    </row>
    <row r="22" spans="1:10">
      <c r="A22" s="29"/>
      <c r="B22" s="29"/>
      <c r="C22" s="29"/>
      <c r="D22" s="29"/>
      <c r="E22" s="29"/>
      <c r="F22" s="29"/>
      <c r="G22" s="29"/>
      <c r="H22" s="29"/>
      <c r="I22" s="29"/>
      <c r="J22" s="29"/>
    </row>
    <row r="23" spans="1:10">
      <c r="A23" s="29"/>
      <c r="B23" s="29"/>
      <c r="C23" s="29"/>
      <c r="D23" s="29"/>
      <c r="E23" s="29"/>
      <c r="F23" s="29"/>
      <c r="G23" s="29"/>
      <c r="H23" s="29"/>
      <c r="I23" s="29"/>
      <c r="J23" s="29"/>
    </row>
    <row r="24" spans="1:10">
      <c r="A24" s="29"/>
      <c r="B24" s="29"/>
      <c r="C24" s="29"/>
      <c r="D24" s="29"/>
      <c r="E24" s="29"/>
      <c r="F24" s="29"/>
      <c r="G24" s="29"/>
      <c r="H24" s="29"/>
      <c r="I24" s="29"/>
      <c r="J24" s="29"/>
    </row>
    <row r="25" spans="1:10">
      <c r="A25" s="29"/>
      <c r="B25" s="29"/>
      <c r="C25" s="29"/>
      <c r="D25" s="29"/>
      <c r="E25" s="29"/>
      <c r="F25" s="29"/>
      <c r="G25" s="29"/>
      <c r="H25" s="29"/>
      <c r="I25" s="29"/>
      <c r="J25" s="29"/>
    </row>
    <row r="26" spans="1:10">
      <c r="A26" s="29"/>
      <c r="B26" s="29"/>
      <c r="C26" s="29"/>
      <c r="D26" s="29"/>
      <c r="E26" s="29"/>
      <c r="F26" s="29"/>
      <c r="G26" s="29"/>
      <c r="H26" s="29"/>
      <c r="I26" s="29"/>
      <c r="J26" s="29"/>
    </row>
  </sheetData>
  <phoneticPr fontId="40" type="noConversion"/>
  <hyperlinks>
    <hyperlink ref="B8" r:id="rId1" xr:uid="{8C4450E8-080D-49C2-B8BB-03C0970BA139}"/>
    <hyperlink ref="A9" r:id="rId2" xr:uid="{541FA016-2891-49FD-84DF-A8EE2F84D64E}"/>
    <hyperlink ref="A10" r:id="rId3" xr:uid="{D903B865-FD2A-49FC-B9B2-59E422C7C93C}"/>
  </hyperlinks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workbookViewId="0">
      <selection activeCell="G19" sqref="G19"/>
    </sheetView>
  </sheetViews>
  <sheetFormatPr defaultRowHeight="14.4"/>
  <cols>
    <col min="1" max="1" width="36.44140625" customWidth="1"/>
  </cols>
  <sheetData>
    <row r="1" spans="1:5">
      <c r="A1" s="2" t="s">
        <v>32</v>
      </c>
      <c r="B1" s="2">
        <v>2021</v>
      </c>
    </row>
    <row r="2" spans="1:5">
      <c r="A2" t="s">
        <v>64</v>
      </c>
      <c r="B2" s="4">
        <f>366.34/D10</f>
        <v>227.63934629963336</v>
      </c>
      <c r="C2" t="s">
        <v>80</v>
      </c>
    </row>
    <row r="3" spans="1:5">
      <c r="A3" t="s">
        <v>65</v>
      </c>
      <c r="B3" s="4">
        <f>956781/D10</f>
        <v>594532.40539364947</v>
      </c>
      <c r="C3" t="s">
        <v>80</v>
      </c>
    </row>
    <row r="4" spans="1:5" ht="15" thickBot="1">
      <c r="A4" s="12" t="s">
        <v>52</v>
      </c>
      <c r="B4" s="13">
        <f>B3*10^6/(10000*365*B2)</f>
        <v>715.54233996265168</v>
      </c>
      <c r="C4" t="s">
        <v>81</v>
      </c>
    </row>
    <row r="5" spans="1:5">
      <c r="C5" t="s">
        <v>91</v>
      </c>
    </row>
    <row r="6" spans="1:5">
      <c r="A6" s="2" t="s">
        <v>31</v>
      </c>
      <c r="B6" s="2">
        <v>2021</v>
      </c>
    </row>
    <row r="7" spans="1:5" ht="15" thickBot="1">
      <c r="A7" s="12" t="s">
        <v>54</v>
      </c>
      <c r="B7" s="19">
        <v>4000</v>
      </c>
      <c r="C7" t="s">
        <v>53</v>
      </c>
    </row>
    <row r="10" spans="1:5">
      <c r="A10">
        <v>1</v>
      </c>
      <c r="B10" t="s">
        <v>55</v>
      </c>
      <c r="C10" s="26" t="s">
        <v>56</v>
      </c>
      <c r="D10" s="22">
        <v>1.6093</v>
      </c>
      <c r="E10" t="s">
        <v>57</v>
      </c>
    </row>
  </sheetData>
  <phoneticPr fontId="40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AI7"/>
  <sheetViews>
    <sheetView workbookViewId="0">
      <selection activeCell="L18" sqref="L18"/>
    </sheetView>
  </sheetViews>
  <sheetFormatPr defaultRowHeight="14.4"/>
  <cols>
    <col min="1" max="1" width="62.21875" bestFit="1" customWidth="1"/>
  </cols>
  <sheetData>
    <row r="3" spans="1:35">
      <c r="A3">
        <v>1</v>
      </c>
      <c r="B3" t="s">
        <v>55</v>
      </c>
      <c r="C3" s="26" t="s">
        <v>56</v>
      </c>
      <c r="D3" s="22">
        <v>1.6093</v>
      </c>
      <c r="E3" t="s">
        <v>57</v>
      </c>
    </row>
    <row r="5" spans="1:35">
      <c r="B5">
        <v>2017</v>
      </c>
      <c r="C5">
        <v>2018</v>
      </c>
      <c r="D5">
        <v>2019</v>
      </c>
      <c r="E5">
        <v>2020</v>
      </c>
      <c r="F5">
        <v>2021</v>
      </c>
      <c r="G5">
        <v>2022</v>
      </c>
      <c r="H5">
        <v>2023</v>
      </c>
      <c r="I5">
        <v>2024</v>
      </c>
      <c r="J5">
        <v>2025</v>
      </c>
      <c r="K5">
        <v>2026</v>
      </c>
      <c r="L5">
        <v>2027</v>
      </c>
      <c r="M5">
        <v>2028</v>
      </c>
      <c r="N5">
        <v>2029</v>
      </c>
      <c r="O5">
        <v>2030</v>
      </c>
      <c r="P5">
        <v>2031</v>
      </c>
      <c r="Q5">
        <v>2032</v>
      </c>
      <c r="R5">
        <v>2033</v>
      </c>
      <c r="S5">
        <v>2034</v>
      </c>
      <c r="T5">
        <v>2035</v>
      </c>
      <c r="U5">
        <v>2036</v>
      </c>
      <c r="V5">
        <v>2037</v>
      </c>
      <c r="W5">
        <v>2038</v>
      </c>
      <c r="X5">
        <v>2039</v>
      </c>
      <c r="Y5">
        <v>2040</v>
      </c>
      <c r="Z5">
        <v>2041</v>
      </c>
      <c r="AA5">
        <v>2042</v>
      </c>
      <c r="AB5">
        <v>2043</v>
      </c>
      <c r="AC5">
        <v>2044</v>
      </c>
      <c r="AD5">
        <v>2045</v>
      </c>
      <c r="AE5">
        <v>2046</v>
      </c>
      <c r="AF5">
        <v>2047</v>
      </c>
      <c r="AG5">
        <v>2048</v>
      </c>
      <c r="AH5">
        <v>2049</v>
      </c>
      <c r="AI5">
        <v>2050</v>
      </c>
    </row>
    <row r="6" spans="1:35">
      <c r="A6" t="s">
        <v>77</v>
      </c>
    </row>
    <row r="7" spans="1:35">
      <c r="A7" t="s">
        <v>42</v>
      </c>
      <c r="B7">
        <v>1</v>
      </c>
      <c r="C7">
        <v>1</v>
      </c>
      <c r="D7">
        <v>0.8370113631057543</v>
      </c>
      <c r="E7">
        <v>0.88590426612237128</v>
      </c>
      <c r="F7">
        <v>0.93765318289311705</v>
      </c>
      <c r="G7">
        <v>0.99242494365429434</v>
      </c>
      <c r="H7">
        <v>1.0503961238080697</v>
      </c>
      <c r="I7">
        <v>1.1117536131733476</v>
      </c>
      <c r="J7">
        <v>1.1766952184886748</v>
      </c>
      <c r="K7">
        <v>1.2336633489246611</v>
      </c>
      <c r="L7">
        <v>1.2933895154556183</v>
      </c>
      <c r="M7">
        <v>1.3560072447225466</v>
      </c>
      <c r="N7">
        <v>1.4216565278807749</v>
      </c>
      <c r="O7">
        <v>1.4904841335708059</v>
      </c>
      <c r="P7">
        <v>1.5328342533698092</v>
      </c>
      <c r="Q7">
        <v>1.5763876953690246</v>
      </c>
      <c r="R7">
        <v>1.6211786503647097</v>
      </c>
      <c r="S7">
        <v>1.6672422806390204</v>
      </c>
      <c r="T7">
        <v>1.7146147475634872</v>
      </c>
      <c r="U7">
        <v>1.7633332399868094</v>
      </c>
      <c r="V7">
        <v>1.8134360034292478</v>
      </c>
      <c r="W7">
        <v>1.864962370106539</v>
      </c>
      <c r="X7">
        <v>1.9179527898068991</v>
      </c>
      <c r="Y7">
        <v>1.9724488616453557</v>
      </c>
      <c r="Z7">
        <v>2.0284933667203369</v>
      </c>
      <c r="AA7">
        <v>2.0861303016981547</v>
      </c>
      <c r="AB7">
        <v>2.1454049133517445</v>
      </c>
      <c r="AC7">
        <v>2.2063637340807816</v>
      </c>
      <c r="AD7">
        <v>2.2690546184410465</v>
      </c>
      <c r="AE7">
        <v>2.3335267807117326</v>
      </c>
      <c r="AF7">
        <v>2.3998308335301712</v>
      </c>
      <c r="AG7">
        <v>2.4680188276243169</v>
      </c>
      <c r="AH7">
        <v>2.5381442926741733</v>
      </c>
      <c r="AI7">
        <v>2.6102622793342447</v>
      </c>
    </row>
  </sheetData>
  <phoneticPr fontId="40" type="noConversion"/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7045F-E524-44EF-90AC-4C1C5356BF2B}">
  <dimension ref="B1:D3"/>
  <sheetViews>
    <sheetView workbookViewId="0">
      <selection activeCell="J10" sqref="J10"/>
    </sheetView>
  </sheetViews>
  <sheetFormatPr defaultRowHeight="14.4"/>
  <cols>
    <col min="2" max="2" width="11.6640625" bestFit="1" customWidth="1"/>
    <col min="3" max="3" width="19.109375" customWidth="1"/>
    <col min="4" max="4" width="30.21875" bestFit="1" customWidth="1"/>
  </cols>
  <sheetData>
    <row r="1" spans="2:4">
      <c r="C1" t="s">
        <v>84</v>
      </c>
    </row>
    <row r="2" spans="2:4">
      <c r="B2" t="s">
        <v>86</v>
      </c>
      <c r="C2">
        <v>0.15</v>
      </c>
      <c r="D2" t="s">
        <v>85</v>
      </c>
    </row>
    <row r="3" spans="2:4">
      <c r="B3" t="s">
        <v>87</v>
      </c>
      <c r="C3">
        <v>1.27</v>
      </c>
      <c r="D3" t="s">
        <v>90</v>
      </c>
    </row>
  </sheetData>
  <phoneticPr fontId="4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</sheetPr>
  <dimension ref="A1:AS7"/>
  <sheetViews>
    <sheetView workbookViewId="0">
      <selection activeCell="B2" sqref="B2:AS7"/>
    </sheetView>
  </sheetViews>
  <sheetFormatPr defaultColWidth="8.88671875" defaultRowHeight="14.4"/>
  <cols>
    <col min="1" max="1" width="13.109375" customWidth="1"/>
    <col min="2" max="2" width="11.6640625" bestFit="1" customWidth="1"/>
  </cols>
  <sheetData>
    <row r="1" spans="1:45">
      <c r="A1" s="1"/>
      <c r="B1" s="3">
        <v>2017</v>
      </c>
      <c r="C1" s="1">
        <v>2018</v>
      </c>
      <c r="D1" s="3">
        <v>2019</v>
      </c>
      <c r="E1" s="1">
        <v>2020</v>
      </c>
      <c r="F1" s="3">
        <v>2021</v>
      </c>
      <c r="G1" s="1">
        <v>2022</v>
      </c>
      <c r="H1" s="3">
        <v>2023</v>
      </c>
      <c r="I1" s="1">
        <v>2024</v>
      </c>
      <c r="J1" s="3">
        <v>2025</v>
      </c>
      <c r="K1" s="1">
        <v>2026</v>
      </c>
      <c r="L1" s="3">
        <v>2027</v>
      </c>
      <c r="M1" s="1">
        <v>2028</v>
      </c>
      <c r="N1" s="3">
        <v>2029</v>
      </c>
      <c r="O1" s="1">
        <v>2030</v>
      </c>
      <c r="P1" s="3">
        <v>2031</v>
      </c>
      <c r="Q1" s="1">
        <v>2032</v>
      </c>
      <c r="R1" s="3">
        <v>2033</v>
      </c>
      <c r="S1" s="1">
        <v>2034</v>
      </c>
      <c r="T1" s="3">
        <v>2035</v>
      </c>
      <c r="U1" s="1">
        <v>2036</v>
      </c>
      <c r="V1" s="3">
        <v>2037</v>
      </c>
      <c r="W1" s="1">
        <v>2038</v>
      </c>
      <c r="X1" s="3">
        <v>2039</v>
      </c>
      <c r="Y1" s="1">
        <v>2040</v>
      </c>
      <c r="Z1" s="3">
        <v>2041</v>
      </c>
      <c r="AA1" s="1">
        <v>2042</v>
      </c>
      <c r="AB1" s="3">
        <v>2043</v>
      </c>
      <c r="AC1" s="1">
        <v>2044</v>
      </c>
      <c r="AD1" s="3">
        <v>2045</v>
      </c>
      <c r="AE1" s="1">
        <v>2046</v>
      </c>
      <c r="AF1" s="3">
        <v>2047</v>
      </c>
      <c r="AG1" s="1">
        <v>2048</v>
      </c>
      <c r="AH1" s="3">
        <v>2049</v>
      </c>
      <c r="AI1" s="1">
        <v>2050</v>
      </c>
      <c r="AJ1" s="1">
        <v>2051</v>
      </c>
      <c r="AK1" s="1">
        <v>2052</v>
      </c>
      <c r="AL1" s="1">
        <v>2053</v>
      </c>
      <c r="AM1" s="1">
        <v>2054</v>
      </c>
      <c r="AN1" s="1">
        <v>2055</v>
      </c>
      <c r="AO1" s="1">
        <v>2056</v>
      </c>
      <c r="AP1" s="1">
        <v>2057</v>
      </c>
      <c r="AQ1" s="1">
        <v>2058</v>
      </c>
      <c r="AR1" s="1">
        <v>2059</v>
      </c>
      <c r="AS1" s="1">
        <v>2060</v>
      </c>
    </row>
    <row r="2" spans="1:45">
      <c r="A2" s="1" t="s">
        <v>41</v>
      </c>
      <c r="B2" s="21">
        <v>1.67</v>
      </c>
      <c r="C2" s="21">
        <f>B2</f>
        <v>1.67</v>
      </c>
      <c r="D2" s="21">
        <f t="shared" ref="D2:AI2" si="0">C2</f>
        <v>1.67</v>
      </c>
      <c r="E2" s="21">
        <f t="shared" si="0"/>
        <v>1.67</v>
      </c>
      <c r="F2" s="21">
        <f t="shared" si="0"/>
        <v>1.67</v>
      </c>
      <c r="G2" s="21">
        <f t="shared" si="0"/>
        <v>1.67</v>
      </c>
      <c r="H2" s="21">
        <f t="shared" si="0"/>
        <v>1.67</v>
      </c>
      <c r="I2" s="21">
        <f t="shared" si="0"/>
        <v>1.67</v>
      </c>
      <c r="J2" s="21">
        <f t="shared" si="0"/>
        <v>1.67</v>
      </c>
      <c r="K2" s="21">
        <f t="shared" si="0"/>
        <v>1.67</v>
      </c>
      <c r="L2" s="21">
        <f t="shared" si="0"/>
        <v>1.67</v>
      </c>
      <c r="M2" s="21">
        <f t="shared" si="0"/>
        <v>1.67</v>
      </c>
      <c r="N2" s="21">
        <f t="shared" si="0"/>
        <v>1.67</v>
      </c>
      <c r="O2" s="21">
        <f t="shared" si="0"/>
        <v>1.67</v>
      </c>
      <c r="P2" s="21">
        <f t="shared" si="0"/>
        <v>1.67</v>
      </c>
      <c r="Q2" s="21">
        <f t="shared" si="0"/>
        <v>1.67</v>
      </c>
      <c r="R2" s="21">
        <f t="shared" si="0"/>
        <v>1.67</v>
      </c>
      <c r="S2" s="21">
        <f t="shared" si="0"/>
        <v>1.67</v>
      </c>
      <c r="T2" s="21">
        <f t="shared" si="0"/>
        <v>1.67</v>
      </c>
      <c r="U2" s="21">
        <f t="shared" si="0"/>
        <v>1.67</v>
      </c>
      <c r="V2" s="21">
        <f t="shared" si="0"/>
        <v>1.67</v>
      </c>
      <c r="W2" s="21">
        <f t="shared" si="0"/>
        <v>1.67</v>
      </c>
      <c r="X2" s="21">
        <f t="shared" si="0"/>
        <v>1.67</v>
      </c>
      <c r="Y2" s="21">
        <f t="shared" si="0"/>
        <v>1.67</v>
      </c>
      <c r="Z2" s="21">
        <f t="shared" si="0"/>
        <v>1.67</v>
      </c>
      <c r="AA2" s="21">
        <f t="shared" si="0"/>
        <v>1.67</v>
      </c>
      <c r="AB2" s="21">
        <f t="shared" si="0"/>
        <v>1.67</v>
      </c>
      <c r="AC2" s="21">
        <f t="shared" si="0"/>
        <v>1.67</v>
      </c>
      <c r="AD2" s="21">
        <f t="shared" si="0"/>
        <v>1.67</v>
      </c>
      <c r="AE2" s="21">
        <f t="shared" si="0"/>
        <v>1.67</v>
      </c>
      <c r="AF2" s="21">
        <f t="shared" si="0"/>
        <v>1.67</v>
      </c>
      <c r="AG2" s="21">
        <f t="shared" si="0"/>
        <v>1.67</v>
      </c>
      <c r="AH2" s="21">
        <f t="shared" si="0"/>
        <v>1.67</v>
      </c>
      <c r="AI2" s="21">
        <f t="shared" si="0"/>
        <v>1.67</v>
      </c>
      <c r="AJ2" s="21">
        <f t="shared" ref="AJ2:AJ3" si="1">AI2</f>
        <v>1.67</v>
      </c>
      <c r="AK2" s="21">
        <f t="shared" ref="AK2:AK3" si="2">AJ2</f>
        <v>1.67</v>
      </c>
      <c r="AL2" s="21">
        <f t="shared" ref="AL2:AL3" si="3">AK2</f>
        <v>1.67</v>
      </c>
      <c r="AM2" s="21">
        <f t="shared" ref="AM2:AM3" si="4">AL2</f>
        <v>1.67</v>
      </c>
      <c r="AN2" s="21">
        <f t="shared" ref="AN2:AN3" si="5">AM2</f>
        <v>1.67</v>
      </c>
      <c r="AO2" s="21">
        <f t="shared" ref="AO2:AO3" si="6">AN2</f>
        <v>1.67</v>
      </c>
      <c r="AP2" s="21">
        <f t="shared" ref="AP2:AP3" si="7">AO2</f>
        <v>1.67</v>
      </c>
      <c r="AQ2" s="21">
        <f t="shared" ref="AQ2:AQ3" si="8">AP2</f>
        <v>1.67</v>
      </c>
      <c r="AR2" s="21">
        <f t="shared" ref="AR2:AR3" si="9">AQ2</f>
        <v>1.67</v>
      </c>
      <c r="AS2" s="21">
        <f t="shared" ref="AS2:AS3" si="10">AR2</f>
        <v>1.67</v>
      </c>
    </row>
    <row r="3" spans="1:45">
      <c r="A3" s="1" t="s">
        <v>42</v>
      </c>
      <c r="B3" s="21">
        <v>21.196137258578663</v>
      </c>
      <c r="C3" s="21">
        <f>B3</f>
        <v>21.196137258578663</v>
      </c>
      <c r="D3" s="21">
        <f t="shared" ref="D3:AI3" si="11">C3</f>
        <v>21.196137258578663</v>
      </c>
      <c r="E3" s="21">
        <f t="shared" si="11"/>
        <v>21.196137258578663</v>
      </c>
      <c r="F3" s="21">
        <f t="shared" si="11"/>
        <v>21.196137258578663</v>
      </c>
      <c r="G3" s="21">
        <f t="shared" si="11"/>
        <v>21.196137258578663</v>
      </c>
      <c r="H3" s="21">
        <f t="shared" si="11"/>
        <v>21.196137258578663</v>
      </c>
      <c r="I3" s="21">
        <f t="shared" si="11"/>
        <v>21.196137258578663</v>
      </c>
      <c r="J3" s="21">
        <f t="shared" si="11"/>
        <v>21.196137258578663</v>
      </c>
      <c r="K3" s="21">
        <f t="shared" si="11"/>
        <v>21.196137258578663</v>
      </c>
      <c r="L3" s="21">
        <f t="shared" si="11"/>
        <v>21.196137258578663</v>
      </c>
      <c r="M3" s="21">
        <f t="shared" si="11"/>
        <v>21.196137258578663</v>
      </c>
      <c r="N3" s="21">
        <f t="shared" si="11"/>
        <v>21.196137258578663</v>
      </c>
      <c r="O3" s="21">
        <f t="shared" si="11"/>
        <v>21.196137258578663</v>
      </c>
      <c r="P3" s="21">
        <f t="shared" si="11"/>
        <v>21.196137258578663</v>
      </c>
      <c r="Q3" s="21">
        <f t="shared" si="11"/>
        <v>21.196137258578663</v>
      </c>
      <c r="R3" s="21">
        <f t="shared" si="11"/>
        <v>21.196137258578663</v>
      </c>
      <c r="S3" s="21">
        <f t="shared" si="11"/>
        <v>21.196137258578663</v>
      </c>
      <c r="T3" s="21">
        <f t="shared" si="11"/>
        <v>21.196137258578663</v>
      </c>
      <c r="U3" s="21">
        <f t="shared" si="11"/>
        <v>21.196137258578663</v>
      </c>
      <c r="V3" s="21">
        <f t="shared" si="11"/>
        <v>21.196137258578663</v>
      </c>
      <c r="W3" s="21">
        <f t="shared" si="11"/>
        <v>21.196137258578663</v>
      </c>
      <c r="X3" s="21">
        <f t="shared" si="11"/>
        <v>21.196137258578663</v>
      </c>
      <c r="Y3" s="21">
        <f t="shared" si="11"/>
        <v>21.196137258578663</v>
      </c>
      <c r="Z3" s="21">
        <f t="shared" si="11"/>
        <v>21.196137258578663</v>
      </c>
      <c r="AA3" s="21">
        <f t="shared" si="11"/>
        <v>21.196137258578663</v>
      </c>
      <c r="AB3" s="21">
        <f t="shared" si="11"/>
        <v>21.196137258578663</v>
      </c>
      <c r="AC3" s="21">
        <f t="shared" si="11"/>
        <v>21.196137258578663</v>
      </c>
      <c r="AD3" s="21">
        <f t="shared" si="11"/>
        <v>21.196137258578663</v>
      </c>
      <c r="AE3" s="21">
        <f t="shared" si="11"/>
        <v>21.196137258578663</v>
      </c>
      <c r="AF3" s="21">
        <f t="shared" si="11"/>
        <v>21.196137258578663</v>
      </c>
      <c r="AG3" s="21">
        <f t="shared" si="11"/>
        <v>21.196137258578663</v>
      </c>
      <c r="AH3" s="21">
        <f t="shared" si="11"/>
        <v>21.196137258578663</v>
      </c>
      <c r="AI3" s="21">
        <f t="shared" si="11"/>
        <v>21.196137258578663</v>
      </c>
      <c r="AJ3" s="21">
        <f t="shared" si="1"/>
        <v>21.196137258578663</v>
      </c>
      <c r="AK3" s="21">
        <f t="shared" si="2"/>
        <v>21.196137258578663</v>
      </c>
      <c r="AL3" s="21">
        <f t="shared" si="3"/>
        <v>21.196137258578663</v>
      </c>
      <c r="AM3" s="21">
        <f t="shared" si="4"/>
        <v>21.196137258578663</v>
      </c>
      <c r="AN3" s="21">
        <f t="shared" si="5"/>
        <v>21.196137258578663</v>
      </c>
      <c r="AO3" s="21">
        <f t="shared" si="6"/>
        <v>21.196137258578663</v>
      </c>
      <c r="AP3" s="21">
        <f t="shared" si="7"/>
        <v>21.196137258578663</v>
      </c>
      <c r="AQ3" s="21">
        <f t="shared" si="8"/>
        <v>21.196137258578663</v>
      </c>
      <c r="AR3" s="21">
        <f t="shared" si="9"/>
        <v>21.196137258578663</v>
      </c>
      <c r="AS3" s="21">
        <f t="shared" si="10"/>
        <v>21.196137258578663</v>
      </c>
    </row>
    <row r="4" spans="1:45">
      <c r="A4" s="32" t="s">
        <v>43</v>
      </c>
      <c r="B4" s="31">
        <f>aircraft!D3</f>
        <v>239.70073166222036</v>
      </c>
      <c r="C4" s="31">
        <f>$B$4</f>
        <v>239.70073166222036</v>
      </c>
      <c r="D4" s="31">
        <f t="shared" ref="D4:AS4" si="12">$B$4</f>
        <v>239.70073166222036</v>
      </c>
      <c r="E4" s="31">
        <f t="shared" si="12"/>
        <v>239.70073166222036</v>
      </c>
      <c r="F4" s="31">
        <f t="shared" si="12"/>
        <v>239.70073166222036</v>
      </c>
      <c r="G4" s="31">
        <f t="shared" si="12"/>
        <v>239.70073166222036</v>
      </c>
      <c r="H4" s="31">
        <f t="shared" si="12"/>
        <v>239.70073166222036</v>
      </c>
      <c r="I4" s="31">
        <f t="shared" si="12"/>
        <v>239.70073166222036</v>
      </c>
      <c r="J4" s="31">
        <f t="shared" si="12"/>
        <v>239.70073166222036</v>
      </c>
      <c r="K4" s="31">
        <f t="shared" si="12"/>
        <v>239.70073166222036</v>
      </c>
      <c r="L4" s="31">
        <f t="shared" si="12"/>
        <v>239.70073166222036</v>
      </c>
      <c r="M4" s="31">
        <f t="shared" si="12"/>
        <v>239.70073166222036</v>
      </c>
      <c r="N4" s="31">
        <f t="shared" si="12"/>
        <v>239.70073166222036</v>
      </c>
      <c r="O4" s="31">
        <f t="shared" si="12"/>
        <v>239.70073166222036</v>
      </c>
      <c r="P4" s="31">
        <f t="shared" si="12"/>
        <v>239.70073166222036</v>
      </c>
      <c r="Q4" s="31">
        <f t="shared" si="12"/>
        <v>239.70073166222036</v>
      </c>
      <c r="R4" s="31">
        <f t="shared" si="12"/>
        <v>239.70073166222036</v>
      </c>
      <c r="S4" s="31">
        <f t="shared" si="12"/>
        <v>239.70073166222036</v>
      </c>
      <c r="T4" s="31">
        <f t="shared" si="12"/>
        <v>239.70073166222036</v>
      </c>
      <c r="U4" s="31">
        <f t="shared" si="12"/>
        <v>239.70073166222036</v>
      </c>
      <c r="V4" s="31">
        <f t="shared" si="12"/>
        <v>239.70073166222036</v>
      </c>
      <c r="W4" s="31">
        <f t="shared" si="12"/>
        <v>239.70073166222036</v>
      </c>
      <c r="X4" s="31">
        <f t="shared" si="12"/>
        <v>239.70073166222036</v>
      </c>
      <c r="Y4" s="31">
        <f t="shared" si="12"/>
        <v>239.70073166222036</v>
      </c>
      <c r="Z4" s="31">
        <f t="shared" si="12"/>
        <v>239.70073166222036</v>
      </c>
      <c r="AA4" s="31">
        <f t="shared" si="12"/>
        <v>239.70073166222036</v>
      </c>
      <c r="AB4" s="31">
        <f t="shared" si="12"/>
        <v>239.70073166222036</v>
      </c>
      <c r="AC4" s="31">
        <f t="shared" si="12"/>
        <v>239.70073166222036</v>
      </c>
      <c r="AD4" s="31">
        <f t="shared" si="12"/>
        <v>239.70073166222036</v>
      </c>
      <c r="AE4" s="31">
        <f t="shared" si="12"/>
        <v>239.70073166222036</v>
      </c>
      <c r="AF4" s="31">
        <f t="shared" si="12"/>
        <v>239.70073166222036</v>
      </c>
      <c r="AG4" s="31">
        <f t="shared" si="12"/>
        <v>239.70073166222036</v>
      </c>
      <c r="AH4" s="31">
        <f t="shared" si="12"/>
        <v>239.70073166222036</v>
      </c>
      <c r="AI4" s="31">
        <f t="shared" si="12"/>
        <v>239.70073166222036</v>
      </c>
      <c r="AJ4" s="31">
        <f t="shared" si="12"/>
        <v>239.70073166222036</v>
      </c>
      <c r="AK4" s="31">
        <f t="shared" si="12"/>
        <v>239.70073166222036</v>
      </c>
      <c r="AL4" s="31">
        <f t="shared" si="12"/>
        <v>239.70073166222036</v>
      </c>
      <c r="AM4" s="31">
        <f t="shared" si="12"/>
        <v>239.70073166222036</v>
      </c>
      <c r="AN4" s="31">
        <f t="shared" si="12"/>
        <v>239.70073166222036</v>
      </c>
      <c r="AO4" s="31">
        <f t="shared" si="12"/>
        <v>239.70073166222036</v>
      </c>
      <c r="AP4" s="31">
        <f t="shared" si="12"/>
        <v>239.70073166222036</v>
      </c>
      <c r="AQ4" s="31">
        <f t="shared" si="12"/>
        <v>239.70073166222036</v>
      </c>
      <c r="AR4" s="31">
        <f t="shared" si="12"/>
        <v>239.70073166222036</v>
      </c>
      <c r="AS4" s="31">
        <f t="shared" si="12"/>
        <v>239.70073166222036</v>
      </c>
    </row>
    <row r="5" spans="1:45">
      <c r="A5" s="1" t="s">
        <v>44</v>
      </c>
      <c r="B5" s="23">
        <f>Rail!B4</f>
        <v>715.54233996265168</v>
      </c>
      <c r="C5" s="21">
        <f>B5</f>
        <v>715.54233996265168</v>
      </c>
      <c r="D5" s="21">
        <f t="shared" ref="D5:AI6" si="13">C5</f>
        <v>715.54233996265168</v>
      </c>
      <c r="E5" s="21">
        <f t="shared" si="13"/>
        <v>715.54233996265168</v>
      </c>
      <c r="F5" s="21">
        <f t="shared" si="13"/>
        <v>715.54233996265168</v>
      </c>
      <c r="G5" s="21">
        <f t="shared" si="13"/>
        <v>715.54233996265168</v>
      </c>
      <c r="H5" s="21">
        <f t="shared" si="13"/>
        <v>715.54233996265168</v>
      </c>
      <c r="I5" s="21">
        <f t="shared" si="13"/>
        <v>715.54233996265168</v>
      </c>
      <c r="J5" s="21">
        <f t="shared" si="13"/>
        <v>715.54233996265168</v>
      </c>
      <c r="K5" s="21">
        <f t="shared" si="13"/>
        <v>715.54233996265168</v>
      </c>
      <c r="L5" s="21">
        <f t="shared" si="13"/>
        <v>715.54233996265168</v>
      </c>
      <c r="M5" s="21">
        <f t="shared" si="13"/>
        <v>715.54233996265168</v>
      </c>
      <c r="N5" s="21">
        <f t="shared" si="13"/>
        <v>715.54233996265168</v>
      </c>
      <c r="O5" s="21">
        <f t="shared" si="13"/>
        <v>715.54233996265168</v>
      </c>
      <c r="P5" s="21">
        <f t="shared" si="13"/>
        <v>715.54233996265168</v>
      </c>
      <c r="Q5" s="21">
        <f t="shared" si="13"/>
        <v>715.54233996265168</v>
      </c>
      <c r="R5" s="21">
        <f t="shared" si="13"/>
        <v>715.54233996265168</v>
      </c>
      <c r="S5" s="21">
        <f t="shared" si="13"/>
        <v>715.54233996265168</v>
      </c>
      <c r="T5" s="21">
        <f t="shared" si="13"/>
        <v>715.54233996265168</v>
      </c>
      <c r="U5" s="21">
        <f t="shared" si="13"/>
        <v>715.54233996265168</v>
      </c>
      <c r="V5" s="21">
        <f t="shared" si="13"/>
        <v>715.54233996265168</v>
      </c>
      <c r="W5" s="21">
        <f t="shared" si="13"/>
        <v>715.54233996265168</v>
      </c>
      <c r="X5" s="21">
        <f t="shared" si="13"/>
        <v>715.54233996265168</v>
      </c>
      <c r="Y5" s="21">
        <f t="shared" si="13"/>
        <v>715.54233996265168</v>
      </c>
      <c r="Z5" s="21">
        <f t="shared" si="13"/>
        <v>715.54233996265168</v>
      </c>
      <c r="AA5" s="21">
        <f t="shared" si="13"/>
        <v>715.54233996265168</v>
      </c>
      <c r="AB5" s="21">
        <f t="shared" si="13"/>
        <v>715.54233996265168</v>
      </c>
      <c r="AC5" s="21">
        <f t="shared" si="13"/>
        <v>715.54233996265168</v>
      </c>
      <c r="AD5" s="21">
        <f t="shared" si="13"/>
        <v>715.54233996265168</v>
      </c>
      <c r="AE5" s="21">
        <f t="shared" si="13"/>
        <v>715.54233996265168</v>
      </c>
      <c r="AF5" s="21">
        <f t="shared" si="13"/>
        <v>715.54233996265168</v>
      </c>
      <c r="AG5" s="21">
        <f t="shared" si="13"/>
        <v>715.54233996265168</v>
      </c>
      <c r="AH5" s="21">
        <f t="shared" si="13"/>
        <v>715.54233996265168</v>
      </c>
      <c r="AI5" s="21">
        <f t="shared" si="13"/>
        <v>715.54233996265168</v>
      </c>
      <c r="AJ5" s="21">
        <f t="shared" ref="AJ5:AJ6" si="14">AI5</f>
        <v>715.54233996265168</v>
      </c>
      <c r="AK5" s="21">
        <f t="shared" ref="AK5:AK6" si="15">AJ5</f>
        <v>715.54233996265168</v>
      </c>
      <c r="AL5" s="21">
        <f t="shared" ref="AL5:AL6" si="16">AK5</f>
        <v>715.54233996265168</v>
      </c>
      <c r="AM5" s="21">
        <f t="shared" ref="AM5:AM6" si="17">AL5</f>
        <v>715.54233996265168</v>
      </c>
      <c r="AN5" s="21">
        <f t="shared" ref="AN5:AN6" si="18">AM5</f>
        <v>715.54233996265168</v>
      </c>
      <c r="AO5" s="21">
        <f t="shared" ref="AO5:AO6" si="19">AN5</f>
        <v>715.54233996265168</v>
      </c>
      <c r="AP5" s="21">
        <f t="shared" ref="AP5:AP6" si="20">AO5</f>
        <v>715.54233996265168</v>
      </c>
      <c r="AQ5" s="21">
        <f t="shared" ref="AQ5:AQ6" si="21">AP5</f>
        <v>715.54233996265168</v>
      </c>
      <c r="AR5" s="21">
        <f t="shared" ref="AR5:AR6" si="22">AQ5</f>
        <v>715.54233996265168</v>
      </c>
      <c r="AS5" s="21">
        <f t="shared" ref="AS5:AS6" si="23">AR5</f>
        <v>715.54233996265168</v>
      </c>
    </row>
    <row r="6" spans="1:45">
      <c r="A6" s="1" t="s">
        <v>45</v>
      </c>
      <c r="B6" s="23">
        <f>AVL!B53</f>
        <v>17.533087393027898</v>
      </c>
      <c r="C6" s="21">
        <f>B6</f>
        <v>17.533087393027898</v>
      </c>
      <c r="D6" s="21">
        <f t="shared" si="13"/>
        <v>17.533087393027898</v>
      </c>
      <c r="E6" s="21">
        <f t="shared" si="13"/>
        <v>17.533087393027898</v>
      </c>
      <c r="F6" s="21">
        <f t="shared" si="13"/>
        <v>17.533087393027898</v>
      </c>
      <c r="G6" s="21">
        <f t="shared" si="13"/>
        <v>17.533087393027898</v>
      </c>
      <c r="H6" s="21">
        <f t="shared" si="13"/>
        <v>17.533087393027898</v>
      </c>
      <c r="I6" s="21">
        <f t="shared" si="13"/>
        <v>17.533087393027898</v>
      </c>
      <c r="J6" s="21">
        <f t="shared" si="13"/>
        <v>17.533087393027898</v>
      </c>
      <c r="K6" s="21">
        <f t="shared" si="13"/>
        <v>17.533087393027898</v>
      </c>
      <c r="L6" s="21">
        <f t="shared" si="13"/>
        <v>17.533087393027898</v>
      </c>
      <c r="M6" s="21">
        <f t="shared" si="13"/>
        <v>17.533087393027898</v>
      </c>
      <c r="N6" s="21">
        <f t="shared" si="13"/>
        <v>17.533087393027898</v>
      </c>
      <c r="O6" s="21">
        <f t="shared" si="13"/>
        <v>17.533087393027898</v>
      </c>
      <c r="P6" s="21">
        <f t="shared" si="13"/>
        <v>17.533087393027898</v>
      </c>
      <c r="Q6" s="21">
        <f t="shared" si="13"/>
        <v>17.533087393027898</v>
      </c>
      <c r="R6" s="21">
        <f t="shared" si="13"/>
        <v>17.533087393027898</v>
      </c>
      <c r="S6" s="21">
        <f t="shared" si="13"/>
        <v>17.533087393027898</v>
      </c>
      <c r="T6" s="21">
        <f t="shared" si="13"/>
        <v>17.533087393027898</v>
      </c>
      <c r="U6" s="21">
        <f t="shared" si="13"/>
        <v>17.533087393027898</v>
      </c>
      <c r="V6" s="21">
        <f t="shared" si="13"/>
        <v>17.533087393027898</v>
      </c>
      <c r="W6" s="21">
        <f t="shared" si="13"/>
        <v>17.533087393027898</v>
      </c>
      <c r="X6" s="21">
        <f t="shared" si="13"/>
        <v>17.533087393027898</v>
      </c>
      <c r="Y6" s="21">
        <f t="shared" si="13"/>
        <v>17.533087393027898</v>
      </c>
      <c r="Z6" s="21">
        <f t="shared" si="13"/>
        <v>17.533087393027898</v>
      </c>
      <c r="AA6" s="21">
        <f t="shared" si="13"/>
        <v>17.533087393027898</v>
      </c>
      <c r="AB6" s="21">
        <f t="shared" si="13"/>
        <v>17.533087393027898</v>
      </c>
      <c r="AC6" s="21">
        <f t="shared" si="13"/>
        <v>17.533087393027898</v>
      </c>
      <c r="AD6" s="21">
        <f t="shared" si="13"/>
        <v>17.533087393027898</v>
      </c>
      <c r="AE6" s="21">
        <f t="shared" si="13"/>
        <v>17.533087393027898</v>
      </c>
      <c r="AF6" s="21">
        <f t="shared" si="13"/>
        <v>17.533087393027898</v>
      </c>
      <c r="AG6" s="21">
        <f t="shared" si="13"/>
        <v>17.533087393027898</v>
      </c>
      <c r="AH6" s="21">
        <f t="shared" si="13"/>
        <v>17.533087393027898</v>
      </c>
      <c r="AI6" s="21">
        <f t="shared" si="13"/>
        <v>17.533087393027898</v>
      </c>
      <c r="AJ6" s="21">
        <f t="shared" si="14"/>
        <v>17.533087393027898</v>
      </c>
      <c r="AK6" s="21">
        <f t="shared" si="15"/>
        <v>17.533087393027898</v>
      </c>
      <c r="AL6" s="21">
        <f t="shared" si="16"/>
        <v>17.533087393027898</v>
      </c>
      <c r="AM6" s="21">
        <f t="shared" si="17"/>
        <v>17.533087393027898</v>
      </c>
      <c r="AN6" s="21">
        <f t="shared" si="18"/>
        <v>17.533087393027898</v>
      </c>
      <c r="AO6" s="21">
        <f t="shared" si="19"/>
        <v>17.533087393027898</v>
      </c>
      <c r="AP6" s="21">
        <f t="shared" si="20"/>
        <v>17.533087393027898</v>
      </c>
      <c r="AQ6" s="21">
        <f t="shared" si="21"/>
        <v>17.533087393027898</v>
      </c>
      <c r="AR6" s="21">
        <f t="shared" si="22"/>
        <v>17.533087393027898</v>
      </c>
      <c r="AS6" s="21">
        <f t="shared" si="23"/>
        <v>17.533087393027898</v>
      </c>
    </row>
    <row r="7" spans="1:45">
      <c r="A7" s="1" t="s">
        <v>46</v>
      </c>
      <c r="B7" s="29">
        <f>motorbike!C3</f>
        <v>1.27</v>
      </c>
      <c r="C7" s="29">
        <f>$B$7</f>
        <v>1.27</v>
      </c>
      <c r="D7" s="29">
        <f t="shared" ref="D7:AS7" si="24">$B$7</f>
        <v>1.27</v>
      </c>
      <c r="E7" s="29">
        <f t="shared" si="24"/>
        <v>1.27</v>
      </c>
      <c r="F7" s="29">
        <f t="shared" si="24"/>
        <v>1.27</v>
      </c>
      <c r="G7" s="29">
        <f t="shared" si="24"/>
        <v>1.27</v>
      </c>
      <c r="H7" s="29">
        <f t="shared" si="24"/>
        <v>1.27</v>
      </c>
      <c r="I7" s="29">
        <f t="shared" si="24"/>
        <v>1.27</v>
      </c>
      <c r="J7" s="29">
        <f t="shared" si="24"/>
        <v>1.27</v>
      </c>
      <c r="K7" s="29">
        <f t="shared" si="24"/>
        <v>1.27</v>
      </c>
      <c r="L7" s="29">
        <f t="shared" si="24"/>
        <v>1.27</v>
      </c>
      <c r="M7" s="29">
        <f t="shared" si="24"/>
        <v>1.27</v>
      </c>
      <c r="N7" s="29">
        <f t="shared" si="24"/>
        <v>1.27</v>
      </c>
      <c r="O7" s="29">
        <f t="shared" si="24"/>
        <v>1.27</v>
      </c>
      <c r="P7" s="29">
        <f t="shared" si="24"/>
        <v>1.27</v>
      </c>
      <c r="Q7" s="29">
        <f t="shared" si="24"/>
        <v>1.27</v>
      </c>
      <c r="R7" s="29">
        <f t="shared" si="24"/>
        <v>1.27</v>
      </c>
      <c r="S7" s="29">
        <f t="shared" si="24"/>
        <v>1.27</v>
      </c>
      <c r="T7" s="29">
        <f t="shared" si="24"/>
        <v>1.27</v>
      </c>
      <c r="U7" s="29">
        <f t="shared" si="24"/>
        <v>1.27</v>
      </c>
      <c r="V7" s="29">
        <f t="shared" si="24"/>
        <v>1.27</v>
      </c>
      <c r="W7" s="29">
        <f t="shared" si="24"/>
        <v>1.27</v>
      </c>
      <c r="X7" s="29">
        <f t="shared" si="24"/>
        <v>1.27</v>
      </c>
      <c r="Y7" s="29">
        <f t="shared" si="24"/>
        <v>1.27</v>
      </c>
      <c r="Z7" s="29">
        <f t="shared" si="24"/>
        <v>1.27</v>
      </c>
      <c r="AA7" s="29">
        <f t="shared" si="24"/>
        <v>1.27</v>
      </c>
      <c r="AB7" s="29">
        <f t="shared" si="24"/>
        <v>1.27</v>
      </c>
      <c r="AC7" s="29">
        <f t="shared" si="24"/>
        <v>1.27</v>
      </c>
      <c r="AD7" s="29">
        <f t="shared" si="24"/>
        <v>1.27</v>
      </c>
      <c r="AE7" s="29">
        <f t="shared" si="24"/>
        <v>1.27</v>
      </c>
      <c r="AF7" s="29">
        <f t="shared" si="24"/>
        <v>1.27</v>
      </c>
      <c r="AG7" s="29">
        <f t="shared" si="24"/>
        <v>1.27</v>
      </c>
      <c r="AH7" s="29">
        <f t="shared" si="24"/>
        <v>1.27</v>
      </c>
      <c r="AI7" s="29">
        <f t="shared" si="24"/>
        <v>1.27</v>
      </c>
      <c r="AJ7" s="29">
        <f t="shared" si="24"/>
        <v>1.27</v>
      </c>
      <c r="AK7" s="29">
        <f t="shared" si="24"/>
        <v>1.27</v>
      </c>
      <c r="AL7" s="29">
        <f t="shared" si="24"/>
        <v>1.27</v>
      </c>
      <c r="AM7" s="29">
        <f t="shared" si="24"/>
        <v>1.27</v>
      </c>
      <c r="AN7" s="29">
        <f t="shared" si="24"/>
        <v>1.27</v>
      </c>
      <c r="AO7" s="29">
        <f t="shared" si="24"/>
        <v>1.27</v>
      </c>
      <c r="AP7" s="29">
        <f t="shared" si="24"/>
        <v>1.27</v>
      </c>
      <c r="AQ7" s="29">
        <f t="shared" si="24"/>
        <v>1.27</v>
      </c>
      <c r="AR7" s="29">
        <f t="shared" si="24"/>
        <v>1.27</v>
      </c>
      <c r="AS7" s="29">
        <f t="shared" si="24"/>
        <v>1.27</v>
      </c>
    </row>
  </sheetData>
  <phoneticPr fontId="40" type="noConversion"/>
  <pageMargins left="0.7" right="0.7" top="0.75" bottom="0.75" header="0.3" footer="0.3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/>
  </sheetPr>
  <dimension ref="A1:AT7"/>
  <sheetViews>
    <sheetView tabSelected="1" topLeftCell="Z1" workbookViewId="0">
      <selection activeCell="AM18" sqref="AM18"/>
    </sheetView>
  </sheetViews>
  <sheetFormatPr defaultColWidth="8.88671875" defaultRowHeight="14.4"/>
  <cols>
    <col min="1" max="1" width="11.88671875" customWidth="1"/>
    <col min="2" max="2" width="9.44140625" bestFit="1" customWidth="1"/>
    <col min="3" max="36" width="9" bestFit="1" customWidth="1"/>
  </cols>
  <sheetData>
    <row r="1" spans="1:46" s="1" customFormat="1">
      <c r="B1" s="1">
        <v>2016</v>
      </c>
      <c r="C1" s="1">
        <v>2017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  <c r="M1" s="1">
        <v>2027</v>
      </c>
      <c r="N1" s="1">
        <v>2028</v>
      </c>
      <c r="O1" s="1">
        <v>2029</v>
      </c>
      <c r="P1" s="1">
        <v>2030</v>
      </c>
      <c r="Q1" s="1">
        <v>2031</v>
      </c>
      <c r="R1" s="1">
        <v>2032</v>
      </c>
      <c r="S1" s="1">
        <v>2033</v>
      </c>
      <c r="T1" s="1">
        <v>2034</v>
      </c>
      <c r="U1" s="1">
        <v>2035</v>
      </c>
      <c r="V1" s="1">
        <v>2036</v>
      </c>
      <c r="W1" s="1">
        <v>2037</v>
      </c>
      <c r="X1" s="1">
        <v>2038</v>
      </c>
      <c r="Y1" s="1">
        <v>2039</v>
      </c>
      <c r="Z1" s="1">
        <v>2040</v>
      </c>
      <c r="AA1" s="1">
        <v>2041</v>
      </c>
      <c r="AB1" s="1">
        <v>2042</v>
      </c>
      <c r="AC1" s="1">
        <v>2043</v>
      </c>
      <c r="AD1" s="1">
        <v>2044</v>
      </c>
      <c r="AE1" s="1">
        <v>2045</v>
      </c>
      <c r="AF1" s="1">
        <v>2046</v>
      </c>
      <c r="AG1" s="1">
        <v>2047</v>
      </c>
      <c r="AH1" s="1">
        <v>2048</v>
      </c>
      <c r="AI1" s="1">
        <v>2049</v>
      </c>
      <c r="AJ1" s="1">
        <v>2050</v>
      </c>
      <c r="AK1" s="1">
        <v>2051</v>
      </c>
      <c r="AL1" s="1">
        <v>2052</v>
      </c>
      <c r="AM1" s="1">
        <v>2053</v>
      </c>
      <c r="AN1" s="1">
        <v>2054</v>
      </c>
      <c r="AO1" s="1">
        <v>2055</v>
      </c>
      <c r="AP1" s="1">
        <v>2056</v>
      </c>
      <c r="AQ1" s="1">
        <v>2057</v>
      </c>
      <c r="AR1" s="1">
        <v>2058</v>
      </c>
      <c r="AS1" s="1">
        <v>2059</v>
      </c>
      <c r="AT1" s="1">
        <v>2060</v>
      </c>
    </row>
    <row r="2" spans="1:46">
      <c r="A2" s="1" t="s">
        <v>41</v>
      </c>
      <c r="B2" s="39">
        <f>1.2*0.95</f>
        <v>1.1399999999999999</v>
      </c>
      <c r="C2">
        <f t="shared" ref="C2:R2" si="0">$B2</f>
        <v>1.1399999999999999</v>
      </c>
      <c r="D2">
        <f t="shared" si="0"/>
        <v>1.1399999999999999</v>
      </c>
      <c r="E2">
        <f t="shared" si="0"/>
        <v>1.1399999999999999</v>
      </c>
      <c r="F2">
        <f t="shared" si="0"/>
        <v>1.1399999999999999</v>
      </c>
      <c r="G2">
        <f t="shared" si="0"/>
        <v>1.1399999999999999</v>
      </c>
      <c r="H2">
        <f t="shared" si="0"/>
        <v>1.1399999999999999</v>
      </c>
      <c r="I2">
        <f t="shared" si="0"/>
        <v>1.1399999999999999</v>
      </c>
      <c r="J2">
        <f t="shared" si="0"/>
        <v>1.1399999999999999</v>
      </c>
      <c r="K2">
        <f t="shared" si="0"/>
        <v>1.1399999999999999</v>
      </c>
      <c r="L2">
        <f t="shared" si="0"/>
        <v>1.1399999999999999</v>
      </c>
      <c r="M2">
        <f t="shared" si="0"/>
        <v>1.1399999999999999</v>
      </c>
      <c r="N2">
        <f t="shared" si="0"/>
        <v>1.1399999999999999</v>
      </c>
      <c r="O2">
        <f t="shared" si="0"/>
        <v>1.1399999999999999</v>
      </c>
      <c r="P2">
        <f t="shared" si="0"/>
        <v>1.1399999999999999</v>
      </c>
      <c r="Q2">
        <f t="shared" si="0"/>
        <v>1.1399999999999999</v>
      </c>
      <c r="R2">
        <f t="shared" si="0"/>
        <v>1.1399999999999999</v>
      </c>
      <c r="S2">
        <f t="shared" ref="S2:AT2" si="1">$B2</f>
        <v>1.1399999999999999</v>
      </c>
      <c r="T2">
        <f t="shared" si="1"/>
        <v>1.1399999999999999</v>
      </c>
      <c r="U2">
        <f t="shared" si="1"/>
        <v>1.1399999999999999</v>
      </c>
      <c r="V2">
        <f t="shared" si="1"/>
        <v>1.1399999999999999</v>
      </c>
      <c r="W2">
        <f t="shared" si="1"/>
        <v>1.1399999999999999</v>
      </c>
      <c r="X2">
        <f t="shared" si="1"/>
        <v>1.1399999999999999</v>
      </c>
      <c r="Y2">
        <f t="shared" si="1"/>
        <v>1.1399999999999999</v>
      </c>
      <c r="Z2">
        <f t="shared" si="1"/>
        <v>1.1399999999999999</v>
      </c>
      <c r="AA2">
        <f t="shared" si="1"/>
        <v>1.1399999999999999</v>
      </c>
      <c r="AB2">
        <f t="shared" si="1"/>
        <v>1.1399999999999999</v>
      </c>
      <c r="AC2">
        <f t="shared" si="1"/>
        <v>1.1399999999999999</v>
      </c>
      <c r="AD2">
        <f t="shared" si="1"/>
        <v>1.1399999999999999</v>
      </c>
      <c r="AE2">
        <f t="shared" si="1"/>
        <v>1.1399999999999999</v>
      </c>
      <c r="AF2">
        <f t="shared" si="1"/>
        <v>1.1399999999999999</v>
      </c>
      <c r="AG2">
        <f t="shared" si="1"/>
        <v>1.1399999999999999</v>
      </c>
      <c r="AH2">
        <f t="shared" si="1"/>
        <v>1.1399999999999999</v>
      </c>
      <c r="AI2">
        <f t="shared" si="1"/>
        <v>1.1399999999999999</v>
      </c>
      <c r="AJ2">
        <f t="shared" si="1"/>
        <v>1.1399999999999999</v>
      </c>
      <c r="AK2">
        <f t="shared" si="1"/>
        <v>1.1399999999999999</v>
      </c>
      <c r="AL2">
        <f t="shared" si="1"/>
        <v>1.1399999999999999</v>
      </c>
      <c r="AM2">
        <f t="shared" si="1"/>
        <v>1.1399999999999999</v>
      </c>
      <c r="AN2">
        <f t="shared" si="1"/>
        <v>1.1399999999999999</v>
      </c>
      <c r="AO2">
        <f t="shared" si="1"/>
        <v>1.1399999999999999</v>
      </c>
      <c r="AP2">
        <f t="shared" si="1"/>
        <v>1.1399999999999999</v>
      </c>
      <c r="AQ2">
        <f t="shared" si="1"/>
        <v>1.1399999999999999</v>
      </c>
      <c r="AR2">
        <f t="shared" si="1"/>
        <v>1.1399999999999999</v>
      </c>
      <c r="AS2">
        <f t="shared" si="1"/>
        <v>1.1399999999999999</v>
      </c>
      <c r="AT2">
        <f t="shared" si="1"/>
        <v>1.1399999999999999</v>
      </c>
    </row>
    <row r="3" spans="1:46">
      <c r="A3" s="1" t="s">
        <v>42</v>
      </c>
      <c r="B3" s="30">
        <f>11.4*0.95</f>
        <v>10.83</v>
      </c>
      <c r="C3" s="30">
        <f>B3</f>
        <v>10.83</v>
      </c>
      <c r="D3" s="30">
        <f t="shared" ref="D3" si="2">C3</f>
        <v>10.83</v>
      </c>
      <c r="E3" s="30">
        <f>D3</f>
        <v>10.83</v>
      </c>
      <c r="F3" s="30">
        <f t="shared" ref="F3:AI3" si="3">E3</f>
        <v>10.83</v>
      </c>
      <c r="G3" s="30">
        <f t="shared" si="3"/>
        <v>10.83</v>
      </c>
      <c r="H3" s="30">
        <f t="shared" si="3"/>
        <v>10.83</v>
      </c>
      <c r="I3" s="30">
        <f t="shared" si="3"/>
        <v>10.83</v>
      </c>
      <c r="J3" s="30">
        <f t="shared" si="3"/>
        <v>10.83</v>
      </c>
      <c r="K3" s="30">
        <f t="shared" si="3"/>
        <v>10.83</v>
      </c>
      <c r="L3" s="30">
        <f t="shared" si="3"/>
        <v>10.83</v>
      </c>
      <c r="M3" s="30">
        <f t="shared" si="3"/>
        <v>10.83</v>
      </c>
      <c r="N3" s="30">
        <f t="shared" si="3"/>
        <v>10.83</v>
      </c>
      <c r="O3" s="30">
        <f t="shared" si="3"/>
        <v>10.83</v>
      </c>
      <c r="P3" s="30">
        <f t="shared" si="3"/>
        <v>10.83</v>
      </c>
      <c r="Q3" s="30">
        <f t="shared" si="3"/>
        <v>10.83</v>
      </c>
      <c r="R3" s="30">
        <f t="shared" si="3"/>
        <v>10.83</v>
      </c>
      <c r="S3" s="30">
        <f t="shared" si="3"/>
        <v>10.83</v>
      </c>
      <c r="T3" s="30">
        <f t="shared" si="3"/>
        <v>10.83</v>
      </c>
      <c r="U3" s="30">
        <f t="shared" si="3"/>
        <v>10.83</v>
      </c>
      <c r="V3" s="30">
        <f t="shared" si="3"/>
        <v>10.83</v>
      </c>
      <c r="W3" s="30">
        <f t="shared" si="3"/>
        <v>10.83</v>
      </c>
      <c r="X3" s="30">
        <f t="shared" si="3"/>
        <v>10.83</v>
      </c>
      <c r="Y3" s="30">
        <f t="shared" si="3"/>
        <v>10.83</v>
      </c>
      <c r="Z3" s="30">
        <f t="shared" si="3"/>
        <v>10.83</v>
      </c>
      <c r="AA3" s="30">
        <f t="shared" si="3"/>
        <v>10.83</v>
      </c>
      <c r="AB3" s="30">
        <f t="shared" si="3"/>
        <v>10.83</v>
      </c>
      <c r="AC3" s="30">
        <f t="shared" si="3"/>
        <v>10.83</v>
      </c>
      <c r="AD3" s="30">
        <f t="shared" si="3"/>
        <v>10.83</v>
      </c>
      <c r="AE3" s="30">
        <f t="shared" si="3"/>
        <v>10.83</v>
      </c>
      <c r="AF3" s="30">
        <f t="shared" si="3"/>
        <v>10.83</v>
      </c>
      <c r="AG3" s="30">
        <f t="shared" si="3"/>
        <v>10.83</v>
      </c>
      <c r="AH3" s="30">
        <f t="shared" si="3"/>
        <v>10.83</v>
      </c>
      <c r="AI3" s="30">
        <f t="shared" si="3"/>
        <v>10.83</v>
      </c>
      <c r="AJ3" s="30">
        <f t="shared" ref="AJ3" si="4">AI3</f>
        <v>10.83</v>
      </c>
      <c r="AK3" s="30">
        <f t="shared" ref="AK3" si="5">AJ3</f>
        <v>10.83</v>
      </c>
      <c r="AL3" s="30">
        <f t="shared" ref="AL3" si="6">AK3</f>
        <v>10.83</v>
      </c>
      <c r="AM3" s="30">
        <f t="shared" ref="AM3" si="7">AL3</f>
        <v>10.83</v>
      </c>
      <c r="AN3" s="30">
        <f t="shared" ref="AN3" si="8">AM3</f>
        <v>10.83</v>
      </c>
      <c r="AO3" s="30">
        <f t="shared" ref="AO3" si="9">AN3</f>
        <v>10.83</v>
      </c>
      <c r="AP3" s="30">
        <f t="shared" ref="AP3" si="10">AO3</f>
        <v>10.83</v>
      </c>
      <c r="AQ3" s="30">
        <f t="shared" ref="AQ3" si="11">AP3</f>
        <v>10.83</v>
      </c>
      <c r="AR3" s="30">
        <f t="shared" ref="AR3" si="12">AQ3</f>
        <v>10.83</v>
      </c>
      <c r="AS3" s="30">
        <f t="shared" ref="AS3:AT3" si="13">AR3</f>
        <v>10.83</v>
      </c>
      <c r="AT3" s="30">
        <f t="shared" si="13"/>
        <v>10.83</v>
      </c>
    </row>
    <row r="4" spans="1:46">
      <c r="A4" s="32" t="s">
        <v>43</v>
      </c>
      <c r="B4" s="31">
        <f>aircraft!D4</f>
        <v>29.511670253269312</v>
      </c>
      <c r="C4" s="31">
        <f>$B$4</f>
        <v>29.511670253269312</v>
      </c>
      <c r="D4" s="31">
        <f t="shared" ref="D4:AT4" si="14">$B$4</f>
        <v>29.511670253269312</v>
      </c>
      <c r="E4" s="31">
        <f t="shared" si="14"/>
        <v>29.511670253269312</v>
      </c>
      <c r="F4" s="31">
        <f t="shared" si="14"/>
        <v>29.511670253269312</v>
      </c>
      <c r="G4" s="31">
        <f t="shared" si="14"/>
        <v>29.511670253269312</v>
      </c>
      <c r="H4" s="31">
        <f t="shared" si="14"/>
        <v>29.511670253269312</v>
      </c>
      <c r="I4" s="31">
        <f t="shared" si="14"/>
        <v>29.511670253269312</v>
      </c>
      <c r="J4" s="31">
        <f t="shared" si="14"/>
        <v>29.511670253269312</v>
      </c>
      <c r="K4" s="31">
        <f t="shared" si="14"/>
        <v>29.511670253269312</v>
      </c>
      <c r="L4" s="31">
        <f t="shared" si="14"/>
        <v>29.511670253269312</v>
      </c>
      <c r="M4" s="31">
        <f t="shared" si="14"/>
        <v>29.511670253269312</v>
      </c>
      <c r="N4" s="31">
        <f t="shared" si="14"/>
        <v>29.511670253269312</v>
      </c>
      <c r="O4" s="31">
        <f t="shared" si="14"/>
        <v>29.511670253269312</v>
      </c>
      <c r="P4" s="31">
        <f t="shared" si="14"/>
        <v>29.511670253269312</v>
      </c>
      <c r="Q4" s="31">
        <f t="shared" si="14"/>
        <v>29.511670253269312</v>
      </c>
      <c r="R4" s="31">
        <f t="shared" si="14"/>
        <v>29.511670253269312</v>
      </c>
      <c r="S4" s="31">
        <f t="shared" si="14"/>
        <v>29.511670253269312</v>
      </c>
      <c r="T4" s="31">
        <f t="shared" si="14"/>
        <v>29.511670253269312</v>
      </c>
      <c r="U4" s="31">
        <f t="shared" si="14"/>
        <v>29.511670253269312</v>
      </c>
      <c r="V4" s="31">
        <f t="shared" si="14"/>
        <v>29.511670253269312</v>
      </c>
      <c r="W4" s="31">
        <f t="shared" si="14"/>
        <v>29.511670253269312</v>
      </c>
      <c r="X4" s="31">
        <f t="shared" si="14"/>
        <v>29.511670253269312</v>
      </c>
      <c r="Y4" s="31">
        <f t="shared" si="14"/>
        <v>29.511670253269312</v>
      </c>
      <c r="Z4" s="31">
        <f t="shared" si="14"/>
        <v>29.511670253269312</v>
      </c>
      <c r="AA4" s="31">
        <f t="shared" si="14"/>
        <v>29.511670253269312</v>
      </c>
      <c r="AB4" s="31">
        <f t="shared" si="14"/>
        <v>29.511670253269312</v>
      </c>
      <c r="AC4" s="31">
        <f t="shared" si="14"/>
        <v>29.511670253269312</v>
      </c>
      <c r="AD4" s="31">
        <f t="shared" si="14"/>
        <v>29.511670253269312</v>
      </c>
      <c r="AE4" s="31">
        <f t="shared" si="14"/>
        <v>29.511670253269312</v>
      </c>
      <c r="AF4" s="31">
        <f t="shared" si="14"/>
        <v>29.511670253269312</v>
      </c>
      <c r="AG4" s="31">
        <f t="shared" si="14"/>
        <v>29.511670253269312</v>
      </c>
      <c r="AH4" s="31">
        <f t="shared" si="14"/>
        <v>29.511670253269312</v>
      </c>
      <c r="AI4" s="31">
        <f t="shared" si="14"/>
        <v>29.511670253269312</v>
      </c>
      <c r="AJ4" s="31">
        <f t="shared" si="14"/>
        <v>29.511670253269312</v>
      </c>
      <c r="AK4" s="31">
        <f t="shared" si="14"/>
        <v>29.511670253269312</v>
      </c>
      <c r="AL4" s="31">
        <f t="shared" si="14"/>
        <v>29.511670253269312</v>
      </c>
      <c r="AM4" s="31">
        <f t="shared" si="14"/>
        <v>29.511670253269312</v>
      </c>
      <c r="AN4" s="31">
        <f t="shared" si="14"/>
        <v>29.511670253269312</v>
      </c>
      <c r="AO4" s="31">
        <f t="shared" si="14"/>
        <v>29.511670253269312</v>
      </c>
      <c r="AP4" s="31">
        <f t="shared" si="14"/>
        <v>29.511670253269312</v>
      </c>
      <c r="AQ4" s="31">
        <f t="shared" si="14"/>
        <v>29.511670253269312</v>
      </c>
      <c r="AR4" s="31">
        <f t="shared" si="14"/>
        <v>29.511670253269312</v>
      </c>
      <c r="AS4" s="31">
        <f t="shared" si="14"/>
        <v>29.511670253269312</v>
      </c>
      <c r="AT4" s="31">
        <f t="shared" si="14"/>
        <v>29.511670253269312</v>
      </c>
    </row>
    <row r="5" spans="1:46">
      <c r="A5" s="1" t="s">
        <v>44</v>
      </c>
      <c r="B5" s="4">
        <f>Rail!B7</f>
        <v>4000</v>
      </c>
      <c r="C5" s="28">
        <f>B5</f>
        <v>4000</v>
      </c>
      <c r="D5" s="28">
        <f t="shared" ref="D5:AI5" si="15">C5</f>
        <v>4000</v>
      </c>
      <c r="E5" s="28">
        <f t="shared" si="15"/>
        <v>4000</v>
      </c>
      <c r="F5" s="28">
        <f t="shared" si="15"/>
        <v>4000</v>
      </c>
      <c r="G5" s="28">
        <f t="shared" si="15"/>
        <v>4000</v>
      </c>
      <c r="H5" s="28">
        <f t="shared" si="15"/>
        <v>4000</v>
      </c>
      <c r="I5" s="28">
        <f t="shared" si="15"/>
        <v>4000</v>
      </c>
      <c r="J5" s="28">
        <f t="shared" si="15"/>
        <v>4000</v>
      </c>
      <c r="K5" s="28">
        <f t="shared" si="15"/>
        <v>4000</v>
      </c>
      <c r="L5" s="28">
        <f t="shared" si="15"/>
        <v>4000</v>
      </c>
      <c r="M5" s="28">
        <f t="shared" si="15"/>
        <v>4000</v>
      </c>
      <c r="N5" s="28">
        <f t="shared" si="15"/>
        <v>4000</v>
      </c>
      <c r="O5" s="28">
        <f t="shared" si="15"/>
        <v>4000</v>
      </c>
      <c r="P5" s="28">
        <f t="shared" si="15"/>
        <v>4000</v>
      </c>
      <c r="Q5" s="28">
        <f t="shared" si="15"/>
        <v>4000</v>
      </c>
      <c r="R5" s="28">
        <f t="shared" si="15"/>
        <v>4000</v>
      </c>
      <c r="S5" s="28">
        <f t="shared" si="15"/>
        <v>4000</v>
      </c>
      <c r="T5" s="28">
        <f t="shared" si="15"/>
        <v>4000</v>
      </c>
      <c r="U5" s="28">
        <f t="shared" si="15"/>
        <v>4000</v>
      </c>
      <c r="V5" s="28">
        <f t="shared" si="15"/>
        <v>4000</v>
      </c>
      <c r="W5" s="28">
        <f t="shared" si="15"/>
        <v>4000</v>
      </c>
      <c r="X5" s="28">
        <f t="shared" si="15"/>
        <v>4000</v>
      </c>
      <c r="Y5" s="28">
        <f t="shared" si="15"/>
        <v>4000</v>
      </c>
      <c r="Z5" s="28">
        <f t="shared" si="15"/>
        <v>4000</v>
      </c>
      <c r="AA5" s="28">
        <f t="shared" si="15"/>
        <v>4000</v>
      </c>
      <c r="AB5" s="28">
        <f t="shared" si="15"/>
        <v>4000</v>
      </c>
      <c r="AC5" s="28">
        <f t="shared" si="15"/>
        <v>4000</v>
      </c>
      <c r="AD5" s="28">
        <f t="shared" si="15"/>
        <v>4000</v>
      </c>
      <c r="AE5" s="28">
        <f t="shared" si="15"/>
        <v>4000</v>
      </c>
      <c r="AF5" s="28">
        <f t="shared" si="15"/>
        <v>4000</v>
      </c>
      <c r="AG5" s="28">
        <f t="shared" si="15"/>
        <v>4000</v>
      </c>
      <c r="AH5" s="28">
        <f t="shared" si="15"/>
        <v>4000</v>
      </c>
      <c r="AI5" s="28">
        <f t="shared" si="15"/>
        <v>4000</v>
      </c>
      <c r="AJ5" s="28">
        <f t="shared" ref="AJ5:AJ6" si="16">AI5</f>
        <v>4000</v>
      </c>
      <c r="AK5" s="28">
        <f t="shared" ref="AK5:AK6" si="17">AJ5</f>
        <v>4000</v>
      </c>
      <c r="AL5" s="28">
        <f t="shared" ref="AL5:AL6" si="18">AK5</f>
        <v>4000</v>
      </c>
      <c r="AM5" s="28">
        <f t="shared" ref="AM5:AM6" si="19">AL5</f>
        <v>4000</v>
      </c>
      <c r="AN5" s="28">
        <f t="shared" ref="AN5:AN6" si="20">AM5</f>
        <v>4000</v>
      </c>
      <c r="AO5" s="28">
        <f t="shared" ref="AO5:AO6" si="21">AN5</f>
        <v>4000</v>
      </c>
      <c r="AP5" s="28">
        <f t="shared" ref="AP5:AP6" si="22">AO5</f>
        <v>4000</v>
      </c>
      <c r="AQ5" s="28">
        <f t="shared" ref="AQ5:AQ6" si="23">AP5</f>
        <v>4000</v>
      </c>
      <c r="AR5" s="28">
        <f t="shared" ref="AR5:AR6" si="24">AQ5</f>
        <v>4000</v>
      </c>
      <c r="AS5" s="28">
        <f t="shared" ref="AS5:AT6" si="25">AR5</f>
        <v>4000</v>
      </c>
      <c r="AT5" s="28">
        <f t="shared" si="25"/>
        <v>4000</v>
      </c>
    </row>
    <row r="6" spans="1:46">
      <c r="A6" s="1" t="s">
        <v>45</v>
      </c>
      <c r="B6" s="4">
        <f>AVL!B39</f>
        <v>2257.5222609676471</v>
      </c>
      <c r="C6" s="28">
        <f>B6</f>
        <v>2257.5222609676471</v>
      </c>
      <c r="D6" s="28">
        <f t="shared" ref="D6:AI6" si="26">C6</f>
        <v>2257.5222609676471</v>
      </c>
      <c r="E6" s="28">
        <f t="shared" si="26"/>
        <v>2257.5222609676471</v>
      </c>
      <c r="F6" s="28">
        <f t="shared" si="26"/>
        <v>2257.5222609676471</v>
      </c>
      <c r="G6" s="28">
        <f t="shared" si="26"/>
        <v>2257.5222609676471</v>
      </c>
      <c r="H6" s="28">
        <f t="shared" si="26"/>
        <v>2257.5222609676471</v>
      </c>
      <c r="I6" s="28">
        <f t="shared" si="26"/>
        <v>2257.5222609676471</v>
      </c>
      <c r="J6" s="28">
        <f t="shared" si="26"/>
        <v>2257.5222609676471</v>
      </c>
      <c r="K6" s="28">
        <f t="shared" si="26"/>
        <v>2257.5222609676471</v>
      </c>
      <c r="L6" s="28">
        <f t="shared" si="26"/>
        <v>2257.5222609676471</v>
      </c>
      <c r="M6" s="28">
        <f t="shared" si="26"/>
        <v>2257.5222609676471</v>
      </c>
      <c r="N6" s="28">
        <f t="shared" si="26"/>
        <v>2257.5222609676471</v>
      </c>
      <c r="O6" s="28">
        <f t="shared" si="26"/>
        <v>2257.5222609676471</v>
      </c>
      <c r="P6" s="28">
        <f t="shared" si="26"/>
        <v>2257.5222609676471</v>
      </c>
      <c r="Q6" s="28">
        <f t="shared" si="26"/>
        <v>2257.5222609676471</v>
      </c>
      <c r="R6" s="28">
        <f t="shared" si="26"/>
        <v>2257.5222609676471</v>
      </c>
      <c r="S6" s="28">
        <f t="shared" si="26"/>
        <v>2257.5222609676471</v>
      </c>
      <c r="T6" s="28">
        <f t="shared" si="26"/>
        <v>2257.5222609676471</v>
      </c>
      <c r="U6" s="28">
        <f t="shared" si="26"/>
        <v>2257.5222609676471</v>
      </c>
      <c r="V6" s="28">
        <f t="shared" si="26"/>
        <v>2257.5222609676471</v>
      </c>
      <c r="W6" s="28">
        <f t="shared" si="26"/>
        <v>2257.5222609676471</v>
      </c>
      <c r="X6" s="28">
        <f t="shared" si="26"/>
        <v>2257.5222609676471</v>
      </c>
      <c r="Y6" s="28">
        <f t="shared" si="26"/>
        <v>2257.5222609676471</v>
      </c>
      <c r="Z6" s="28">
        <f t="shared" si="26"/>
        <v>2257.5222609676471</v>
      </c>
      <c r="AA6" s="28">
        <f t="shared" si="26"/>
        <v>2257.5222609676471</v>
      </c>
      <c r="AB6" s="28">
        <f t="shared" si="26"/>
        <v>2257.5222609676471</v>
      </c>
      <c r="AC6" s="28">
        <f t="shared" si="26"/>
        <v>2257.5222609676471</v>
      </c>
      <c r="AD6" s="28">
        <f t="shared" si="26"/>
        <v>2257.5222609676471</v>
      </c>
      <c r="AE6" s="28">
        <f t="shared" si="26"/>
        <v>2257.5222609676471</v>
      </c>
      <c r="AF6" s="28">
        <f t="shared" si="26"/>
        <v>2257.5222609676471</v>
      </c>
      <c r="AG6" s="28">
        <f t="shared" si="26"/>
        <v>2257.5222609676471</v>
      </c>
      <c r="AH6" s="28">
        <f t="shared" si="26"/>
        <v>2257.5222609676471</v>
      </c>
      <c r="AI6" s="28">
        <f t="shared" si="26"/>
        <v>2257.5222609676471</v>
      </c>
      <c r="AJ6" s="28">
        <f t="shared" si="16"/>
        <v>2257.5222609676471</v>
      </c>
      <c r="AK6" s="28">
        <f t="shared" si="17"/>
        <v>2257.5222609676471</v>
      </c>
      <c r="AL6" s="28">
        <f t="shared" si="18"/>
        <v>2257.5222609676471</v>
      </c>
      <c r="AM6" s="28">
        <f t="shared" si="19"/>
        <v>2257.5222609676471</v>
      </c>
      <c r="AN6" s="28">
        <f t="shared" si="20"/>
        <v>2257.5222609676471</v>
      </c>
      <c r="AO6" s="28">
        <f t="shared" si="21"/>
        <v>2257.5222609676471</v>
      </c>
      <c r="AP6" s="28">
        <f t="shared" si="22"/>
        <v>2257.5222609676471</v>
      </c>
      <c r="AQ6" s="28">
        <f t="shared" si="23"/>
        <v>2257.5222609676471</v>
      </c>
      <c r="AR6" s="28">
        <f t="shared" si="24"/>
        <v>2257.5222609676471</v>
      </c>
      <c r="AS6" s="28">
        <f t="shared" si="25"/>
        <v>2257.5222609676471</v>
      </c>
      <c r="AT6" s="28">
        <f t="shared" si="25"/>
        <v>2257.5222609676471</v>
      </c>
    </row>
    <row r="7" spans="1:46">
      <c r="A7" s="1" t="s">
        <v>46</v>
      </c>
      <c r="B7" s="29">
        <f>motorbike!C2</f>
        <v>0.15</v>
      </c>
      <c r="C7" s="29">
        <f>$B$7</f>
        <v>0.15</v>
      </c>
      <c r="D7" s="29">
        <f t="shared" ref="D7:AT7" si="27">$B$7</f>
        <v>0.15</v>
      </c>
      <c r="E7" s="29">
        <f t="shared" si="27"/>
        <v>0.15</v>
      </c>
      <c r="F7" s="29">
        <f t="shared" si="27"/>
        <v>0.15</v>
      </c>
      <c r="G7" s="29">
        <f t="shared" si="27"/>
        <v>0.15</v>
      </c>
      <c r="H7" s="29">
        <f t="shared" si="27"/>
        <v>0.15</v>
      </c>
      <c r="I7" s="29">
        <f t="shared" si="27"/>
        <v>0.15</v>
      </c>
      <c r="J7" s="29">
        <f t="shared" si="27"/>
        <v>0.15</v>
      </c>
      <c r="K7" s="29">
        <f t="shared" si="27"/>
        <v>0.15</v>
      </c>
      <c r="L7" s="29">
        <f t="shared" si="27"/>
        <v>0.15</v>
      </c>
      <c r="M7" s="29">
        <f t="shared" si="27"/>
        <v>0.15</v>
      </c>
      <c r="N7" s="29">
        <f t="shared" si="27"/>
        <v>0.15</v>
      </c>
      <c r="O7" s="29">
        <f t="shared" si="27"/>
        <v>0.15</v>
      </c>
      <c r="P7" s="29">
        <f t="shared" si="27"/>
        <v>0.15</v>
      </c>
      <c r="Q7" s="29">
        <f t="shared" si="27"/>
        <v>0.15</v>
      </c>
      <c r="R7" s="29">
        <f t="shared" si="27"/>
        <v>0.15</v>
      </c>
      <c r="S7" s="29">
        <f t="shared" si="27"/>
        <v>0.15</v>
      </c>
      <c r="T7" s="29">
        <f t="shared" si="27"/>
        <v>0.15</v>
      </c>
      <c r="U7" s="29">
        <f t="shared" si="27"/>
        <v>0.15</v>
      </c>
      <c r="V7" s="29">
        <f t="shared" si="27"/>
        <v>0.15</v>
      </c>
      <c r="W7" s="29">
        <f t="shared" si="27"/>
        <v>0.15</v>
      </c>
      <c r="X7" s="29">
        <f t="shared" si="27"/>
        <v>0.15</v>
      </c>
      <c r="Y7" s="29">
        <f t="shared" si="27"/>
        <v>0.15</v>
      </c>
      <c r="Z7" s="29">
        <f t="shared" si="27"/>
        <v>0.15</v>
      </c>
      <c r="AA7" s="29">
        <f t="shared" si="27"/>
        <v>0.15</v>
      </c>
      <c r="AB7" s="29">
        <f t="shared" si="27"/>
        <v>0.15</v>
      </c>
      <c r="AC7" s="29">
        <f t="shared" si="27"/>
        <v>0.15</v>
      </c>
      <c r="AD7" s="29">
        <f t="shared" si="27"/>
        <v>0.15</v>
      </c>
      <c r="AE7" s="29">
        <f t="shared" si="27"/>
        <v>0.15</v>
      </c>
      <c r="AF7" s="29">
        <f t="shared" si="27"/>
        <v>0.15</v>
      </c>
      <c r="AG7" s="29">
        <f t="shared" si="27"/>
        <v>0.15</v>
      </c>
      <c r="AH7" s="29">
        <f t="shared" si="27"/>
        <v>0.15</v>
      </c>
      <c r="AI7" s="29">
        <f t="shared" si="27"/>
        <v>0.15</v>
      </c>
      <c r="AJ7" s="29">
        <f t="shared" si="27"/>
        <v>0.15</v>
      </c>
      <c r="AK7" s="29">
        <f t="shared" si="27"/>
        <v>0.15</v>
      </c>
      <c r="AL7" s="29">
        <f t="shared" si="27"/>
        <v>0.15</v>
      </c>
      <c r="AM7" s="29">
        <f t="shared" si="27"/>
        <v>0.15</v>
      </c>
      <c r="AN7" s="29">
        <f t="shared" si="27"/>
        <v>0.15</v>
      </c>
      <c r="AO7" s="29">
        <f t="shared" si="27"/>
        <v>0.15</v>
      </c>
      <c r="AP7" s="29">
        <f t="shared" si="27"/>
        <v>0.15</v>
      </c>
      <c r="AQ7" s="29">
        <f t="shared" si="27"/>
        <v>0.15</v>
      </c>
      <c r="AR7" s="29">
        <f t="shared" si="27"/>
        <v>0.15</v>
      </c>
      <c r="AS7" s="29">
        <f t="shared" si="27"/>
        <v>0.15</v>
      </c>
      <c r="AT7" s="29">
        <f t="shared" si="27"/>
        <v>0.15</v>
      </c>
    </row>
  </sheetData>
  <phoneticPr fontId="40" type="noConversion"/>
  <pageMargins left="0.7" right="0.7" top="0.75" bottom="0.75" header="0.3" footer="0.3"/>
  <pageSetup orientation="portrait" r:id="rId1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BD1DE36A36CC7845A4126EF01914151E" ma:contentTypeVersion="14" ma:contentTypeDescription="新建文档。" ma:contentTypeScope="" ma:versionID="310835f059701aa681930bc3a1715053">
  <xsd:schema xmlns:xsd="http://www.w3.org/2001/XMLSchema" xmlns:xs="http://www.w3.org/2001/XMLSchema" xmlns:p="http://schemas.microsoft.com/office/2006/metadata/properties" xmlns:ns1="http://schemas.microsoft.com/sharepoint/v3" xmlns:ns2="2e2398b5-f60e-4ca0-a4ba-6048b5e4e90c" xmlns:ns3="a06c533b-533a-4f75-b7db-110f073002e4" targetNamespace="http://schemas.microsoft.com/office/2006/metadata/properties" ma:root="true" ma:fieldsID="7ba933288dd05553e9ce0f804d4dc608" ns1:_="" ns2:_="" ns3:_="">
    <xsd:import namespace="http://schemas.microsoft.com/sharepoint/v3"/>
    <xsd:import namespace="2e2398b5-f60e-4ca0-a4ba-6048b5e4e90c"/>
    <xsd:import namespace="a06c533b-533a-4f75-b7db-110f073002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5" nillable="true" ma:displayName="统一合规性策略属性" ma:hidden="true" ma:internalName="_ip_UnifiedCompliancePolicyProperties">
      <xsd:simpleType>
        <xsd:restriction base="dms:Note"/>
      </xsd:simpleType>
    </xsd:element>
    <xsd:element name="_ip_UnifiedCompliancePolicyUIAction" ma:index="16" nillable="true" ma:displayName="统一合规性策略 UI 操作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2398b5-f60e-4ca0-a4ba-6048b5e4e9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MediaServiceAutoTags" ma:internalName="MediaServiceAutoTags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6c533b-533a-4f75-b7db-110f073002e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享对象: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享对象详细信息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451E45-EBA9-468F-B06C-0D6295BBD487}">
  <ds:schemaRefs>
    <ds:schemaRef ds:uri="http://schemas.openxmlformats.org/package/2006/metadata/core-properties"/>
    <ds:schemaRef ds:uri="http://purl.org/dc/terms/"/>
    <ds:schemaRef ds:uri="a06c533b-533a-4f75-b7db-110f073002e4"/>
    <ds:schemaRef ds:uri="http://purl.org/dc/elements/1.1/"/>
    <ds:schemaRef ds:uri="http://www.w3.org/XML/1998/namespace"/>
    <ds:schemaRef ds:uri="http://schemas.microsoft.com/sharepoint/v3"/>
    <ds:schemaRef ds:uri="http://purl.org/dc/dcmitype/"/>
    <ds:schemaRef ds:uri="http://schemas.microsoft.com/office/2006/documentManagement/types"/>
    <ds:schemaRef ds:uri="http://schemas.microsoft.com/office/infopath/2007/PartnerControls"/>
    <ds:schemaRef ds:uri="2e2398b5-f60e-4ca0-a4ba-6048b5e4e90c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46EC1CF8-DA8F-4EA5-8572-70E1ECE0870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DFCCD47-582B-4AB1-BAAE-0543951F79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e2398b5-f60e-4ca0-a4ba-6048b5e4e90c"/>
    <ds:schemaRef ds:uri="a06c533b-533a-4f75-b7db-110f073002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About</vt:lpstr>
      <vt:lpstr>AVL</vt:lpstr>
      <vt:lpstr>aircraft</vt:lpstr>
      <vt:lpstr>Rail</vt:lpstr>
      <vt:lpstr>converter</vt:lpstr>
      <vt:lpstr>motorbike</vt:lpstr>
      <vt:lpstr>AVLo-passengers</vt:lpstr>
      <vt:lpstr>AVLo-freight</vt:lpstr>
    </vt:vector>
  </TitlesOfParts>
  <Manager/>
  <Company>EnergyInnovation.org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lenovo</cp:lastModifiedBy>
  <cp:revision/>
  <dcterms:created xsi:type="dcterms:W3CDTF">2015-06-16T22:55:39Z</dcterms:created>
  <dcterms:modified xsi:type="dcterms:W3CDTF">2023-02-17T07:27:40Z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0x010100BD1DE36A36CC7845A4126EF01914151E</vt:lpwstr>
  </property>
  <property fmtid="{D5CDD505-2E9C-101B-9397-08002B2CF9AE}" pid="3" name="AuthorIds_UIVersion_512">
    <vt:lpwstr>318</vt:lpwstr>
  </property>
</Properties>
</file>