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130"/>
  <workbookPr defaultThemeVersion="124226"/>
  <mc:AlternateContent xmlns:mc="http://schemas.openxmlformats.org/markup-compatibility/2006">
    <mc:Choice Requires="x15">
      <x15ac:absPath xmlns:x15ac="http://schemas.microsoft.com/office/spreadsheetml/2010/11/ac" url="G:\Workfile\EPS Models\EPS China 3.3.1\InputData\elec\DRC\"/>
    </mc:Choice>
  </mc:AlternateContent>
  <xr:revisionPtr revIDLastSave="0" documentId="13_ncr:1_{C87737A3-5196-49CF-8AA6-496DDD1A6375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About" sheetId="1" r:id="rId1"/>
    <sheet name="Calculations" sheetId="4" r:id="rId2"/>
    <sheet name="Current Capacity" sheetId="6" r:id="rId3"/>
    <sheet name="DRC-BDRC" sheetId="5" r:id="rId4"/>
    <sheet name="DRC-PADRC" sheetId="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2" i="4" l="1"/>
  <c r="C12" i="4"/>
  <c r="D12" i="4"/>
  <c r="E12" i="4"/>
  <c r="M11" i="4"/>
  <c r="N11" i="4" s="1"/>
  <c r="L11" i="4"/>
  <c r="L12" i="4" s="1"/>
  <c r="G12" i="4"/>
  <c r="H12" i="4"/>
  <c r="I12" i="4"/>
  <c r="J12" i="4"/>
  <c r="K12" i="4"/>
  <c r="F12" i="4"/>
  <c r="B2" i="5"/>
  <c r="D12" i="6"/>
  <c r="D34" i="6" s="1"/>
  <c r="N12" i="4" l="1"/>
  <c r="O11" i="4"/>
  <c r="M12" i="4"/>
  <c r="C7" i="4"/>
  <c r="D7" i="4"/>
  <c r="E7" i="4"/>
  <c r="F7" i="4"/>
  <c r="G2" i="2" s="1"/>
  <c r="G7" i="4"/>
  <c r="H2" i="2" s="1"/>
  <c r="H7" i="4"/>
  <c r="I2" i="2" s="1"/>
  <c r="I7" i="4"/>
  <c r="J2" i="2" s="1"/>
  <c r="J7" i="4"/>
  <c r="K2" i="2" s="1"/>
  <c r="K7" i="4"/>
  <c r="L2" i="2" s="1"/>
  <c r="L7" i="4"/>
  <c r="M2" i="2" s="1"/>
  <c r="M7" i="4"/>
  <c r="N2" i="2" s="1"/>
  <c r="N7" i="4"/>
  <c r="O2" i="2" s="1"/>
  <c r="O7" i="4"/>
  <c r="P2" i="2" s="1"/>
  <c r="P7" i="4"/>
  <c r="Q2" i="2" s="1"/>
  <c r="Q7" i="4"/>
  <c r="R2" i="2" s="1"/>
  <c r="R7" i="4"/>
  <c r="S2" i="2" s="1"/>
  <c r="S7" i="4"/>
  <c r="T2" i="2" s="1"/>
  <c r="T7" i="4"/>
  <c r="U2" i="2" s="1"/>
  <c r="U7" i="4"/>
  <c r="V2" i="2" s="1"/>
  <c r="V7" i="4"/>
  <c r="W2" i="2" s="1"/>
  <c r="W7" i="4"/>
  <c r="X2" i="2" s="1"/>
  <c r="X7" i="4"/>
  <c r="Y2" i="2" s="1"/>
  <c r="Y7" i="4"/>
  <c r="Z2" i="2" s="1"/>
  <c r="Z7" i="4"/>
  <c r="AA2" i="2" s="1"/>
  <c r="AA7" i="4"/>
  <c r="AB2" i="2" s="1"/>
  <c r="AB7" i="4"/>
  <c r="AC2" i="2" s="1"/>
  <c r="AC7" i="4"/>
  <c r="AD2" i="2" s="1"/>
  <c r="AD7" i="4"/>
  <c r="AE2" i="2" s="1"/>
  <c r="AE7" i="4"/>
  <c r="AF2" i="2" s="1"/>
  <c r="AF7" i="4"/>
  <c r="AG2" i="2" s="1"/>
  <c r="AG7" i="4"/>
  <c r="AH2" i="2" s="1"/>
  <c r="AH7" i="4"/>
  <c r="AI2" i="2" s="1"/>
  <c r="AI7" i="4"/>
  <c r="AJ2" i="2" s="1"/>
  <c r="AJ7" i="4"/>
  <c r="AK2" i="2" s="1"/>
  <c r="AK7" i="4"/>
  <c r="AL2" i="2" s="1"/>
  <c r="AL7" i="4"/>
  <c r="AM2" i="2" s="1"/>
  <c r="AM7" i="4"/>
  <c r="AN2" i="2" s="1"/>
  <c r="AN7" i="4"/>
  <c r="AO2" i="2" s="1"/>
  <c r="AO7" i="4"/>
  <c r="AP2" i="2" s="1"/>
  <c r="B7" i="4"/>
  <c r="C2" i="5" s="1"/>
  <c r="D2" i="5" s="1"/>
  <c r="E2" i="5" s="1"/>
  <c r="F2" i="5" s="1"/>
  <c r="G2" i="5" s="1"/>
  <c r="H2" i="5" s="1"/>
  <c r="I2" i="5" s="1"/>
  <c r="J2" i="5" s="1"/>
  <c r="K2" i="5" l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AF2" i="5" s="1"/>
  <c r="AG2" i="5" s="1"/>
  <c r="AH2" i="5" s="1"/>
  <c r="AI2" i="5" s="1"/>
  <c r="AJ2" i="5" s="1"/>
  <c r="AK2" i="5" s="1"/>
  <c r="AL2" i="5" s="1"/>
  <c r="AM2" i="5" s="1"/>
  <c r="AN2" i="5" s="1"/>
  <c r="AO2" i="5" s="1"/>
  <c r="AP2" i="5" s="1"/>
  <c r="P11" i="4"/>
  <c r="O12" i="4"/>
  <c r="Q11" i="4" l="1"/>
  <c r="P12" i="4"/>
  <c r="R11" i="4" l="1"/>
  <c r="Q12" i="4"/>
  <c r="S11" i="4" l="1"/>
  <c r="R12" i="4"/>
  <c r="T11" i="4" l="1"/>
  <c r="S12" i="4"/>
  <c r="U11" i="4" l="1"/>
  <c r="T12" i="4"/>
  <c r="U12" i="4" l="1"/>
  <c r="V11" i="4"/>
  <c r="V12" i="4" l="1"/>
  <c r="W11" i="4"/>
  <c r="X11" i="4" l="1"/>
  <c r="W12" i="4"/>
  <c r="X12" i="4" l="1"/>
  <c r="Y11" i="4"/>
  <c r="Z11" i="4" l="1"/>
  <c r="Y12" i="4"/>
  <c r="AA11" i="4" l="1"/>
  <c r="Z12" i="4"/>
  <c r="AA12" i="4" l="1"/>
  <c r="AB11" i="4"/>
  <c r="AB12" i="4" l="1"/>
  <c r="AC11" i="4"/>
  <c r="AD11" i="4" l="1"/>
  <c r="AC12" i="4"/>
  <c r="AE11" i="4" l="1"/>
  <c r="AD12" i="4"/>
  <c r="AE12" i="4" l="1"/>
  <c r="AF11" i="4"/>
  <c r="AF12" i="4" l="1"/>
  <c r="AG11" i="4"/>
  <c r="AH11" i="4" l="1"/>
  <c r="AG12" i="4"/>
  <c r="AI11" i="4" l="1"/>
  <c r="AH12" i="4"/>
  <c r="AI12" i="4" l="1"/>
  <c r="AJ11" i="4"/>
  <c r="AK11" i="4" l="1"/>
  <c r="AJ12" i="4"/>
  <c r="AL11" i="4" l="1"/>
  <c r="AK12" i="4"/>
  <c r="AL12" i="4" l="1"/>
  <c r="AM11" i="4"/>
  <c r="AM12" i="4" l="1"/>
  <c r="AN11" i="4"/>
  <c r="AO11" i="4" l="1"/>
  <c r="AO12" i="4" s="1"/>
  <c r="AN12" i="4"/>
</calcChain>
</file>

<file path=xl/sharedStrings.xml><?xml version="1.0" encoding="utf-8"?>
<sst xmlns="http://schemas.openxmlformats.org/spreadsheetml/2006/main" count="103" uniqueCount="102">
  <si>
    <t>Year</t>
  </si>
  <si>
    <t>Potential Additional DR Capacity (MW)</t>
  </si>
  <si>
    <t>DR Capacity (MW)</t>
  </si>
  <si>
    <t>DRC BAU Demand Response Capacity</t>
  </si>
  <si>
    <t>DRC Potential Additional Demand Response Capacity</t>
  </si>
  <si>
    <t>Demand response is defined as the potential to reduce or shift electricity usage during peak</t>
  </si>
  <si>
    <t>periods in response to time-based rates or other financial incentives.</t>
  </si>
  <si>
    <t>Notes:</t>
  </si>
  <si>
    <t>https://brattlefiles.blob.core.windows.net/files/16639_national_potential_for_load_flexibility_-_final.pdf</t>
  </si>
  <si>
    <t>Brattle Group</t>
  </si>
  <si>
    <t>The National Potential for Load Flexibility</t>
  </si>
  <si>
    <t>Slide 18</t>
  </si>
  <si>
    <t>Sources:</t>
  </si>
  <si>
    <t>Brattle Capacity Projections (MW)</t>
  </si>
  <si>
    <t>2019 Capacity and 2030 Projection</t>
  </si>
  <si>
    <t>Time (Year)</t>
  </si>
  <si>
    <t>Peak Demand - EPS Output</t>
  </si>
  <si>
    <t>To estimate BAU DR Capacity, we scale Brattle's 2019 estimate of demand response potential by</t>
  </si>
  <si>
    <t>the growth in peak demand (EPS model output).</t>
  </si>
  <si>
    <t>We use a Brattle analysis to estimate the potential in 2030, and scale the potential between 2019 and 2030 linearly.</t>
  </si>
  <si>
    <t>We then scale the potential from 2030 to 2050 by the growth in peak demand (EPS model output).</t>
  </si>
  <si>
    <t>Peak Power Demand after Storage and DR[summer] : MostRecentRun</t>
  </si>
  <si>
    <t>Time (Time)</t>
  </si>
  <si>
    <t>Peak Power Demand after Storage and DR[winter] : MostRecentRun</t>
  </si>
  <si>
    <t>Peak Power Demand after Storage and DR</t>
    <phoneticPr fontId="3" type="noConversion"/>
  </si>
  <si>
    <t>江苏</t>
  </si>
  <si>
    <t>浙江</t>
  </si>
  <si>
    <t>上海</t>
  </si>
  <si>
    <t>总需求响应能力</t>
    <phoneticPr fontId="3" type="noConversion"/>
  </si>
  <si>
    <t>最大削峰响应能力</t>
    <phoneticPr fontId="3" type="noConversion"/>
  </si>
  <si>
    <t>最大填谷响应能力</t>
    <phoneticPr fontId="3" type="noConversion"/>
  </si>
  <si>
    <t>自动需求响应能力</t>
    <phoneticPr fontId="3" type="noConversion"/>
  </si>
  <si>
    <t>河南</t>
  </si>
  <si>
    <t>湖南</t>
  </si>
  <si>
    <t>湖北</t>
  </si>
  <si>
    <t>山东</t>
  </si>
  <si>
    <t>天津</t>
  </si>
  <si>
    <t>重庆</t>
  </si>
  <si>
    <t>陕西</t>
  </si>
  <si>
    <t>广东</t>
  </si>
  <si>
    <t>Beijing</t>
  </si>
  <si>
    <t>Tianjin</t>
  </si>
  <si>
    <t>Hebei</t>
  </si>
  <si>
    <t>Shanxi</t>
  </si>
  <si>
    <t>内蒙古</t>
  </si>
  <si>
    <t>Inner Mongolia</t>
  </si>
  <si>
    <t>Liaoning</t>
  </si>
  <si>
    <t>Jilin</t>
  </si>
  <si>
    <t>黑龙江</t>
  </si>
  <si>
    <t>Heilongjiang</t>
  </si>
  <si>
    <t>Shanghai</t>
  </si>
  <si>
    <t>Jiangsu</t>
  </si>
  <si>
    <t>Zhejiang</t>
  </si>
  <si>
    <t>Anhui</t>
  </si>
  <si>
    <t>Fujian</t>
  </si>
  <si>
    <t>Jiangxi</t>
  </si>
  <si>
    <t>Shandong</t>
  </si>
  <si>
    <t>Henan</t>
  </si>
  <si>
    <t>Hubei</t>
  </si>
  <si>
    <t>Hunan</t>
  </si>
  <si>
    <t>Guangdong</t>
  </si>
  <si>
    <t>Guangxi</t>
  </si>
  <si>
    <t>Hainan</t>
  </si>
  <si>
    <t>Chongqing</t>
  </si>
  <si>
    <t>Sichuan</t>
  </si>
  <si>
    <t>Guizhou</t>
  </si>
  <si>
    <t>Yunnan</t>
  </si>
  <si>
    <t>Tibet</t>
  </si>
  <si>
    <t>Shaanxi</t>
  </si>
  <si>
    <t>Gansu</t>
  </si>
  <si>
    <t>Qinghai</t>
  </si>
  <si>
    <t>Ningxia</t>
  </si>
  <si>
    <t>Xinjiang</t>
  </si>
  <si>
    <t>全国</t>
  </si>
  <si>
    <t>北京</t>
  </si>
  <si>
    <t>河北</t>
  </si>
  <si>
    <t>山西</t>
  </si>
  <si>
    <t>辽宁</t>
  </si>
  <si>
    <t>吉林</t>
  </si>
  <si>
    <t>安徽</t>
  </si>
  <si>
    <t>福建</t>
  </si>
  <si>
    <t>江西</t>
  </si>
  <si>
    <t>广西</t>
  </si>
  <si>
    <t>海南</t>
  </si>
  <si>
    <t>四川</t>
  </si>
  <si>
    <t>贵州</t>
  </si>
  <si>
    <t>云南</t>
  </si>
  <si>
    <t>西藏</t>
  </si>
  <si>
    <t>甘肃</t>
  </si>
  <si>
    <t>青海</t>
  </si>
  <si>
    <t>宁夏</t>
  </si>
  <si>
    <t>新疆</t>
  </si>
  <si>
    <t>Year</t>
    <phoneticPr fontId="3" type="noConversion"/>
  </si>
  <si>
    <t>Region</t>
    <phoneticPr fontId="3" type="noConversion"/>
  </si>
  <si>
    <t>地区</t>
    <phoneticPr fontId="3" type="noConversion"/>
  </si>
  <si>
    <t>National</t>
    <phoneticPr fontId="3" type="noConversion"/>
  </si>
  <si>
    <t>Demand Response Capacity (10000KW)</t>
    <phoneticPr fontId="3" type="noConversion"/>
  </si>
  <si>
    <t>BAU DR Capacity Rate</t>
    <phoneticPr fontId="3" type="noConversion"/>
  </si>
  <si>
    <t>Potential Demand Reponse Capacity</t>
    <phoneticPr fontId="3" type="noConversion"/>
  </si>
  <si>
    <t>Potential Additional Reponse Capacity</t>
    <phoneticPr fontId="3" type="noConversion"/>
  </si>
  <si>
    <t>Capacity Limit</t>
    <phoneticPr fontId="3" type="noConversion"/>
  </si>
  <si>
    <t>YoY Capacity Growth Rate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</si>
</sst>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宋体"/>
      <family val="2"/>
      <scheme val="minor"/>
    </font>
    <font>
      <b/>
      <sz val="11"/>
      <color theme="1"/>
      <name val="宋体"/>
      <family val="2"/>
      <scheme val="minor"/>
    </font>
    <font>
      <u/>
      <sz val="11"/>
      <color theme="10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b/>
      <sz val="11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10" fontId="1" fillId="0" borderId="0" xfId="0" applyNumberFormat="1" applyFont="1" applyAlignment="1">
      <alignment horizontal="left"/>
    </xf>
    <xf numFmtId="1" fontId="0" fillId="0" borderId="0" xfId="0" applyNumberFormat="1"/>
    <xf numFmtId="0" fontId="1" fillId="0" borderId="0" xfId="0" applyFont="1" applyAlignment="1">
      <alignment wrapText="1"/>
    </xf>
    <xf numFmtId="0" fontId="0" fillId="2" borderId="0" xfId="0" applyFill="1"/>
    <xf numFmtId="0" fontId="1" fillId="2" borderId="0" xfId="0" applyFont="1" applyFill="1"/>
    <xf numFmtId="11" fontId="0" fillId="0" borderId="0" xfId="0" applyNumberFormat="1"/>
    <xf numFmtId="0" fontId="4" fillId="0" borderId="1" xfId="0" applyFont="1" applyBorder="1" applyAlignment="1">
      <alignment horizontal="center"/>
    </xf>
    <xf numFmtId="49" fontId="5" fillId="0" borderId="1" xfId="0" applyNumberFormat="1" applyFont="1" applyBorder="1" applyAlignment="1">
      <alignment horizontal="left" vertical="center"/>
    </xf>
    <xf numFmtId="49" fontId="6" fillId="0" borderId="1" xfId="0" applyNumberFormat="1" applyFont="1" applyBorder="1" applyAlignment="1">
      <alignment horizontal="left" vertical="center"/>
    </xf>
    <xf numFmtId="9" fontId="0" fillId="0" borderId="0" xfId="0" applyNumberFormat="1"/>
    <xf numFmtId="0" fontId="4" fillId="0" borderId="1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brattlefiles.blob.core.windows.net/files/16639_national_potential_for_load_flexibility_-_final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7"/>
  <sheetViews>
    <sheetView workbookViewId="0">
      <selection activeCell="B35" sqref="B35"/>
    </sheetView>
  </sheetViews>
  <sheetFormatPr defaultRowHeight="13.5" x14ac:dyDescent="0.15"/>
  <cols>
    <col min="2" max="2" width="28.625" customWidth="1"/>
  </cols>
  <sheetData>
    <row r="1" spans="1:2" x14ac:dyDescent="0.15">
      <c r="A1" s="1" t="s">
        <v>3</v>
      </c>
    </row>
    <row r="2" spans="1:2" x14ac:dyDescent="0.15">
      <c r="A2" s="1" t="s">
        <v>4</v>
      </c>
    </row>
    <row r="4" spans="1:2" x14ac:dyDescent="0.15">
      <c r="A4" s="1" t="s">
        <v>12</v>
      </c>
      <c r="B4" s="8" t="s">
        <v>14</v>
      </c>
    </row>
    <row r="5" spans="1:2" x14ac:dyDescent="0.15">
      <c r="B5" t="s">
        <v>9</v>
      </c>
    </row>
    <row r="6" spans="1:2" x14ac:dyDescent="0.15">
      <c r="B6" s="2">
        <v>2019</v>
      </c>
    </row>
    <row r="7" spans="1:2" x14ac:dyDescent="0.15">
      <c r="B7" t="s">
        <v>10</v>
      </c>
    </row>
    <row r="8" spans="1:2" x14ac:dyDescent="0.15">
      <c r="B8" s="3" t="s">
        <v>8</v>
      </c>
    </row>
    <row r="9" spans="1:2" x14ac:dyDescent="0.15">
      <c r="B9" t="s">
        <v>11</v>
      </c>
    </row>
    <row r="11" spans="1:2" x14ac:dyDescent="0.15">
      <c r="A11" s="1" t="s">
        <v>7</v>
      </c>
    </row>
    <row r="12" spans="1:2" x14ac:dyDescent="0.15">
      <c r="A12" t="s">
        <v>5</v>
      </c>
    </row>
    <row r="13" spans="1:2" x14ac:dyDescent="0.15">
      <c r="A13" t="s">
        <v>6</v>
      </c>
    </row>
    <row r="14" spans="1:2" x14ac:dyDescent="0.15">
      <c r="A14" s="1"/>
    </row>
    <row r="15" spans="1:2" x14ac:dyDescent="0.15">
      <c r="A15" t="s">
        <v>17</v>
      </c>
    </row>
    <row r="16" spans="1:2" x14ac:dyDescent="0.15">
      <c r="A16" t="s">
        <v>18</v>
      </c>
    </row>
    <row r="18" spans="1:2" x14ac:dyDescent="0.15">
      <c r="A18" t="s">
        <v>19</v>
      </c>
    </row>
    <row r="19" spans="1:2" x14ac:dyDescent="0.15">
      <c r="A19" t="s">
        <v>20</v>
      </c>
    </row>
    <row r="26" spans="1:2" x14ac:dyDescent="0.15">
      <c r="B26" s="1"/>
    </row>
    <row r="27" spans="1:2" x14ac:dyDescent="0.15">
      <c r="B27" s="4"/>
    </row>
  </sheetData>
  <phoneticPr fontId="3" type="noConversion"/>
  <hyperlinks>
    <hyperlink ref="B8" r:id="rId1" xr:uid="{00000000-0004-0000-0000-000000000000}"/>
  </hyperlinks>
  <pageMargins left="0.7" right="0.7" top="0.75" bottom="0.75" header="0.3" footer="0.3"/>
  <pageSetup orientation="portrait" horizontalDpi="1200" verticalDpi="12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O18"/>
  <sheetViews>
    <sheetView tabSelected="1" workbookViewId="0">
      <selection activeCell="A16" sqref="A16:AO18"/>
    </sheetView>
  </sheetViews>
  <sheetFormatPr defaultRowHeight="13.5" x14ac:dyDescent="0.15"/>
  <cols>
    <col min="1" max="1" width="107.125" bestFit="1" customWidth="1"/>
    <col min="2" max="2" width="9.5" bestFit="1" customWidth="1"/>
  </cols>
  <sheetData>
    <row r="1" spans="1:41" x14ac:dyDescent="0.15">
      <c r="A1" s="8" t="s">
        <v>13</v>
      </c>
      <c r="B1" s="7"/>
      <c r="C1" s="7"/>
    </row>
    <row r="2" spans="1:41" x14ac:dyDescent="0.15">
      <c r="A2">
        <v>2019</v>
      </c>
      <c r="B2">
        <v>2030</v>
      </c>
    </row>
    <row r="3" spans="1:41" x14ac:dyDescent="0.15">
      <c r="A3">
        <v>59000</v>
      </c>
      <c r="B3">
        <v>198000</v>
      </c>
    </row>
    <row r="5" spans="1:41" s="8" customFormat="1" x14ac:dyDescent="0.15">
      <c r="A5" s="8" t="s">
        <v>16</v>
      </c>
    </row>
    <row r="6" spans="1:41" x14ac:dyDescent="0.15">
      <c r="A6" t="s">
        <v>15</v>
      </c>
      <c r="B6">
        <v>2021</v>
      </c>
      <c r="C6">
        <v>2022</v>
      </c>
      <c r="D6">
        <v>2023</v>
      </c>
      <c r="E6">
        <v>2024</v>
      </c>
      <c r="F6">
        <v>2025</v>
      </c>
      <c r="G6">
        <v>2026</v>
      </c>
      <c r="H6">
        <v>2027</v>
      </c>
      <c r="I6">
        <v>2028</v>
      </c>
      <c r="J6">
        <v>2029</v>
      </c>
      <c r="K6">
        <v>2030</v>
      </c>
      <c r="L6">
        <v>2031</v>
      </c>
      <c r="M6">
        <v>2032</v>
      </c>
      <c r="N6">
        <v>2033</v>
      </c>
      <c r="O6">
        <v>2034</v>
      </c>
      <c r="P6">
        <v>2035</v>
      </c>
      <c r="Q6">
        <v>2036</v>
      </c>
      <c r="R6">
        <v>2037</v>
      </c>
      <c r="S6">
        <v>2038</v>
      </c>
      <c r="T6">
        <v>2039</v>
      </c>
      <c r="U6">
        <v>2040</v>
      </c>
      <c r="V6">
        <v>2041</v>
      </c>
      <c r="W6">
        <v>2042</v>
      </c>
      <c r="X6">
        <v>2043</v>
      </c>
      <c r="Y6">
        <v>2044</v>
      </c>
      <c r="Z6">
        <v>2045</v>
      </c>
      <c r="AA6">
        <v>2046</v>
      </c>
      <c r="AB6">
        <v>2047</v>
      </c>
      <c r="AC6">
        <v>2048</v>
      </c>
      <c r="AD6">
        <v>2049</v>
      </c>
      <c r="AE6">
        <v>2050</v>
      </c>
      <c r="AF6">
        <v>2051</v>
      </c>
      <c r="AG6">
        <v>2052</v>
      </c>
      <c r="AH6">
        <v>2053</v>
      </c>
      <c r="AI6">
        <v>2054</v>
      </c>
      <c r="AJ6">
        <v>2055</v>
      </c>
      <c r="AK6">
        <v>2056</v>
      </c>
      <c r="AL6">
        <v>2057</v>
      </c>
      <c r="AM6">
        <v>2058</v>
      </c>
      <c r="AN6">
        <v>2059</v>
      </c>
      <c r="AO6">
        <v>2060</v>
      </c>
    </row>
    <row r="7" spans="1:41" x14ac:dyDescent="0.15">
      <c r="A7" t="s">
        <v>24</v>
      </c>
      <c r="B7" s="9">
        <f t="shared" ref="B7:AO7" si="0">MAX(B17:B18)</f>
        <v>1292340</v>
      </c>
      <c r="C7" s="9">
        <f t="shared" si="0"/>
        <v>1337660</v>
      </c>
      <c r="D7" s="9">
        <f t="shared" si="0"/>
        <v>1379360</v>
      </c>
      <c r="E7" s="9">
        <f t="shared" si="0"/>
        <v>1417940</v>
      </c>
      <c r="F7" s="9">
        <f t="shared" si="0"/>
        <v>1455020</v>
      </c>
      <c r="G7" s="9">
        <f t="shared" si="0"/>
        <v>1492730</v>
      </c>
      <c r="H7" s="9">
        <f t="shared" si="0"/>
        <v>1528990</v>
      </c>
      <c r="I7" s="9">
        <f t="shared" si="0"/>
        <v>1566340</v>
      </c>
      <c r="J7" s="9">
        <f t="shared" si="0"/>
        <v>1599300</v>
      </c>
      <c r="K7" s="9">
        <f t="shared" si="0"/>
        <v>1636140</v>
      </c>
      <c r="L7" s="9">
        <f t="shared" si="0"/>
        <v>1670010</v>
      </c>
      <c r="M7" s="9">
        <f t="shared" si="0"/>
        <v>1698560</v>
      </c>
      <c r="N7" s="9">
        <f t="shared" si="0"/>
        <v>1731340</v>
      </c>
      <c r="O7" s="9">
        <f t="shared" si="0"/>
        <v>1761220</v>
      </c>
      <c r="P7" s="9">
        <f t="shared" si="0"/>
        <v>1789920</v>
      </c>
      <c r="Q7" s="9">
        <f t="shared" si="0"/>
        <v>1819430</v>
      </c>
      <c r="R7" s="9">
        <f t="shared" si="0"/>
        <v>1848970</v>
      </c>
      <c r="S7" s="9">
        <f t="shared" si="0"/>
        <v>1876120</v>
      </c>
      <c r="T7" s="9">
        <f t="shared" si="0"/>
        <v>1899790</v>
      </c>
      <c r="U7" s="9">
        <f t="shared" si="0"/>
        <v>1926270</v>
      </c>
      <c r="V7" s="9">
        <f t="shared" si="0"/>
        <v>1948580</v>
      </c>
      <c r="W7" s="9">
        <f t="shared" si="0"/>
        <v>1970260</v>
      </c>
      <c r="X7" s="9">
        <f t="shared" si="0"/>
        <v>1991580</v>
      </c>
      <c r="Y7" s="9">
        <f t="shared" si="0"/>
        <v>2014250</v>
      </c>
      <c r="Z7" s="9">
        <f t="shared" si="0"/>
        <v>2033130</v>
      </c>
      <c r="AA7" s="9">
        <f t="shared" si="0"/>
        <v>2051100</v>
      </c>
      <c r="AB7" s="9">
        <f t="shared" si="0"/>
        <v>2069650</v>
      </c>
      <c r="AC7" s="9">
        <f t="shared" si="0"/>
        <v>2088680</v>
      </c>
      <c r="AD7" s="9">
        <f t="shared" si="0"/>
        <v>2107770</v>
      </c>
      <c r="AE7" s="9">
        <f t="shared" si="0"/>
        <v>2125090</v>
      </c>
      <c r="AF7" s="9">
        <f t="shared" si="0"/>
        <v>2141720</v>
      </c>
      <c r="AG7" s="9">
        <f t="shared" si="0"/>
        <v>2157780</v>
      </c>
      <c r="AH7" s="9">
        <f t="shared" si="0"/>
        <v>2174800</v>
      </c>
      <c r="AI7" s="9">
        <f t="shared" si="0"/>
        <v>2188940</v>
      </c>
      <c r="AJ7" s="9">
        <f t="shared" si="0"/>
        <v>2203450</v>
      </c>
      <c r="AK7" s="9">
        <f t="shared" si="0"/>
        <v>2217790</v>
      </c>
      <c r="AL7" s="9">
        <f t="shared" si="0"/>
        <v>2231460</v>
      </c>
      <c r="AM7" s="9">
        <f t="shared" si="0"/>
        <v>2246450</v>
      </c>
      <c r="AN7" s="9">
        <f t="shared" si="0"/>
        <v>2260900</v>
      </c>
      <c r="AO7" s="9">
        <f t="shared" si="0"/>
        <v>2276160</v>
      </c>
    </row>
    <row r="9" spans="1:41" x14ac:dyDescent="0.15">
      <c r="A9" t="s">
        <v>100</v>
      </c>
    </row>
    <row r="10" spans="1:41" x14ac:dyDescent="0.15">
      <c r="A10" t="s">
        <v>97</v>
      </c>
      <c r="B10" s="13">
        <v>0.03</v>
      </c>
      <c r="C10" s="13">
        <v>0.03</v>
      </c>
      <c r="D10" s="13">
        <v>0.03</v>
      </c>
      <c r="E10" s="13">
        <v>0.03</v>
      </c>
      <c r="F10" s="13">
        <v>0.03</v>
      </c>
      <c r="G10" s="13">
        <v>0.03</v>
      </c>
      <c r="H10" s="13">
        <v>0.03</v>
      </c>
      <c r="I10" s="13">
        <v>0.03</v>
      </c>
      <c r="J10" s="13">
        <v>0.03</v>
      </c>
      <c r="K10" s="13">
        <v>0.03</v>
      </c>
      <c r="L10" s="13">
        <v>0.03</v>
      </c>
      <c r="M10" s="13">
        <v>0.03</v>
      </c>
      <c r="N10" s="13">
        <v>0.03</v>
      </c>
      <c r="O10" s="13">
        <v>0.03</v>
      </c>
      <c r="P10" s="13">
        <v>0.03</v>
      </c>
      <c r="Q10" s="13">
        <v>0.03</v>
      </c>
      <c r="R10" s="13">
        <v>0.03</v>
      </c>
      <c r="S10" s="13">
        <v>0.03</v>
      </c>
      <c r="T10" s="13">
        <v>0.03</v>
      </c>
      <c r="U10" s="13">
        <v>0.03</v>
      </c>
      <c r="V10" s="13">
        <v>0.03</v>
      </c>
      <c r="W10" s="13">
        <v>0.03</v>
      </c>
      <c r="X10" s="13">
        <v>0.03</v>
      </c>
      <c r="Y10" s="13">
        <v>0.03</v>
      </c>
      <c r="Z10" s="13">
        <v>0.03</v>
      </c>
      <c r="AA10" s="13">
        <v>0.03</v>
      </c>
      <c r="AB10" s="13">
        <v>0.03</v>
      </c>
      <c r="AC10" s="13">
        <v>0.03</v>
      </c>
      <c r="AD10" s="13">
        <v>0.03</v>
      </c>
      <c r="AE10" s="13">
        <v>0.03</v>
      </c>
      <c r="AF10" s="13">
        <v>0.03</v>
      </c>
      <c r="AG10" s="13">
        <v>0.03</v>
      </c>
      <c r="AH10" s="13">
        <v>0.03</v>
      </c>
      <c r="AI10" s="13">
        <v>0.03</v>
      </c>
      <c r="AJ10" s="13">
        <v>0.03</v>
      </c>
      <c r="AK10" s="13">
        <v>0.03</v>
      </c>
      <c r="AL10" s="13">
        <v>0.03</v>
      </c>
      <c r="AM10" s="13">
        <v>0.03</v>
      </c>
      <c r="AN10" s="13">
        <v>0.03</v>
      </c>
      <c r="AO10" s="13">
        <v>0.03</v>
      </c>
    </row>
    <row r="11" spans="1:41" x14ac:dyDescent="0.15">
      <c r="A11" t="s">
        <v>98</v>
      </c>
      <c r="B11" s="13">
        <v>0.05</v>
      </c>
      <c r="C11" s="13">
        <v>0.05</v>
      </c>
      <c r="D11" s="13">
        <v>0.05</v>
      </c>
      <c r="E11" s="13">
        <v>0.05</v>
      </c>
      <c r="F11" s="13">
        <v>0.05</v>
      </c>
      <c r="G11" s="13">
        <v>0.06</v>
      </c>
      <c r="H11" s="13">
        <v>7.0000000000000007E-2</v>
      </c>
      <c r="I11" s="13">
        <v>0.08</v>
      </c>
      <c r="J11" s="13">
        <v>0.09</v>
      </c>
      <c r="K11" s="13">
        <v>0.1</v>
      </c>
      <c r="L11" s="13">
        <f>K11</f>
        <v>0.1</v>
      </c>
      <c r="M11" s="13">
        <f t="shared" ref="M11:AO11" si="1">L11</f>
        <v>0.1</v>
      </c>
      <c r="N11" s="13">
        <f t="shared" si="1"/>
        <v>0.1</v>
      </c>
      <c r="O11" s="13">
        <f t="shared" si="1"/>
        <v>0.1</v>
      </c>
      <c r="P11" s="13">
        <f t="shared" si="1"/>
        <v>0.1</v>
      </c>
      <c r="Q11" s="13">
        <f t="shared" si="1"/>
        <v>0.1</v>
      </c>
      <c r="R11" s="13">
        <f t="shared" si="1"/>
        <v>0.1</v>
      </c>
      <c r="S11" s="13">
        <f t="shared" si="1"/>
        <v>0.1</v>
      </c>
      <c r="T11" s="13">
        <f t="shared" si="1"/>
        <v>0.1</v>
      </c>
      <c r="U11" s="13">
        <f t="shared" si="1"/>
        <v>0.1</v>
      </c>
      <c r="V11" s="13">
        <f t="shared" si="1"/>
        <v>0.1</v>
      </c>
      <c r="W11" s="13">
        <f t="shared" si="1"/>
        <v>0.1</v>
      </c>
      <c r="X11" s="13">
        <f t="shared" si="1"/>
        <v>0.1</v>
      </c>
      <c r="Y11" s="13">
        <f t="shared" si="1"/>
        <v>0.1</v>
      </c>
      <c r="Z11" s="13">
        <f t="shared" si="1"/>
        <v>0.1</v>
      </c>
      <c r="AA11" s="13">
        <f t="shared" si="1"/>
        <v>0.1</v>
      </c>
      <c r="AB11" s="13">
        <f t="shared" si="1"/>
        <v>0.1</v>
      </c>
      <c r="AC11" s="13">
        <f t="shared" si="1"/>
        <v>0.1</v>
      </c>
      <c r="AD11" s="13">
        <f t="shared" si="1"/>
        <v>0.1</v>
      </c>
      <c r="AE11" s="13">
        <f t="shared" si="1"/>
        <v>0.1</v>
      </c>
      <c r="AF11" s="13">
        <f t="shared" si="1"/>
        <v>0.1</v>
      </c>
      <c r="AG11" s="13">
        <f t="shared" si="1"/>
        <v>0.1</v>
      </c>
      <c r="AH11" s="13">
        <f t="shared" si="1"/>
        <v>0.1</v>
      </c>
      <c r="AI11" s="13">
        <f t="shared" si="1"/>
        <v>0.1</v>
      </c>
      <c r="AJ11" s="13">
        <f t="shared" si="1"/>
        <v>0.1</v>
      </c>
      <c r="AK11" s="13">
        <f t="shared" si="1"/>
        <v>0.1</v>
      </c>
      <c r="AL11" s="13">
        <f t="shared" si="1"/>
        <v>0.1</v>
      </c>
      <c r="AM11" s="13">
        <f t="shared" si="1"/>
        <v>0.1</v>
      </c>
      <c r="AN11" s="13">
        <f t="shared" si="1"/>
        <v>0.1</v>
      </c>
      <c r="AO11" s="13">
        <f t="shared" si="1"/>
        <v>0.1</v>
      </c>
    </row>
    <row r="12" spans="1:41" x14ac:dyDescent="0.15">
      <c r="A12" t="s">
        <v>99</v>
      </c>
      <c r="B12" s="13">
        <f t="shared" ref="B12:E12" si="2">B11-B10</f>
        <v>2.0000000000000004E-2</v>
      </c>
      <c r="C12" s="13">
        <f t="shared" si="2"/>
        <v>2.0000000000000004E-2</v>
      </c>
      <c r="D12" s="13">
        <f t="shared" si="2"/>
        <v>2.0000000000000004E-2</v>
      </c>
      <c r="E12" s="13">
        <f t="shared" si="2"/>
        <v>2.0000000000000004E-2</v>
      </c>
      <c r="F12" s="13">
        <f>F11-F10</f>
        <v>2.0000000000000004E-2</v>
      </c>
      <c r="G12" s="13">
        <f t="shared" ref="G12:AO12" si="3">G11-G10</f>
        <v>0.03</v>
      </c>
      <c r="H12" s="13">
        <f t="shared" si="3"/>
        <v>4.0000000000000008E-2</v>
      </c>
      <c r="I12" s="13">
        <f t="shared" si="3"/>
        <v>0.05</v>
      </c>
      <c r="J12" s="13">
        <f t="shared" si="3"/>
        <v>0.06</v>
      </c>
      <c r="K12" s="13">
        <f t="shared" si="3"/>
        <v>7.0000000000000007E-2</v>
      </c>
      <c r="L12" s="13">
        <f t="shared" si="3"/>
        <v>7.0000000000000007E-2</v>
      </c>
      <c r="M12" s="13">
        <f t="shared" si="3"/>
        <v>7.0000000000000007E-2</v>
      </c>
      <c r="N12" s="13">
        <f t="shared" si="3"/>
        <v>7.0000000000000007E-2</v>
      </c>
      <c r="O12" s="13">
        <f t="shared" si="3"/>
        <v>7.0000000000000007E-2</v>
      </c>
      <c r="P12" s="13">
        <f t="shared" si="3"/>
        <v>7.0000000000000007E-2</v>
      </c>
      <c r="Q12" s="13">
        <f t="shared" si="3"/>
        <v>7.0000000000000007E-2</v>
      </c>
      <c r="R12" s="13">
        <f t="shared" si="3"/>
        <v>7.0000000000000007E-2</v>
      </c>
      <c r="S12" s="13">
        <f t="shared" si="3"/>
        <v>7.0000000000000007E-2</v>
      </c>
      <c r="T12" s="13">
        <f t="shared" si="3"/>
        <v>7.0000000000000007E-2</v>
      </c>
      <c r="U12" s="13">
        <f t="shared" si="3"/>
        <v>7.0000000000000007E-2</v>
      </c>
      <c r="V12" s="13">
        <f t="shared" si="3"/>
        <v>7.0000000000000007E-2</v>
      </c>
      <c r="W12" s="13">
        <f t="shared" si="3"/>
        <v>7.0000000000000007E-2</v>
      </c>
      <c r="X12" s="13">
        <f t="shared" si="3"/>
        <v>7.0000000000000007E-2</v>
      </c>
      <c r="Y12" s="13">
        <f t="shared" si="3"/>
        <v>7.0000000000000007E-2</v>
      </c>
      <c r="Z12" s="13">
        <f t="shared" si="3"/>
        <v>7.0000000000000007E-2</v>
      </c>
      <c r="AA12" s="13">
        <f t="shared" si="3"/>
        <v>7.0000000000000007E-2</v>
      </c>
      <c r="AB12" s="13">
        <f t="shared" si="3"/>
        <v>7.0000000000000007E-2</v>
      </c>
      <c r="AC12" s="13">
        <f t="shared" si="3"/>
        <v>7.0000000000000007E-2</v>
      </c>
      <c r="AD12" s="13">
        <f t="shared" si="3"/>
        <v>7.0000000000000007E-2</v>
      </c>
      <c r="AE12" s="13">
        <f t="shared" si="3"/>
        <v>7.0000000000000007E-2</v>
      </c>
      <c r="AF12" s="13">
        <f t="shared" si="3"/>
        <v>7.0000000000000007E-2</v>
      </c>
      <c r="AG12" s="13">
        <f t="shared" si="3"/>
        <v>7.0000000000000007E-2</v>
      </c>
      <c r="AH12" s="13">
        <f t="shared" si="3"/>
        <v>7.0000000000000007E-2</v>
      </c>
      <c r="AI12" s="13">
        <f t="shared" si="3"/>
        <v>7.0000000000000007E-2</v>
      </c>
      <c r="AJ12" s="13">
        <f t="shared" si="3"/>
        <v>7.0000000000000007E-2</v>
      </c>
      <c r="AK12" s="13">
        <f t="shared" si="3"/>
        <v>7.0000000000000007E-2</v>
      </c>
      <c r="AL12" s="13">
        <f t="shared" si="3"/>
        <v>7.0000000000000007E-2</v>
      </c>
      <c r="AM12" s="13">
        <f t="shared" si="3"/>
        <v>7.0000000000000007E-2</v>
      </c>
      <c r="AN12" s="13">
        <f t="shared" si="3"/>
        <v>7.0000000000000007E-2</v>
      </c>
      <c r="AO12" s="13">
        <f t="shared" si="3"/>
        <v>7.0000000000000007E-2</v>
      </c>
    </row>
    <row r="14" spans="1:41" x14ac:dyDescent="0.15">
      <c r="A14" t="s">
        <v>101</v>
      </c>
      <c r="B14" s="13">
        <v>1.5</v>
      </c>
    </row>
    <row r="16" spans="1:41" x14ac:dyDescent="0.15">
      <c r="A16" t="s">
        <v>22</v>
      </c>
      <c r="B16">
        <v>2021</v>
      </c>
      <c r="C16">
        <v>2022</v>
      </c>
      <c r="D16">
        <v>2023</v>
      </c>
      <c r="E16">
        <v>2024</v>
      </c>
      <c r="F16">
        <v>2025</v>
      </c>
      <c r="G16">
        <v>2026</v>
      </c>
      <c r="H16">
        <v>2027</v>
      </c>
      <c r="I16">
        <v>2028</v>
      </c>
      <c r="J16">
        <v>2029</v>
      </c>
      <c r="K16">
        <v>2030</v>
      </c>
      <c r="L16">
        <v>2031</v>
      </c>
      <c r="M16">
        <v>2032</v>
      </c>
      <c r="N16">
        <v>2033</v>
      </c>
      <c r="O16">
        <v>2034</v>
      </c>
      <c r="P16">
        <v>2035</v>
      </c>
      <c r="Q16">
        <v>2036</v>
      </c>
      <c r="R16">
        <v>2037</v>
      </c>
      <c r="S16">
        <v>2038</v>
      </c>
      <c r="T16">
        <v>2039</v>
      </c>
      <c r="U16">
        <v>2040</v>
      </c>
      <c r="V16">
        <v>2041</v>
      </c>
      <c r="W16">
        <v>2042</v>
      </c>
      <c r="X16">
        <v>2043</v>
      </c>
      <c r="Y16">
        <v>2044</v>
      </c>
      <c r="Z16">
        <v>2045</v>
      </c>
      <c r="AA16">
        <v>2046</v>
      </c>
      <c r="AB16">
        <v>2047</v>
      </c>
      <c r="AC16">
        <v>2048</v>
      </c>
      <c r="AD16">
        <v>2049</v>
      </c>
      <c r="AE16">
        <v>2050</v>
      </c>
      <c r="AF16">
        <v>2051</v>
      </c>
      <c r="AG16">
        <v>2052</v>
      </c>
      <c r="AH16">
        <v>2053</v>
      </c>
      <c r="AI16">
        <v>2054</v>
      </c>
      <c r="AJ16">
        <v>2055</v>
      </c>
      <c r="AK16">
        <v>2056</v>
      </c>
      <c r="AL16">
        <v>2057</v>
      </c>
      <c r="AM16">
        <v>2058</v>
      </c>
      <c r="AN16">
        <v>2059</v>
      </c>
      <c r="AO16">
        <v>2060</v>
      </c>
    </row>
    <row r="17" spans="1:41" x14ac:dyDescent="0.15">
      <c r="A17" t="s">
        <v>21</v>
      </c>
      <c r="B17" s="9">
        <v>1292340</v>
      </c>
      <c r="C17" s="9">
        <v>1337660</v>
      </c>
      <c r="D17" s="9">
        <v>1379360</v>
      </c>
      <c r="E17" s="9">
        <v>1417940</v>
      </c>
      <c r="F17" s="9">
        <v>1455020</v>
      </c>
      <c r="G17" s="9">
        <v>1492730</v>
      </c>
      <c r="H17" s="9">
        <v>1528990</v>
      </c>
      <c r="I17" s="9">
        <v>1566340</v>
      </c>
      <c r="J17" s="9">
        <v>1599300</v>
      </c>
      <c r="K17" s="9">
        <v>1636140</v>
      </c>
      <c r="L17" s="9">
        <v>1670010</v>
      </c>
      <c r="M17" s="9">
        <v>1698560</v>
      </c>
      <c r="N17" s="9">
        <v>1731340</v>
      </c>
      <c r="O17" s="9">
        <v>1761220</v>
      </c>
      <c r="P17" s="9">
        <v>1789920</v>
      </c>
      <c r="Q17" s="9">
        <v>1819430</v>
      </c>
      <c r="R17" s="9">
        <v>1848970</v>
      </c>
      <c r="S17" s="9">
        <v>1876120</v>
      </c>
      <c r="T17" s="9">
        <v>1899790</v>
      </c>
      <c r="U17" s="9">
        <v>1926270</v>
      </c>
      <c r="V17" s="9">
        <v>1948580</v>
      </c>
      <c r="W17" s="9">
        <v>1970260</v>
      </c>
      <c r="X17" s="9">
        <v>1991580</v>
      </c>
      <c r="Y17" s="9">
        <v>2014250</v>
      </c>
      <c r="Z17" s="9">
        <v>2033130</v>
      </c>
      <c r="AA17" s="9">
        <v>2051100</v>
      </c>
      <c r="AB17" s="9">
        <v>2069650</v>
      </c>
      <c r="AC17" s="9">
        <v>2088680</v>
      </c>
      <c r="AD17" s="9">
        <v>2107770</v>
      </c>
      <c r="AE17" s="9">
        <v>2125090</v>
      </c>
      <c r="AF17" s="9">
        <v>2141720</v>
      </c>
      <c r="AG17" s="9">
        <v>2157780</v>
      </c>
      <c r="AH17" s="9">
        <v>2174800</v>
      </c>
      <c r="AI17" s="9">
        <v>2188940</v>
      </c>
      <c r="AJ17" s="9">
        <v>2203450</v>
      </c>
      <c r="AK17" s="9">
        <v>2217790</v>
      </c>
      <c r="AL17" s="9">
        <v>2231460</v>
      </c>
      <c r="AM17" s="9">
        <v>2246450</v>
      </c>
      <c r="AN17" s="9">
        <v>2260900</v>
      </c>
      <c r="AO17" s="9">
        <v>2276160</v>
      </c>
    </row>
    <row r="18" spans="1:41" x14ac:dyDescent="0.15">
      <c r="A18" t="s">
        <v>23</v>
      </c>
      <c r="B18">
        <v>872487</v>
      </c>
      <c r="C18">
        <v>907842</v>
      </c>
      <c r="D18">
        <v>941707</v>
      </c>
      <c r="E18">
        <v>972038</v>
      </c>
      <c r="F18" s="9">
        <v>1001910</v>
      </c>
      <c r="G18" s="9">
        <v>1031370</v>
      </c>
      <c r="H18" s="9">
        <v>1060690</v>
      </c>
      <c r="I18" s="9">
        <v>1089640</v>
      </c>
      <c r="J18" s="9">
        <v>1118480</v>
      </c>
      <c r="K18" s="9">
        <v>1147390</v>
      </c>
      <c r="L18" s="9">
        <v>1174910</v>
      </c>
      <c r="M18" s="9">
        <v>1200770</v>
      </c>
      <c r="N18" s="9">
        <v>1227290</v>
      </c>
      <c r="O18" s="9">
        <v>1252590</v>
      </c>
      <c r="P18" s="9">
        <v>1277020</v>
      </c>
      <c r="Q18" s="9">
        <v>1303700</v>
      </c>
      <c r="R18" s="9">
        <v>1327070</v>
      </c>
      <c r="S18" s="9">
        <v>1349230</v>
      </c>
      <c r="T18" s="9">
        <v>1370510</v>
      </c>
      <c r="U18" s="9">
        <v>1392390</v>
      </c>
      <c r="V18" s="9">
        <v>1411690</v>
      </c>
      <c r="W18" s="9">
        <v>1430170</v>
      </c>
      <c r="X18" s="9">
        <v>1448890</v>
      </c>
      <c r="Y18" s="9">
        <v>1466390</v>
      </c>
      <c r="Z18" s="9">
        <v>1482160</v>
      </c>
      <c r="AA18" s="9">
        <v>1497540</v>
      </c>
      <c r="AB18" s="9">
        <v>1512810</v>
      </c>
      <c r="AC18" s="9">
        <v>1528470</v>
      </c>
      <c r="AD18" s="9">
        <v>1544090</v>
      </c>
      <c r="AE18" s="9">
        <v>1558030</v>
      </c>
      <c r="AF18" s="9">
        <v>1571130</v>
      </c>
      <c r="AG18" s="9">
        <v>1583860</v>
      </c>
      <c r="AH18" s="9">
        <v>1598040</v>
      </c>
      <c r="AI18" s="9">
        <v>1608840</v>
      </c>
      <c r="AJ18" s="9">
        <v>1621500</v>
      </c>
      <c r="AK18" s="9">
        <v>1632340</v>
      </c>
      <c r="AL18" s="9">
        <v>1642670</v>
      </c>
      <c r="AM18" s="9">
        <v>1653990</v>
      </c>
      <c r="AN18" s="9">
        <v>1664740</v>
      </c>
      <c r="AO18" s="9">
        <v>1674560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00EAC-6147-4AB0-924B-1B75FD59D0D7}">
  <dimension ref="A1:G34"/>
  <sheetViews>
    <sheetView workbookViewId="0">
      <selection activeCell="F34" sqref="F34"/>
    </sheetView>
  </sheetViews>
  <sheetFormatPr defaultRowHeight="13.5" x14ac:dyDescent="0.15"/>
  <cols>
    <col min="1" max="1" width="9" style="2"/>
    <col min="2" max="2" width="16.125" style="2" bestFit="1" customWidth="1"/>
    <col min="4" max="4" width="15.125" bestFit="1" customWidth="1"/>
    <col min="5" max="7" width="17.25" bestFit="1" customWidth="1"/>
  </cols>
  <sheetData>
    <row r="1" spans="1:7" x14ac:dyDescent="0.15">
      <c r="A1" s="15" t="s">
        <v>94</v>
      </c>
      <c r="B1" s="15" t="s">
        <v>93</v>
      </c>
      <c r="C1" s="15" t="s">
        <v>92</v>
      </c>
      <c r="D1" s="14" t="s">
        <v>96</v>
      </c>
      <c r="E1" s="14"/>
      <c r="F1" s="14"/>
      <c r="G1" s="14"/>
    </row>
    <row r="2" spans="1:7" x14ac:dyDescent="0.15">
      <c r="A2" s="16"/>
      <c r="B2" s="16"/>
      <c r="C2" s="16"/>
      <c r="D2" s="10" t="s">
        <v>28</v>
      </c>
      <c r="E2" s="10" t="s">
        <v>29</v>
      </c>
      <c r="F2" s="10" t="s">
        <v>30</v>
      </c>
      <c r="G2" s="10" t="s">
        <v>31</v>
      </c>
    </row>
    <row r="3" spans="1:7" x14ac:dyDescent="0.15">
      <c r="A3" s="11" t="s">
        <v>74</v>
      </c>
      <c r="B3" s="11" t="s">
        <v>40</v>
      </c>
      <c r="C3" s="10"/>
      <c r="D3" s="10"/>
      <c r="E3" s="10"/>
      <c r="F3" s="10"/>
      <c r="G3" s="10"/>
    </row>
    <row r="4" spans="1:7" x14ac:dyDescent="0.15">
      <c r="A4" s="11" t="s">
        <v>36</v>
      </c>
      <c r="B4" s="11" t="s">
        <v>41</v>
      </c>
      <c r="C4" s="10"/>
      <c r="D4" s="10"/>
      <c r="E4" s="10"/>
      <c r="F4" s="10"/>
      <c r="G4" s="10"/>
    </row>
    <row r="5" spans="1:7" x14ac:dyDescent="0.15">
      <c r="A5" s="11" t="s">
        <v>75</v>
      </c>
      <c r="B5" s="11" t="s">
        <v>42</v>
      </c>
      <c r="C5" s="10"/>
      <c r="D5" s="10"/>
      <c r="E5" s="10"/>
      <c r="F5" s="10"/>
      <c r="G5" s="10"/>
    </row>
    <row r="6" spans="1:7" x14ac:dyDescent="0.15">
      <c r="A6" s="11" t="s">
        <v>76</v>
      </c>
      <c r="B6" s="11" t="s">
        <v>43</v>
      </c>
      <c r="C6" s="10"/>
      <c r="D6" s="10"/>
      <c r="E6" s="10"/>
      <c r="F6" s="10"/>
      <c r="G6" s="10"/>
    </row>
    <row r="7" spans="1:7" x14ac:dyDescent="0.15">
      <c r="A7" s="11" t="s">
        <v>44</v>
      </c>
      <c r="B7" s="11" t="s">
        <v>45</v>
      </c>
      <c r="C7" s="10"/>
      <c r="D7" s="10"/>
      <c r="E7" s="10"/>
      <c r="F7" s="10"/>
      <c r="G7" s="10"/>
    </row>
    <row r="8" spans="1:7" x14ac:dyDescent="0.15">
      <c r="A8" s="11" t="s">
        <v>77</v>
      </c>
      <c r="B8" s="11" t="s">
        <v>46</v>
      </c>
      <c r="C8" s="10"/>
      <c r="D8" s="10"/>
      <c r="E8" s="10"/>
      <c r="F8" s="10"/>
      <c r="G8" s="10"/>
    </row>
    <row r="9" spans="1:7" x14ac:dyDescent="0.15">
      <c r="A9" s="11" t="s">
        <v>78</v>
      </c>
      <c r="B9" s="11" t="s">
        <v>47</v>
      </c>
      <c r="C9" s="10"/>
      <c r="D9" s="10"/>
      <c r="E9" s="10"/>
      <c r="F9" s="10"/>
      <c r="G9" s="10"/>
    </row>
    <row r="10" spans="1:7" x14ac:dyDescent="0.15">
      <c r="A10" s="11" t="s">
        <v>48</v>
      </c>
      <c r="B10" s="11" t="s">
        <v>49</v>
      </c>
      <c r="C10" s="10"/>
      <c r="D10" s="10"/>
      <c r="E10" s="10"/>
      <c r="F10" s="10"/>
      <c r="G10" s="10"/>
    </row>
    <row r="11" spans="1:7" x14ac:dyDescent="0.15">
      <c r="A11" s="11" t="s">
        <v>27</v>
      </c>
      <c r="B11" s="11" t="s">
        <v>50</v>
      </c>
      <c r="C11" s="10"/>
      <c r="D11" s="10"/>
      <c r="E11" s="10"/>
      <c r="F11" s="10"/>
      <c r="G11" s="10"/>
    </row>
    <row r="12" spans="1:7" x14ac:dyDescent="0.15">
      <c r="A12" s="11" t="s">
        <v>25</v>
      </c>
      <c r="B12" s="11" t="s">
        <v>51</v>
      </c>
      <c r="C12" s="10">
        <v>2020</v>
      </c>
      <c r="D12" s="10">
        <f>MAX(E12:G12)</f>
        <v>700</v>
      </c>
      <c r="E12" s="10">
        <v>700</v>
      </c>
      <c r="F12" s="10">
        <v>300</v>
      </c>
      <c r="G12" s="10">
        <v>100</v>
      </c>
    </row>
    <row r="13" spans="1:7" x14ac:dyDescent="0.15">
      <c r="A13" s="11" t="s">
        <v>26</v>
      </c>
      <c r="B13" s="11" t="s">
        <v>52</v>
      </c>
      <c r="C13" s="10">
        <v>2021</v>
      </c>
      <c r="D13" s="10">
        <v>200</v>
      </c>
      <c r="E13" s="10"/>
      <c r="F13" s="10"/>
      <c r="G13" s="10"/>
    </row>
    <row r="14" spans="1:7" x14ac:dyDescent="0.15">
      <c r="A14" s="11" t="s">
        <v>79</v>
      </c>
      <c r="B14" s="11" t="s">
        <v>53</v>
      </c>
      <c r="C14" s="10"/>
      <c r="D14" s="10"/>
      <c r="E14" s="10"/>
      <c r="F14" s="10"/>
      <c r="G14" s="10"/>
    </row>
    <row r="15" spans="1:7" x14ac:dyDescent="0.15">
      <c r="A15" s="11" t="s">
        <v>80</v>
      </c>
      <c r="B15" s="11" t="s">
        <v>54</v>
      </c>
      <c r="C15" s="10"/>
      <c r="D15" s="10"/>
      <c r="E15" s="10"/>
      <c r="F15" s="10"/>
      <c r="G15" s="10"/>
    </row>
    <row r="16" spans="1:7" x14ac:dyDescent="0.15">
      <c r="A16" s="11" t="s">
        <v>81</v>
      </c>
      <c r="B16" s="11" t="s">
        <v>55</v>
      </c>
      <c r="C16" s="10"/>
      <c r="D16" s="10"/>
      <c r="E16" s="10"/>
      <c r="F16" s="10"/>
      <c r="G16" s="10"/>
    </row>
    <row r="17" spans="1:7" x14ac:dyDescent="0.15">
      <c r="A17" s="11" t="s">
        <v>35</v>
      </c>
      <c r="B17" s="11" t="s">
        <v>56</v>
      </c>
      <c r="C17" s="10"/>
      <c r="D17" s="10"/>
      <c r="E17" s="10"/>
      <c r="F17" s="10"/>
      <c r="G17" s="10"/>
    </row>
    <row r="18" spans="1:7" x14ac:dyDescent="0.15">
      <c r="A18" s="11" t="s">
        <v>32</v>
      </c>
      <c r="B18" s="11" t="s">
        <v>57</v>
      </c>
      <c r="C18" s="10">
        <v>2020</v>
      </c>
      <c r="D18" s="10">
        <v>432</v>
      </c>
      <c r="E18" s="10"/>
      <c r="F18" s="10"/>
      <c r="G18" s="10"/>
    </row>
    <row r="19" spans="1:7" x14ac:dyDescent="0.15">
      <c r="A19" s="11" t="s">
        <v>34</v>
      </c>
      <c r="B19" s="11" t="s">
        <v>58</v>
      </c>
      <c r="C19" s="10"/>
      <c r="D19" s="10">
        <v>117</v>
      </c>
      <c r="E19" s="10"/>
      <c r="F19" s="10"/>
      <c r="G19" s="10"/>
    </row>
    <row r="20" spans="1:7" x14ac:dyDescent="0.15">
      <c r="A20" s="11" t="s">
        <v>33</v>
      </c>
      <c r="B20" s="11" t="s">
        <v>59</v>
      </c>
      <c r="C20" s="10"/>
      <c r="D20" s="10">
        <v>180</v>
      </c>
      <c r="E20" s="10"/>
      <c r="F20" s="10"/>
      <c r="G20" s="10"/>
    </row>
    <row r="21" spans="1:7" x14ac:dyDescent="0.15">
      <c r="A21" s="11" t="s">
        <v>39</v>
      </c>
      <c r="B21" s="11" t="s">
        <v>60</v>
      </c>
      <c r="C21" s="10"/>
      <c r="D21" s="10">
        <v>19.8</v>
      </c>
      <c r="E21" s="10"/>
      <c r="F21" s="10"/>
      <c r="G21" s="10"/>
    </row>
    <row r="22" spans="1:7" x14ac:dyDescent="0.15">
      <c r="A22" s="11" t="s">
        <v>82</v>
      </c>
      <c r="B22" s="11" t="s">
        <v>61</v>
      </c>
      <c r="C22" s="10"/>
      <c r="D22" s="10"/>
      <c r="E22" s="10"/>
      <c r="F22" s="10"/>
      <c r="G22" s="10"/>
    </row>
    <row r="23" spans="1:7" x14ac:dyDescent="0.15">
      <c r="A23" s="11" t="s">
        <v>83</v>
      </c>
      <c r="B23" s="11" t="s">
        <v>62</v>
      </c>
      <c r="C23" s="10"/>
      <c r="D23" s="10"/>
      <c r="E23" s="10"/>
      <c r="F23" s="10"/>
      <c r="G23" s="10"/>
    </row>
    <row r="24" spans="1:7" x14ac:dyDescent="0.15">
      <c r="A24" s="11" t="s">
        <v>37</v>
      </c>
      <c r="B24" s="11" t="s">
        <v>63</v>
      </c>
      <c r="C24" s="10">
        <v>2020</v>
      </c>
      <c r="D24" s="10">
        <v>40</v>
      </c>
      <c r="E24" s="10"/>
      <c r="F24" s="10"/>
      <c r="G24" s="10"/>
    </row>
    <row r="25" spans="1:7" x14ac:dyDescent="0.15">
      <c r="A25" s="11" t="s">
        <v>84</v>
      </c>
      <c r="B25" s="11" t="s">
        <v>64</v>
      </c>
      <c r="C25" s="10"/>
      <c r="D25" s="10"/>
      <c r="E25" s="10"/>
      <c r="F25" s="10"/>
      <c r="G25" s="10"/>
    </row>
    <row r="26" spans="1:7" x14ac:dyDescent="0.15">
      <c r="A26" s="11" t="s">
        <v>85</v>
      </c>
      <c r="B26" s="11" t="s">
        <v>65</v>
      </c>
      <c r="C26" s="10"/>
      <c r="D26" s="10"/>
      <c r="E26" s="10"/>
      <c r="F26" s="10"/>
      <c r="G26" s="10"/>
    </row>
    <row r="27" spans="1:7" x14ac:dyDescent="0.15">
      <c r="A27" s="11" t="s">
        <v>86</v>
      </c>
      <c r="B27" s="11" t="s">
        <v>66</v>
      </c>
      <c r="C27" s="10"/>
      <c r="D27" s="10"/>
      <c r="E27" s="10"/>
      <c r="F27" s="10"/>
      <c r="G27" s="10"/>
    </row>
    <row r="28" spans="1:7" x14ac:dyDescent="0.15">
      <c r="A28" s="11" t="s">
        <v>87</v>
      </c>
      <c r="B28" s="11" t="s">
        <v>67</v>
      </c>
      <c r="C28" s="10"/>
      <c r="D28" s="10"/>
      <c r="E28" s="10"/>
      <c r="F28" s="10"/>
      <c r="G28" s="10"/>
    </row>
    <row r="29" spans="1:7" x14ac:dyDescent="0.15">
      <c r="A29" s="11" t="s">
        <v>38</v>
      </c>
      <c r="B29" s="11" t="s">
        <v>68</v>
      </c>
      <c r="C29" s="10"/>
      <c r="D29" s="10"/>
      <c r="E29" s="10"/>
      <c r="F29" s="10"/>
      <c r="G29" s="10"/>
    </row>
    <row r="30" spans="1:7" x14ac:dyDescent="0.15">
      <c r="A30" s="11" t="s">
        <v>88</v>
      </c>
      <c r="B30" s="11" t="s">
        <v>69</v>
      </c>
      <c r="C30" s="10"/>
      <c r="D30" s="10"/>
      <c r="E30" s="10"/>
      <c r="F30" s="10"/>
      <c r="G30" s="10"/>
    </row>
    <row r="31" spans="1:7" x14ac:dyDescent="0.15">
      <c r="A31" s="11" t="s">
        <v>89</v>
      </c>
      <c r="B31" s="11" t="s">
        <v>70</v>
      </c>
      <c r="C31" s="10"/>
      <c r="D31" s="10"/>
      <c r="E31" s="10"/>
      <c r="F31" s="10"/>
      <c r="G31" s="10"/>
    </row>
    <row r="32" spans="1:7" x14ac:dyDescent="0.15">
      <c r="A32" s="11" t="s">
        <v>90</v>
      </c>
      <c r="B32" s="11" t="s">
        <v>71</v>
      </c>
      <c r="C32" s="10"/>
      <c r="D32" s="10"/>
      <c r="E32" s="10"/>
      <c r="F32" s="10"/>
      <c r="G32" s="10"/>
    </row>
    <row r="33" spans="1:7" x14ac:dyDescent="0.15">
      <c r="A33" s="11" t="s">
        <v>91</v>
      </c>
      <c r="B33" s="11" t="s">
        <v>72</v>
      </c>
      <c r="C33" s="10"/>
      <c r="D33" s="10"/>
      <c r="E33" s="10"/>
      <c r="F33" s="10"/>
      <c r="G33" s="10"/>
    </row>
    <row r="34" spans="1:7" x14ac:dyDescent="0.15">
      <c r="A34" s="12" t="s">
        <v>73</v>
      </c>
      <c r="B34" s="12" t="s">
        <v>95</v>
      </c>
      <c r="C34" s="10"/>
      <c r="D34" s="10">
        <f>SUM(D3:D33)</f>
        <v>1688.8</v>
      </c>
      <c r="E34" s="10"/>
      <c r="F34" s="10"/>
      <c r="G34" s="10"/>
    </row>
  </sheetData>
  <mergeCells count="4">
    <mergeCell ref="D1:G1"/>
    <mergeCell ref="A1:A2"/>
    <mergeCell ref="B1:B2"/>
    <mergeCell ref="C1:C2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AP2"/>
  <sheetViews>
    <sheetView workbookViewId="0">
      <selection activeCell="C2" sqref="C2:AP2"/>
    </sheetView>
  </sheetViews>
  <sheetFormatPr defaultRowHeight="13.5" x14ac:dyDescent="0.15"/>
  <cols>
    <col min="1" max="1" width="19.25" customWidth="1"/>
  </cols>
  <sheetData>
    <row r="1" spans="1:42" x14ac:dyDescent="0.15">
      <c r="A1" s="1" t="s">
        <v>0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15">
      <c r="A2" s="1" t="s">
        <v>2</v>
      </c>
      <c r="B2" s="5">
        <f>'Current Capacity'!D34*10</f>
        <v>16888</v>
      </c>
      <c r="C2" s="5">
        <f>MIN(B2*Calculations!$B14,Calculations!B7*Calculations!B10)</f>
        <v>25332</v>
      </c>
      <c r="D2" s="5">
        <f>MIN(C2*Calculations!$B14,Calculations!C7*Calculations!C10)</f>
        <v>37998</v>
      </c>
      <c r="E2" s="5">
        <f>MIN(D2*Calculations!$B14,Calculations!D7*Calculations!D10)</f>
        <v>41380.799999999996</v>
      </c>
      <c r="F2" s="5">
        <f>MIN(E2*Calculations!$B14,Calculations!E7*Calculations!E10)</f>
        <v>42538.2</v>
      </c>
      <c r="G2" s="5">
        <f>MIN(F2*Calculations!$B14,Calculations!F7*Calculations!F10)</f>
        <v>43650.6</v>
      </c>
      <c r="H2" s="5">
        <f>MIN(G2*Calculations!$B14,Calculations!G7*Calculations!G10)</f>
        <v>44781.9</v>
      </c>
      <c r="I2" s="5">
        <f>MIN(H2*Calculations!$B14,Calculations!H7*Calculations!H10)</f>
        <v>45869.7</v>
      </c>
      <c r="J2" s="5">
        <f>MIN(I2*Calculations!$B14,Calculations!I7*Calculations!I10)</f>
        <v>46990.2</v>
      </c>
      <c r="K2" s="5">
        <f>MIN(J2*Calculations!$B14,Calculations!J7*Calculations!J10)</f>
        <v>47979</v>
      </c>
      <c r="L2" s="5">
        <f>MIN(K2*Calculations!$B14,Calculations!K7*Calculations!K10)</f>
        <v>49084.2</v>
      </c>
      <c r="M2" s="5">
        <f>MIN(L2*Calculations!$B14,Calculations!L7*Calculations!L10)</f>
        <v>50100.299999999996</v>
      </c>
      <c r="N2" s="5">
        <f>MIN(M2*Calculations!$B14,Calculations!M7*Calculations!M10)</f>
        <v>50956.799999999996</v>
      </c>
      <c r="O2" s="5">
        <f>MIN(N2*Calculations!$B14,Calculations!N7*Calculations!N10)</f>
        <v>51940.2</v>
      </c>
      <c r="P2" s="5">
        <f>MIN(O2*Calculations!$B14,Calculations!O7*Calculations!O10)</f>
        <v>52836.6</v>
      </c>
      <c r="Q2" s="5">
        <f>MIN(P2*Calculations!$B14,Calculations!P7*Calculations!P10)</f>
        <v>53697.599999999999</v>
      </c>
      <c r="R2" s="5">
        <f>MIN(Q2*Calculations!$B14,Calculations!Q7*Calculations!Q10)</f>
        <v>54582.9</v>
      </c>
      <c r="S2" s="5">
        <f>MIN(R2*Calculations!$B14,Calculations!R7*Calculations!R10)</f>
        <v>55469.1</v>
      </c>
      <c r="T2" s="5">
        <f>MIN(S2*Calculations!$B14,Calculations!S7*Calculations!S10)</f>
        <v>56283.6</v>
      </c>
      <c r="U2" s="5">
        <f>MIN(T2*Calculations!$B14,Calculations!T7*Calculations!T10)</f>
        <v>56993.7</v>
      </c>
      <c r="V2" s="5">
        <f>MIN(U2*Calculations!$B14,Calculations!U7*Calculations!U10)</f>
        <v>57788.1</v>
      </c>
      <c r="W2" s="5">
        <f>MIN(V2*Calculations!$B14,Calculations!V7*Calculations!V10)</f>
        <v>58457.4</v>
      </c>
      <c r="X2" s="5">
        <f>MIN(W2*Calculations!$B14,Calculations!W7*Calculations!W10)</f>
        <v>59107.799999999996</v>
      </c>
      <c r="Y2" s="5">
        <f>MIN(X2*Calculations!$B14,Calculations!X7*Calculations!X10)</f>
        <v>59747.399999999994</v>
      </c>
      <c r="Z2" s="5">
        <f>MIN(Y2*Calculations!$B14,Calculations!Y7*Calculations!Y10)</f>
        <v>60427.5</v>
      </c>
      <c r="AA2" s="5">
        <f>MIN(Z2*Calculations!$B14,Calculations!Z7*Calculations!Z10)</f>
        <v>60993.899999999994</v>
      </c>
      <c r="AB2" s="5">
        <f>MIN(AA2*Calculations!$B14,Calculations!AA7*Calculations!AA10)</f>
        <v>61533</v>
      </c>
      <c r="AC2" s="5">
        <f>MIN(AB2*Calculations!$B14,Calculations!AB7*Calculations!AB10)</f>
        <v>62089.5</v>
      </c>
      <c r="AD2" s="5">
        <f>MIN(AC2*Calculations!$B14,Calculations!AC7*Calculations!AC10)</f>
        <v>62660.399999999994</v>
      </c>
      <c r="AE2" s="5">
        <f>MIN(AD2*Calculations!$B14,Calculations!AD7*Calculations!AD10)</f>
        <v>63233.1</v>
      </c>
      <c r="AF2" s="5">
        <f>MIN(AE2*Calculations!$B14,Calculations!AE7*Calculations!AE10)</f>
        <v>63752.7</v>
      </c>
      <c r="AG2" s="5">
        <f>MIN(AF2*Calculations!$B14,Calculations!AF7*Calculations!AF10)</f>
        <v>64251.6</v>
      </c>
      <c r="AH2" s="5">
        <f>MIN(AG2*Calculations!$B14,Calculations!AG7*Calculations!AG10)</f>
        <v>64733.399999999994</v>
      </c>
      <c r="AI2" s="5">
        <f>MIN(AH2*Calculations!$B14,Calculations!AH7*Calculations!AH10)</f>
        <v>65244</v>
      </c>
      <c r="AJ2" s="5">
        <f>MIN(AI2*Calculations!$B14,Calculations!AI7*Calculations!AI10)</f>
        <v>65668.2</v>
      </c>
      <c r="AK2" s="5">
        <f>MIN(AJ2*Calculations!$B14,Calculations!AJ7*Calculations!AJ10)</f>
        <v>66103.5</v>
      </c>
      <c r="AL2" s="5">
        <f>MIN(AK2*Calculations!$B14,Calculations!AK7*Calculations!AK10)</f>
        <v>66533.7</v>
      </c>
      <c r="AM2" s="5">
        <f>MIN(AL2*Calculations!$B14,Calculations!AL7*Calculations!AL10)</f>
        <v>66943.8</v>
      </c>
      <c r="AN2" s="5">
        <f>MIN(AM2*Calculations!$B14,Calculations!AM7*Calculations!AM10)</f>
        <v>67393.5</v>
      </c>
      <c r="AO2" s="5">
        <f>MIN(AN2*Calculations!$B14,Calculations!AN7*Calculations!AN10)</f>
        <v>67827</v>
      </c>
      <c r="AP2" s="5">
        <f>MIN(AO2*Calculations!$B14,Calculations!AO7*Calculations!AO10)</f>
        <v>68284.800000000003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/>
  </sheetPr>
  <dimension ref="A1:AP3"/>
  <sheetViews>
    <sheetView workbookViewId="0">
      <selection activeCell="AN18" sqref="AN18"/>
    </sheetView>
  </sheetViews>
  <sheetFormatPr defaultRowHeight="13.5" x14ac:dyDescent="0.15"/>
  <cols>
    <col min="1" max="1" width="21" customWidth="1"/>
  </cols>
  <sheetData>
    <row r="1" spans="1:42" x14ac:dyDescent="0.15">
      <c r="A1" s="1" t="s">
        <v>0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ht="40.5" x14ac:dyDescent="0.15">
      <c r="A2" s="6" t="s">
        <v>1</v>
      </c>
      <c r="B2" s="5">
        <v>0</v>
      </c>
      <c r="C2" s="5">
        <v>0</v>
      </c>
      <c r="D2" s="5">
        <v>0</v>
      </c>
      <c r="E2" s="5">
        <v>0</v>
      </c>
      <c r="F2" s="5">
        <v>0</v>
      </c>
      <c r="G2" s="5">
        <f>Calculations!F7*Calculations!F12</f>
        <v>29100.400000000005</v>
      </c>
      <c r="H2" s="5">
        <f>Calculations!G7*Calculations!G12</f>
        <v>44781.9</v>
      </c>
      <c r="I2" s="5">
        <f>Calculations!H7*Calculations!H12</f>
        <v>61159.600000000013</v>
      </c>
      <c r="J2" s="5">
        <f>Calculations!I7*Calculations!I12</f>
        <v>78317</v>
      </c>
      <c r="K2" s="5">
        <f>Calculations!J7*Calculations!J12</f>
        <v>95958</v>
      </c>
      <c r="L2" s="5">
        <f>Calculations!K7*Calculations!K12</f>
        <v>114529.80000000002</v>
      </c>
      <c r="M2" s="5">
        <f>Calculations!L7*Calculations!L12</f>
        <v>116900.70000000001</v>
      </c>
      <c r="N2" s="5">
        <f>Calculations!M7*Calculations!M12</f>
        <v>118899.20000000001</v>
      </c>
      <c r="O2" s="5">
        <f>Calculations!N7*Calculations!N12</f>
        <v>121193.80000000002</v>
      </c>
      <c r="P2" s="5">
        <f>Calculations!O7*Calculations!O12</f>
        <v>123285.40000000001</v>
      </c>
      <c r="Q2" s="5">
        <f>Calculations!P7*Calculations!P12</f>
        <v>125294.40000000001</v>
      </c>
      <c r="R2" s="5">
        <f>Calculations!Q7*Calculations!Q12</f>
        <v>127360.1</v>
      </c>
      <c r="S2" s="5">
        <f>Calculations!R7*Calculations!R12</f>
        <v>129427.90000000001</v>
      </c>
      <c r="T2" s="5">
        <f>Calculations!S7*Calculations!S12</f>
        <v>131328.40000000002</v>
      </c>
      <c r="U2" s="5">
        <f>Calculations!T7*Calculations!T12</f>
        <v>132985.30000000002</v>
      </c>
      <c r="V2" s="5">
        <f>Calculations!U7*Calculations!U12</f>
        <v>134838.90000000002</v>
      </c>
      <c r="W2" s="5">
        <f>Calculations!V7*Calculations!V12</f>
        <v>136400.6</v>
      </c>
      <c r="X2" s="5">
        <f>Calculations!W7*Calculations!W12</f>
        <v>137918.20000000001</v>
      </c>
      <c r="Y2" s="5">
        <f>Calculations!X7*Calculations!X12</f>
        <v>139410.6</v>
      </c>
      <c r="Z2" s="5">
        <f>Calculations!Y7*Calculations!Y12</f>
        <v>140997.5</v>
      </c>
      <c r="AA2" s="5">
        <f>Calculations!Z7*Calculations!Z12</f>
        <v>142319.1</v>
      </c>
      <c r="AB2" s="5">
        <f>Calculations!AA7*Calculations!AA12</f>
        <v>143577</v>
      </c>
      <c r="AC2" s="5">
        <f>Calculations!AB7*Calculations!AB12</f>
        <v>144875.5</v>
      </c>
      <c r="AD2" s="5">
        <f>Calculations!AC7*Calculations!AC12</f>
        <v>146207.6</v>
      </c>
      <c r="AE2" s="5">
        <f>Calculations!AD7*Calculations!AD12</f>
        <v>147543.90000000002</v>
      </c>
      <c r="AF2" s="5">
        <f>Calculations!AE7*Calculations!AE12</f>
        <v>148756.30000000002</v>
      </c>
      <c r="AG2" s="5">
        <f>Calculations!AF7*Calculations!AF12</f>
        <v>149920.40000000002</v>
      </c>
      <c r="AH2" s="5">
        <f>Calculations!AG7*Calculations!AG12</f>
        <v>151044.6</v>
      </c>
      <c r="AI2" s="5">
        <f>Calculations!AH7*Calculations!AH12</f>
        <v>152236</v>
      </c>
      <c r="AJ2" s="5">
        <f>Calculations!AI7*Calculations!AI12</f>
        <v>153225.80000000002</v>
      </c>
      <c r="AK2" s="5">
        <f>Calculations!AJ7*Calculations!AJ12</f>
        <v>154241.50000000003</v>
      </c>
      <c r="AL2" s="5">
        <f>Calculations!AK7*Calculations!AK12</f>
        <v>155245.30000000002</v>
      </c>
      <c r="AM2" s="5">
        <f>Calculations!AL7*Calculations!AL12</f>
        <v>156202.20000000001</v>
      </c>
      <c r="AN2" s="5">
        <f>Calculations!AM7*Calculations!AM12</f>
        <v>157251.50000000003</v>
      </c>
      <c r="AO2" s="5">
        <f>Calculations!AN7*Calculations!AN12</f>
        <v>158263.00000000003</v>
      </c>
      <c r="AP2" s="5">
        <f>Calculations!AO7*Calculations!AO12</f>
        <v>159331.20000000001</v>
      </c>
    </row>
    <row r="3" spans="1:42" x14ac:dyDescent="0.15"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About</vt:lpstr>
      <vt:lpstr>Calculations</vt:lpstr>
      <vt:lpstr>Current Capacity</vt:lpstr>
      <vt:lpstr>DRC-BDRC</vt:lpstr>
      <vt:lpstr>DRC-PADRC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admin</cp:lastModifiedBy>
  <dcterms:created xsi:type="dcterms:W3CDTF">2014-08-26T00:34:41Z</dcterms:created>
  <dcterms:modified xsi:type="dcterms:W3CDTF">2023-03-14T04:21:42Z</dcterms:modified>
</cp:coreProperties>
</file>