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52" windowHeight="12255" activeTab="2"/>
  </bookViews>
  <sheets>
    <sheet name="About" sheetId="1" r:id="rId1"/>
    <sheet name="Current Capacity" sheetId="6" r:id="rId2"/>
    <sheet name="Calculations" sheetId="4" r:id="rId3"/>
    <sheet name="DRC-BDRC" sheetId="5" r:id="rId4"/>
    <sheet name="DRC-PADRC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<sst xmlns="http://schemas.openxmlformats.org/spreadsheetml/2006/main" count="123" uniqueCount="118">
  <si>
    <t>DRC BAU Demand Response Capacity</t>
  </si>
  <si>
    <t>DRC Potential Additional Demand Response Capacity</t>
  </si>
  <si>
    <t>Sources:</t>
  </si>
  <si>
    <t>Provincial Current Capacity</t>
  </si>
  <si>
    <t>Compiled from online resources</t>
  </si>
  <si>
    <t>Near Term Devleopment Target</t>
  </si>
  <si>
    <t>《电力需求侧管理办法》 征求意见稿</t>
  </si>
  <si>
    <t>draft for comments: Rules of Power Demand Side Management</t>
  </si>
  <si>
    <t>Page 2, Article 8</t>
  </si>
  <si>
    <t>20230519102727235060.pdf (ndrc.gov.cn)</t>
  </si>
  <si>
    <t>National Peak Demand</t>
  </si>
  <si>
    <t>China Electricity Council</t>
  </si>
  <si>
    <t>中国电力工业统计资料汇编</t>
  </si>
  <si>
    <t>Compilation of China Power Sector Statistics</t>
  </si>
  <si>
    <t>2020-2022</t>
  </si>
  <si>
    <t>Chapter 1 Table 1-10</t>
  </si>
  <si>
    <t>Data for 2025, 2030, and 2060:</t>
  </si>
  <si>
    <t>Compiled from online resources: estimated by multiple studies</t>
  </si>
  <si>
    <t>Notes:</t>
  </si>
  <si>
    <t>Demand response is defined as the potential to reduce or shift electricity usage during peak</t>
  </si>
  <si>
    <t>periods in response to time-based rates or other financial incentives.</t>
  </si>
  <si>
    <t>To estimate BAU DR Capacity, we found the national peak demand for each year and then extrapolate to reach</t>
  </si>
  <si>
    <t>3% of total capacity by 2025, as demanded by the proposed ruling. Afterwards the capacity changes along with the growth in peak demand (EPS model output).</t>
  </si>
  <si>
    <t>For the potental additional growth in demand response capacity, we assume the higher bound of 5% is reached in 2025, and in order to make DM service in scale</t>
  </si>
  <si>
    <t>by 2030, it reaches 10% of the peak power capacity.</t>
  </si>
  <si>
    <t>地区</t>
  </si>
  <si>
    <t>Region</t>
  </si>
  <si>
    <t>Year</t>
  </si>
  <si>
    <t>Demand Response Capacity (10000KW)</t>
  </si>
  <si>
    <t>总需求响应能力</t>
  </si>
  <si>
    <t>最大削峰响应能力</t>
  </si>
  <si>
    <t>最大填谷响应能力</t>
  </si>
  <si>
    <t>自动需求响应能力</t>
  </si>
  <si>
    <t>北京</t>
  </si>
  <si>
    <t>Beijing</t>
  </si>
  <si>
    <t>天津</t>
  </si>
  <si>
    <t>Tianjin</t>
  </si>
  <si>
    <t>河北</t>
  </si>
  <si>
    <t>Hebei</t>
  </si>
  <si>
    <t>山西</t>
  </si>
  <si>
    <t>Shanxi</t>
  </si>
  <si>
    <t>内蒙古</t>
  </si>
  <si>
    <t>Inner Mongolia</t>
  </si>
  <si>
    <t>辽宁</t>
  </si>
  <si>
    <t>Liaoning</t>
  </si>
  <si>
    <t>吉林</t>
  </si>
  <si>
    <t>Jilin</t>
  </si>
  <si>
    <t>黑龙江</t>
  </si>
  <si>
    <t>Heilongjiang</t>
  </si>
  <si>
    <t>上海</t>
  </si>
  <si>
    <t>Shanghai</t>
  </si>
  <si>
    <t>江苏</t>
  </si>
  <si>
    <t>Jiangsu</t>
  </si>
  <si>
    <t>浙江</t>
  </si>
  <si>
    <t>Zhejiang</t>
  </si>
  <si>
    <t>安徽</t>
  </si>
  <si>
    <t>Anhui</t>
  </si>
  <si>
    <t>福建</t>
  </si>
  <si>
    <t>Fujian</t>
  </si>
  <si>
    <t>江西</t>
  </si>
  <si>
    <t>Jiangxi</t>
  </si>
  <si>
    <t>山东</t>
  </si>
  <si>
    <t>Shandong</t>
  </si>
  <si>
    <t>河南</t>
  </si>
  <si>
    <t>Henan</t>
  </si>
  <si>
    <t>湖北</t>
  </si>
  <si>
    <t>Hubei</t>
  </si>
  <si>
    <t>湖南</t>
  </si>
  <si>
    <t>Hunan</t>
  </si>
  <si>
    <t>广东</t>
  </si>
  <si>
    <t>Guangdong</t>
  </si>
  <si>
    <t>广西</t>
  </si>
  <si>
    <t>Guangxi</t>
  </si>
  <si>
    <t>海南</t>
  </si>
  <si>
    <t>Hainan</t>
  </si>
  <si>
    <t>重庆</t>
  </si>
  <si>
    <t>Chongqing</t>
  </si>
  <si>
    <t>四川</t>
  </si>
  <si>
    <t>Sichuan</t>
  </si>
  <si>
    <t>贵州</t>
  </si>
  <si>
    <t>Guizhou</t>
  </si>
  <si>
    <t>云南</t>
  </si>
  <si>
    <t>Yunnan</t>
  </si>
  <si>
    <t>西藏</t>
  </si>
  <si>
    <t>Tibet</t>
  </si>
  <si>
    <t>陕西</t>
  </si>
  <si>
    <t>Shaanxi</t>
  </si>
  <si>
    <t>甘肃</t>
  </si>
  <si>
    <t>Gansu</t>
  </si>
  <si>
    <t>青海</t>
  </si>
  <si>
    <t>Qinghai</t>
  </si>
  <si>
    <t>宁夏</t>
  </si>
  <si>
    <t>Ningxia</t>
  </si>
  <si>
    <t>新疆</t>
  </si>
  <si>
    <t>Xinjiang</t>
  </si>
  <si>
    <t>全国</t>
  </si>
  <si>
    <t>National</t>
  </si>
  <si>
    <t>Peak Demand - EPS Output</t>
  </si>
  <si>
    <t>最高用电负荷（万千瓦）</t>
  </si>
  <si>
    <t>Peak Demand (MW)</t>
  </si>
  <si>
    <t>Capacity Limit</t>
  </si>
  <si>
    <t>BAU DR Capacity Rate</t>
  </si>
  <si>
    <t>Potential Demand Reponse Capacity</t>
  </si>
  <si>
    <t>Potential Additional Reponse Capacity</t>
  </si>
  <si>
    <t>YoY Capacity Growth Rate</t>
  </si>
  <si>
    <t>Potential Demand Response Capacity</t>
  </si>
  <si>
    <t>Policy Max</t>
  </si>
  <si>
    <t>FOPITY</t>
  </si>
  <si>
    <t>BDRC</t>
  </si>
  <si>
    <t>PADRC</t>
  </si>
  <si>
    <t>Policy Setting</t>
  </si>
  <si>
    <t>十五五情景（%）</t>
  </si>
  <si>
    <t>十五五情景（value）</t>
  </si>
  <si>
    <t>Potential Additional Value</t>
  </si>
  <si>
    <t>Potential Additional %</t>
  </si>
  <si>
    <t>Max Value</t>
  </si>
  <si>
    <t>DR Capacity (MW)</t>
  </si>
  <si>
    <t>Potential Additional DR Capacity (MW)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</si>
</sst>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000000"/>
      <name val="等线"/>
      <charset val="134"/>
    </font>
    <font>
      <sz val="11"/>
      <name val="等线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" fontId="0" fillId="0" borderId="0" xfId="0" applyNumberFormat="1"/>
    <xf numFmtId="0" fontId="1" fillId="2" borderId="0" xfId="0" applyFont="1" applyFill="1"/>
    <xf numFmtId="0" fontId="0" fillId="3" borderId="0" xfId="0" applyFill="1" applyAlignment="1">
      <alignment wrapText="1"/>
    </xf>
    <xf numFmtId="176" fontId="0" fillId="3" borderId="0" xfId="0" applyNumberFormat="1" applyFill="1" applyAlignment="1">
      <alignment wrapText="1"/>
    </xf>
    <xf numFmtId="177" fontId="0" fillId="0" borderId="0" xfId="0" applyNumberFormat="1"/>
    <xf numFmtId="9" fontId="0" fillId="0" borderId="0" xfId="0" applyNumberFormat="1"/>
    <xf numFmtId="9" fontId="0" fillId="0" borderId="0" xfId="3" applyNumberFormat="1" applyAlignment="1"/>
    <xf numFmtId="9" fontId="0" fillId="0" borderId="0" xfId="3" applyAlignment="1"/>
    <xf numFmtId="9" fontId="0" fillId="4" borderId="0" xfId="0" applyNumberFormat="1" applyFill="1"/>
    <xf numFmtId="0" fontId="1" fillId="5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49" fontId="2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0" fontId="4" fillId="0" borderId="0" xfId="6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10" fontId="1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16</xdr:col>
      <xdr:colOff>219871</xdr:colOff>
      <xdr:row>11</xdr:row>
      <xdr:rowOff>85976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84160" y="171450"/>
          <a:ext cx="5386070" cy="1800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yglxxbs.ndrc.gov.cn/file-submission/20230519102727235060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selection activeCell="F10" sqref="F10"/>
    </sheetView>
  </sheetViews>
  <sheetFormatPr defaultColWidth="9" defaultRowHeight="13.5" outlineLevelCol="2"/>
  <cols>
    <col min="2" max="2" width="34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1" t="s">
        <v>2</v>
      </c>
      <c r="B4" s="4" t="s">
        <v>3</v>
      </c>
    </row>
    <row r="5" spans="1:2">
      <c r="B5" t="s">
        <v>4</v>
      </c>
    </row>
    <row r="7" spans="1:2">
      <c r="B7" s="4" t="s">
        <v>5</v>
      </c>
    </row>
    <row r="8" spans="1:2">
      <c r="B8" t="s">
        <v>6</v>
      </c>
    </row>
    <row r="9" spans="1:2">
      <c r="B9" t="s">
        <v>7</v>
      </c>
    </row>
    <row r="10" spans="1:2">
      <c r="B10">
        <v>2023</v>
      </c>
    </row>
    <row r="11" spans="1:2">
      <c r="B11" t="s">
        <v>8</v>
      </c>
    </row>
    <row r="12" spans="1:2">
      <c r="B12" s="19" t="s">
        <v>9</v>
      </c>
    </row>
    <row r="13" spans="1:2">
      <c r="B13" s="19"/>
    </row>
    <row r="14" spans="1:2">
      <c r="B14" s="4" t="s">
        <v>10</v>
      </c>
    </row>
    <row r="15" ht="13.9" spans="1:2">
      <c r="B15" s="20" t="s">
        <v>11</v>
      </c>
    </row>
    <row r="16" ht="13.9" spans="1:2">
      <c r="B16" s="21" t="s">
        <v>12</v>
      </c>
    </row>
    <row r="17" ht="27.75" spans="1:3">
      <c r="B17" s="20" t="s">
        <v>13</v>
      </c>
    </row>
    <row r="18" ht="13.9" spans="1:3">
      <c r="B18" s="21" t="s">
        <v>14</v>
      </c>
    </row>
    <row r="19" ht="13.9" spans="1:3">
      <c r="B19" s="21" t="s">
        <v>15</v>
      </c>
    </row>
    <row r="20" ht="13.85" spans="1:3">
      <c r="B20" s="21"/>
    </row>
    <row r="21" spans="1:3">
      <c r="B21" t="s">
        <v>16</v>
      </c>
      <c r="C21" t="s">
        <v>17</v>
      </c>
    </row>
    <row r="23" spans="1:3">
      <c r="A23" s="1" t="s">
        <v>18</v>
      </c>
    </row>
    <row r="24" spans="1:3">
      <c r="A24" t="s">
        <v>19</v>
      </c>
    </row>
    <row r="25" spans="1:3">
      <c r="A25" t="s">
        <v>20</v>
      </c>
    </row>
    <row r="26" spans="1:3">
      <c r="A26" s="1"/>
    </row>
    <row r="27" spans="1:3">
      <c r="A27" t="s">
        <v>21</v>
      </c>
    </row>
    <row r="28" spans="1:3">
      <c r="A28" t="s">
        <v>22</v>
      </c>
    </row>
    <row r="30" spans="1:3">
      <c r="A30" t="s">
        <v>23</v>
      </c>
    </row>
    <row r="31" spans="1:3">
      <c r="A31" t="s">
        <v>24</v>
      </c>
    </row>
    <row r="34" spans="2:2">
      <c r="B34" s="1"/>
    </row>
    <row r="35" spans="2:2">
      <c r="B35" s="22"/>
    </row>
  </sheetData>
  <hyperlinks>
    <hyperlink ref="B12" r:id="rId1" display="20230519102727235060.pdf (ndrc.gov.cn)"/>
  </hyperlinks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T18" sqref="T18"/>
    </sheetView>
  </sheetViews>
  <sheetFormatPr defaultColWidth="9" defaultRowHeight="13.5" outlineLevelCol="6"/>
  <cols>
    <col min="1" max="1" width="9" style="13"/>
    <col min="2" max="2" width="16.1061946902655" style="13" customWidth="1"/>
    <col min="4" max="4" width="15.1061946902655" customWidth="1"/>
    <col min="5" max="7" width="17.2212389380531" customWidth="1"/>
  </cols>
  <sheetData>
    <row r="1" spans="1:7">
      <c r="A1" s="14" t="s">
        <v>25</v>
      </c>
      <c r="B1" s="14" t="s">
        <v>26</v>
      </c>
      <c r="C1" s="14" t="s">
        <v>27</v>
      </c>
      <c r="D1" s="15" t="s">
        <v>28</v>
      </c>
      <c r="E1" s="15"/>
      <c r="F1" s="15"/>
      <c r="G1" s="15"/>
    </row>
    <row r="2" spans="1:7">
      <c r="A2" s="16"/>
      <c r="B2" s="16"/>
      <c r="C2" s="16"/>
      <c r="D2" s="15" t="s">
        <v>29</v>
      </c>
      <c r="E2" s="15" t="s">
        <v>30</v>
      </c>
      <c r="F2" s="15" t="s">
        <v>31</v>
      </c>
      <c r="G2" s="15" t="s">
        <v>32</v>
      </c>
    </row>
    <row r="3" spans="1:7">
      <c r="A3" s="17" t="s">
        <v>33</v>
      </c>
      <c r="B3" s="17" t="s">
        <v>34</v>
      </c>
      <c r="C3" s="15"/>
      <c r="D3" s="15"/>
      <c r="E3" s="15"/>
      <c r="F3" s="15"/>
      <c r="G3" s="15"/>
    </row>
    <row r="4" spans="1:7">
      <c r="A4" s="17" t="s">
        <v>35</v>
      </c>
      <c r="B4" s="17" t="s">
        <v>36</v>
      </c>
      <c r="C4" s="15"/>
      <c r="D4" s="15"/>
      <c r="E4" s="15"/>
      <c r="F4" s="15"/>
      <c r="G4" s="15"/>
    </row>
    <row r="5" spans="1:7">
      <c r="A5" s="17" t="s">
        <v>37</v>
      </c>
      <c r="B5" s="17" t="s">
        <v>38</v>
      </c>
      <c r="C5" s="15"/>
      <c r="D5" s="15"/>
      <c r="E5" s="15"/>
      <c r="F5" s="15"/>
      <c r="G5" s="15"/>
    </row>
    <row r="6" spans="1:7">
      <c r="A6" s="17" t="s">
        <v>39</v>
      </c>
      <c r="B6" s="17" t="s">
        <v>40</v>
      </c>
      <c r="C6" s="15"/>
      <c r="D6" s="15"/>
      <c r="E6" s="15"/>
      <c r="F6" s="15"/>
      <c r="G6" s="15"/>
    </row>
    <row r="7" spans="1:7">
      <c r="A7" s="17" t="s">
        <v>41</v>
      </c>
      <c r="B7" s="17" t="s">
        <v>42</v>
      </c>
      <c r="C7" s="15"/>
      <c r="D7" s="15"/>
      <c r="E7" s="15"/>
      <c r="F7" s="15"/>
      <c r="G7" s="15"/>
    </row>
    <row r="8" spans="1:7">
      <c r="A8" s="17" t="s">
        <v>43</v>
      </c>
      <c r="B8" s="17" t="s">
        <v>44</v>
      </c>
      <c r="C8" s="15"/>
      <c r="D8" s="15"/>
      <c r="E8" s="15"/>
      <c r="F8" s="15"/>
      <c r="G8" s="15"/>
    </row>
    <row r="9" spans="1:7">
      <c r="A9" s="17" t="s">
        <v>45</v>
      </c>
      <c r="B9" s="17" t="s">
        <v>46</v>
      </c>
      <c r="C9" s="15"/>
      <c r="D9" s="15"/>
      <c r="E9" s="15"/>
      <c r="F9" s="15"/>
      <c r="G9" s="15"/>
    </row>
    <row r="10" spans="1:7">
      <c r="A10" s="17" t="s">
        <v>47</v>
      </c>
      <c r="B10" s="17" t="s">
        <v>48</v>
      </c>
      <c r="C10" s="15"/>
      <c r="D10" s="15"/>
      <c r="E10" s="15"/>
      <c r="F10" s="15"/>
      <c r="G10" s="15"/>
    </row>
    <row r="11" spans="1:7">
      <c r="A11" s="17" t="s">
        <v>49</v>
      </c>
      <c r="B11" s="17" t="s">
        <v>50</v>
      </c>
      <c r="C11" s="15"/>
      <c r="D11" s="15"/>
      <c r="E11" s="15"/>
      <c r="F11" s="15"/>
      <c r="G11" s="15"/>
    </row>
    <row r="12" spans="1:7">
      <c r="A12" s="17" t="s">
        <v>51</v>
      </c>
      <c r="B12" s="17" t="s">
        <v>52</v>
      </c>
      <c r="C12" s="15">
        <v>2020</v>
      </c>
      <c r="D12" s="15">
        <f>MAX(E12:G12)</f>
        <v>700</v>
      </c>
      <c r="E12" s="15">
        <v>700</v>
      </c>
      <c r="F12" s="15">
        <v>300</v>
      </c>
      <c r="G12" s="15">
        <v>100</v>
      </c>
    </row>
    <row r="13" spans="1:7">
      <c r="A13" s="17" t="s">
        <v>53</v>
      </c>
      <c r="B13" s="17" t="s">
        <v>54</v>
      </c>
      <c r="C13" s="15">
        <v>2021</v>
      </c>
      <c r="D13" s="15">
        <v>200</v>
      </c>
      <c r="E13" s="15"/>
      <c r="F13" s="15"/>
      <c r="G13" s="15"/>
    </row>
    <row r="14" spans="1:7">
      <c r="A14" s="17" t="s">
        <v>55</v>
      </c>
      <c r="B14" s="17" t="s">
        <v>56</v>
      </c>
      <c r="C14" s="15"/>
      <c r="D14" s="15"/>
      <c r="E14" s="15"/>
      <c r="F14" s="15"/>
      <c r="G14" s="15"/>
    </row>
    <row r="15" spans="1:7">
      <c r="A15" s="17" t="s">
        <v>57</v>
      </c>
      <c r="B15" s="17" t="s">
        <v>58</v>
      </c>
      <c r="C15" s="15"/>
      <c r="D15" s="15"/>
      <c r="E15" s="15"/>
      <c r="F15" s="15"/>
      <c r="G15" s="15"/>
    </row>
    <row r="16" spans="1:7">
      <c r="A16" s="17" t="s">
        <v>59</v>
      </c>
      <c r="B16" s="17" t="s">
        <v>60</v>
      </c>
      <c r="C16" s="15"/>
      <c r="D16" s="15"/>
      <c r="E16" s="15"/>
      <c r="F16" s="15"/>
      <c r="G16" s="15"/>
    </row>
    <row r="17" spans="1:7">
      <c r="A17" s="17" t="s">
        <v>61</v>
      </c>
      <c r="B17" s="17" t="s">
        <v>62</v>
      </c>
      <c r="C17" s="15"/>
      <c r="D17" s="15">
        <v>60</v>
      </c>
      <c r="E17" s="15"/>
      <c r="F17" s="15"/>
      <c r="G17" s="15"/>
    </row>
    <row r="18" spans="1:7">
      <c r="A18" s="17" t="s">
        <v>63</v>
      </c>
      <c r="B18" s="17" t="s">
        <v>64</v>
      </c>
      <c r="C18" s="15">
        <v>2020</v>
      </c>
      <c r="D18" s="15">
        <v>432</v>
      </c>
      <c r="E18" s="15"/>
      <c r="F18" s="15"/>
      <c r="G18" s="15"/>
    </row>
    <row r="19" spans="1:7">
      <c r="A19" s="17" t="s">
        <v>65</v>
      </c>
      <c r="B19" s="17" t="s">
        <v>66</v>
      </c>
      <c r="C19" s="15"/>
      <c r="D19" s="15">
        <v>117</v>
      </c>
      <c r="E19" s="15"/>
      <c r="F19" s="15"/>
      <c r="G19" s="15"/>
    </row>
    <row r="20" spans="1:7">
      <c r="A20" s="17" t="s">
        <v>67</v>
      </c>
      <c r="B20" s="17" t="s">
        <v>68</v>
      </c>
      <c r="C20" s="15"/>
      <c r="D20" s="15">
        <v>180</v>
      </c>
      <c r="E20" s="15"/>
      <c r="F20" s="15"/>
      <c r="G20" s="15"/>
    </row>
    <row r="21" spans="1:7">
      <c r="A21" s="17" t="s">
        <v>69</v>
      </c>
      <c r="B21" s="17" t="s">
        <v>70</v>
      </c>
      <c r="C21" s="15"/>
      <c r="D21" s="15">
        <v>19.8</v>
      </c>
      <c r="E21" s="15"/>
      <c r="F21" s="15"/>
      <c r="G21" s="15"/>
    </row>
    <row r="22" spans="1:7">
      <c r="A22" s="17" t="s">
        <v>71</v>
      </c>
      <c r="B22" s="17" t="s">
        <v>72</v>
      </c>
      <c r="C22" s="15"/>
      <c r="D22" s="15"/>
      <c r="E22" s="15"/>
      <c r="F22" s="15"/>
      <c r="G22" s="15"/>
    </row>
    <row r="23" spans="1:7">
      <c r="A23" s="17" t="s">
        <v>73</v>
      </c>
      <c r="B23" s="17" t="s">
        <v>74</v>
      </c>
      <c r="C23" s="15"/>
      <c r="D23" s="15"/>
      <c r="E23" s="15"/>
      <c r="F23" s="15"/>
      <c r="G23" s="15"/>
    </row>
    <row r="24" spans="1:7">
      <c r="A24" s="17" t="s">
        <v>75</v>
      </c>
      <c r="B24" s="17" t="s">
        <v>76</v>
      </c>
      <c r="C24" s="15">
        <v>2020</v>
      </c>
      <c r="D24" s="15">
        <v>40</v>
      </c>
      <c r="E24" s="15"/>
      <c r="F24" s="15"/>
      <c r="G24" s="15"/>
    </row>
    <row r="25" spans="1:7">
      <c r="A25" s="17" t="s">
        <v>77</v>
      </c>
      <c r="B25" s="17" t="s">
        <v>78</v>
      </c>
      <c r="C25" s="15"/>
      <c r="D25" s="15"/>
      <c r="E25" s="15"/>
      <c r="F25" s="15"/>
      <c r="G25" s="15"/>
    </row>
    <row r="26" spans="1:7">
      <c r="A26" s="17" t="s">
        <v>79</v>
      </c>
      <c r="B26" s="17" t="s">
        <v>80</v>
      </c>
      <c r="C26" s="15"/>
      <c r="D26" s="15"/>
      <c r="E26" s="15"/>
      <c r="F26" s="15"/>
      <c r="G26" s="15"/>
    </row>
    <row r="27" spans="1:7">
      <c r="A27" s="17" t="s">
        <v>81</v>
      </c>
      <c r="B27" s="17" t="s">
        <v>82</v>
      </c>
      <c r="C27" s="15"/>
      <c r="D27" s="15"/>
      <c r="E27" s="15"/>
      <c r="F27" s="15"/>
      <c r="G27" s="15"/>
    </row>
    <row r="28" spans="1:7">
      <c r="A28" s="17" t="s">
        <v>83</v>
      </c>
      <c r="B28" s="17" t="s">
        <v>84</v>
      </c>
      <c r="C28" s="15"/>
      <c r="D28" s="15"/>
      <c r="E28" s="15"/>
      <c r="F28" s="15"/>
      <c r="G28" s="15"/>
    </row>
    <row r="29" spans="1:7">
      <c r="A29" s="17" t="s">
        <v>85</v>
      </c>
      <c r="B29" s="17" t="s">
        <v>86</v>
      </c>
      <c r="C29" s="15"/>
      <c r="D29" s="15"/>
      <c r="E29" s="15"/>
      <c r="F29" s="15"/>
      <c r="G29" s="15"/>
    </row>
    <row r="30" spans="1:7">
      <c r="A30" s="17" t="s">
        <v>87</v>
      </c>
      <c r="B30" s="17" t="s">
        <v>88</v>
      </c>
      <c r="C30" s="15"/>
      <c r="D30" s="15"/>
      <c r="E30" s="15"/>
      <c r="F30" s="15"/>
      <c r="G30" s="15"/>
    </row>
    <row r="31" spans="1:7">
      <c r="A31" s="17" t="s">
        <v>89</v>
      </c>
      <c r="B31" s="17" t="s">
        <v>90</v>
      </c>
      <c r="C31" s="15"/>
      <c r="D31" s="15"/>
      <c r="E31" s="15"/>
      <c r="F31" s="15"/>
      <c r="G31" s="15"/>
    </row>
    <row r="32" spans="1:7">
      <c r="A32" s="17" t="s">
        <v>91</v>
      </c>
      <c r="B32" s="17" t="s">
        <v>92</v>
      </c>
      <c r="C32" s="15"/>
      <c r="D32" s="15"/>
      <c r="E32" s="15"/>
      <c r="F32" s="15"/>
      <c r="G32" s="15"/>
    </row>
    <row r="33" spans="1:7">
      <c r="A33" s="17" t="s">
        <v>93</v>
      </c>
      <c r="B33" s="17" t="s">
        <v>94</v>
      </c>
      <c r="C33" s="15"/>
      <c r="D33" s="15"/>
      <c r="E33" s="15"/>
      <c r="F33" s="15"/>
      <c r="G33" s="15"/>
    </row>
    <row r="34" spans="1:7">
      <c r="A34" s="18" t="s">
        <v>95</v>
      </c>
      <c r="B34" s="18" t="s">
        <v>96</v>
      </c>
      <c r="C34" s="15"/>
      <c r="D34" s="15">
        <f>SUM(D3:D33)</f>
        <v>1748.8</v>
      </c>
      <c r="E34" s="15"/>
      <c r="F34" s="15"/>
      <c r="G34" s="15"/>
    </row>
  </sheetData>
  <mergeCells count="4">
    <mergeCell ref="D1:G1"/>
    <mergeCell ref="A1:A2"/>
    <mergeCell ref="B1:B2"/>
    <mergeCell ref="C1:C2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2"/>
  <sheetViews>
    <sheetView tabSelected="1" workbookViewId="0">
      <selection activeCell="J6" sqref="J6"/>
    </sheetView>
  </sheetViews>
  <sheetFormatPr defaultColWidth="9" defaultRowHeight="13.5"/>
  <cols>
    <col min="1" max="1" width="42" customWidth="1"/>
    <col min="2" max="2" width="9.44247787610619" customWidth="1"/>
    <col min="3" max="3" width="12.8141592920354"/>
    <col min="4" max="5" width="9" customWidth="1"/>
    <col min="6" max="6" width="12.8141592920354"/>
    <col min="7" max="7" width="9.44247787610619" customWidth="1"/>
    <col min="8" max="8" width="12.8141592920354"/>
    <col min="9" max="9" width="9.44247787610619" customWidth="1"/>
    <col min="10" max="12" width="12.8141592920354"/>
    <col min="13" max="41" width="9" customWidth="1"/>
  </cols>
  <sheetData>
    <row r="1" s="4" customFormat="1" spans="1:42">
      <c r="A1" s="4" t="s">
        <v>97</v>
      </c>
    </row>
    <row r="2" spans="1:42">
      <c r="B2">
        <v>2020</v>
      </c>
      <c r="C2">
        <v>2021</v>
      </c>
      <c r="D2">
        <v>2022</v>
      </c>
      <c r="E2">
        <v>2023</v>
      </c>
      <c r="F2">
        <v>2024</v>
      </c>
      <c r="G2">
        <v>2025</v>
      </c>
      <c r="H2">
        <v>2026</v>
      </c>
      <c r="I2">
        <v>2027</v>
      </c>
      <c r="J2">
        <v>2028</v>
      </c>
      <c r="K2">
        <v>2029</v>
      </c>
      <c r="L2">
        <v>2030</v>
      </c>
      <c r="M2">
        <v>2031</v>
      </c>
      <c r="N2">
        <v>2032</v>
      </c>
      <c r="O2">
        <v>2033</v>
      </c>
      <c r="P2">
        <v>2034</v>
      </c>
      <c r="Q2">
        <v>2035</v>
      </c>
      <c r="R2">
        <v>2036</v>
      </c>
      <c r="S2">
        <v>2037</v>
      </c>
      <c r="T2">
        <v>2038</v>
      </c>
      <c r="U2">
        <v>2039</v>
      </c>
      <c r="V2">
        <v>2040</v>
      </c>
      <c r="W2">
        <v>2041</v>
      </c>
      <c r="X2">
        <v>2042</v>
      </c>
      <c r="Y2">
        <v>2043</v>
      </c>
      <c r="Z2">
        <v>2044</v>
      </c>
      <c r="AA2">
        <v>2045</v>
      </c>
      <c r="AB2">
        <v>2046</v>
      </c>
      <c r="AC2">
        <v>2047</v>
      </c>
      <c r="AD2">
        <v>2048</v>
      </c>
      <c r="AE2">
        <v>2049</v>
      </c>
      <c r="AF2">
        <v>2050</v>
      </c>
      <c r="AG2">
        <v>2051</v>
      </c>
      <c r="AH2">
        <v>2052</v>
      </c>
      <c r="AI2">
        <v>2053</v>
      </c>
      <c r="AJ2">
        <v>2054</v>
      </c>
      <c r="AK2">
        <v>2055</v>
      </c>
      <c r="AL2">
        <v>2056</v>
      </c>
      <c r="AM2">
        <v>2057</v>
      </c>
      <c r="AN2">
        <v>2058</v>
      </c>
      <c r="AO2">
        <v>2059</v>
      </c>
      <c r="AP2">
        <v>2060</v>
      </c>
    </row>
    <row r="3" spans="1:42">
      <c r="A3" t="s">
        <v>98</v>
      </c>
      <c r="B3">
        <v>110477</v>
      </c>
      <c r="C3">
        <v>119162</v>
      </c>
      <c r="D3">
        <v>128964</v>
      </c>
      <c r="E3">
        <f>13.4*100000000/10000</f>
        <v>134000</v>
      </c>
      <c r="F3">
        <f>14.5*100000000/10000</f>
        <v>145000</v>
      </c>
      <c r="G3">
        <f>16.3*100000000/10000</f>
        <v>163000</v>
      </c>
      <c r="H3" s="5">
        <f t="shared" ref="H3:M3" si="0">$G$3+($L$3-$G$3)*(H2-$G$2)/($L$2-$G$2)</f>
        <v>168200</v>
      </c>
      <c r="I3" s="5">
        <f t="shared" si="0"/>
        <v>173400</v>
      </c>
      <c r="J3" s="5">
        <f t="shared" si="0"/>
        <v>178600</v>
      </c>
      <c r="K3" s="5">
        <f t="shared" si="0"/>
        <v>183800</v>
      </c>
      <c r="L3">
        <f>18.9*100000000/10000</f>
        <v>189000</v>
      </c>
      <c r="M3" s="6">
        <f>$L$3+($AP$3-$L$3)*(M2-$L$2)/($AP$2-$L$2)</f>
        <v>192033.333333333</v>
      </c>
      <c r="N3" s="6">
        <f t="shared" ref="N3:AO3" si="1">$L$3+($AP$3-$L$3)*(N2-$L$2)/($AP$2-$L$2)</f>
        <v>195066.666666667</v>
      </c>
      <c r="O3" s="6">
        <f t="shared" si="1"/>
        <v>198100</v>
      </c>
      <c r="P3" s="6">
        <f t="shared" si="1"/>
        <v>201133.333333333</v>
      </c>
      <c r="Q3" s="6">
        <f t="shared" si="1"/>
        <v>204166.666666667</v>
      </c>
      <c r="R3" s="6">
        <f t="shared" si="1"/>
        <v>207200</v>
      </c>
      <c r="S3" s="6">
        <f t="shared" si="1"/>
        <v>210233.333333333</v>
      </c>
      <c r="T3" s="6">
        <f t="shared" si="1"/>
        <v>213266.666666667</v>
      </c>
      <c r="U3" s="6">
        <f t="shared" si="1"/>
        <v>216300</v>
      </c>
      <c r="V3" s="6">
        <f t="shared" si="1"/>
        <v>219333.333333333</v>
      </c>
      <c r="W3" s="6">
        <f t="shared" si="1"/>
        <v>222366.666666667</v>
      </c>
      <c r="X3" s="6">
        <f t="shared" si="1"/>
        <v>225400</v>
      </c>
      <c r="Y3" s="6">
        <f t="shared" si="1"/>
        <v>228433.333333333</v>
      </c>
      <c r="Z3" s="6">
        <f t="shared" si="1"/>
        <v>231466.666666667</v>
      </c>
      <c r="AA3" s="6">
        <f t="shared" si="1"/>
        <v>234500</v>
      </c>
      <c r="AB3" s="6">
        <f t="shared" si="1"/>
        <v>237533.333333333</v>
      </c>
      <c r="AC3" s="6">
        <f t="shared" si="1"/>
        <v>240566.666666667</v>
      </c>
      <c r="AD3" s="6">
        <f t="shared" si="1"/>
        <v>243600</v>
      </c>
      <c r="AE3" s="6">
        <f t="shared" si="1"/>
        <v>246633.333333333</v>
      </c>
      <c r="AF3" s="6">
        <f t="shared" si="1"/>
        <v>249666.666666667</v>
      </c>
      <c r="AG3" s="6">
        <f t="shared" si="1"/>
        <v>252700</v>
      </c>
      <c r="AH3" s="6">
        <f t="shared" si="1"/>
        <v>255733.333333333</v>
      </c>
      <c r="AI3" s="6">
        <f t="shared" si="1"/>
        <v>258766.666666667</v>
      </c>
      <c r="AJ3" s="6">
        <f t="shared" si="1"/>
        <v>261800</v>
      </c>
      <c r="AK3" s="6">
        <f t="shared" si="1"/>
        <v>264833.333333333</v>
      </c>
      <c r="AL3" s="6">
        <f t="shared" si="1"/>
        <v>267866.666666667</v>
      </c>
      <c r="AM3" s="6">
        <f t="shared" si="1"/>
        <v>270900</v>
      </c>
      <c r="AN3" s="6">
        <f t="shared" si="1"/>
        <v>273933.333333333</v>
      </c>
      <c r="AO3" s="6">
        <f t="shared" si="1"/>
        <v>276966.666666667</v>
      </c>
      <c r="AP3">
        <f>28*100000000/10000</f>
        <v>280000</v>
      </c>
    </row>
    <row r="4" spans="1:42">
      <c r="A4" t="s">
        <v>99</v>
      </c>
      <c r="B4">
        <f>B3*10</f>
        <v>1104770</v>
      </c>
      <c r="C4">
        <f t="shared" ref="C4:AP4" si="2">C3*10</f>
        <v>1191620</v>
      </c>
      <c r="D4">
        <f t="shared" si="2"/>
        <v>1289640</v>
      </c>
      <c r="E4">
        <f t="shared" si="2"/>
        <v>1340000</v>
      </c>
      <c r="F4">
        <f t="shared" si="2"/>
        <v>1450000</v>
      </c>
      <c r="G4">
        <f t="shared" si="2"/>
        <v>1630000</v>
      </c>
      <c r="H4">
        <f t="shared" si="2"/>
        <v>1682000</v>
      </c>
      <c r="I4">
        <f t="shared" si="2"/>
        <v>1734000</v>
      </c>
      <c r="J4">
        <f t="shared" si="2"/>
        <v>1786000</v>
      </c>
      <c r="K4">
        <f t="shared" si="2"/>
        <v>1838000</v>
      </c>
      <c r="L4">
        <f t="shared" si="2"/>
        <v>1890000</v>
      </c>
      <c r="M4">
        <f t="shared" si="2"/>
        <v>1920333.33333333</v>
      </c>
      <c r="N4">
        <f t="shared" si="2"/>
        <v>1950666.66666667</v>
      </c>
      <c r="O4">
        <f t="shared" si="2"/>
        <v>1981000</v>
      </c>
      <c r="P4">
        <f t="shared" si="2"/>
        <v>2011333.33333333</v>
      </c>
      <c r="Q4">
        <f t="shared" si="2"/>
        <v>2041666.66666667</v>
      </c>
      <c r="R4">
        <f t="shared" si="2"/>
        <v>2072000</v>
      </c>
      <c r="S4">
        <f t="shared" si="2"/>
        <v>2102333.33333333</v>
      </c>
      <c r="T4">
        <f t="shared" si="2"/>
        <v>2132666.66666667</v>
      </c>
      <c r="U4">
        <f t="shared" si="2"/>
        <v>2163000</v>
      </c>
      <c r="V4">
        <f t="shared" si="2"/>
        <v>2193333.33333333</v>
      </c>
      <c r="W4">
        <f t="shared" si="2"/>
        <v>2223666.66666667</v>
      </c>
      <c r="X4">
        <f t="shared" si="2"/>
        <v>2254000</v>
      </c>
      <c r="Y4">
        <f t="shared" si="2"/>
        <v>2284333.33333333</v>
      </c>
      <c r="Z4">
        <f t="shared" si="2"/>
        <v>2314666.66666667</v>
      </c>
      <c r="AA4">
        <f t="shared" si="2"/>
        <v>2345000</v>
      </c>
      <c r="AB4">
        <f t="shared" si="2"/>
        <v>2375333.33333333</v>
      </c>
      <c r="AC4">
        <f t="shared" si="2"/>
        <v>2405666.66666667</v>
      </c>
      <c r="AD4">
        <f t="shared" si="2"/>
        <v>2436000</v>
      </c>
      <c r="AE4">
        <f t="shared" si="2"/>
        <v>2466333.33333333</v>
      </c>
      <c r="AF4">
        <f t="shared" si="2"/>
        <v>2496666.66666667</v>
      </c>
      <c r="AG4">
        <f t="shared" si="2"/>
        <v>2527000</v>
      </c>
      <c r="AH4">
        <f t="shared" si="2"/>
        <v>2557333.33333333</v>
      </c>
      <c r="AI4">
        <f t="shared" si="2"/>
        <v>2587666.66666667</v>
      </c>
      <c r="AJ4">
        <f t="shared" si="2"/>
        <v>2618000</v>
      </c>
      <c r="AK4">
        <f t="shared" si="2"/>
        <v>2648333.33333333</v>
      </c>
      <c r="AL4">
        <f t="shared" si="2"/>
        <v>2678666.66666667</v>
      </c>
      <c r="AM4">
        <f t="shared" si="2"/>
        <v>2709000</v>
      </c>
      <c r="AN4">
        <f t="shared" si="2"/>
        <v>2739333.33333333</v>
      </c>
      <c r="AO4">
        <f t="shared" si="2"/>
        <v>2769666.66666667</v>
      </c>
      <c r="AP4">
        <f t="shared" si="2"/>
        <v>2800000</v>
      </c>
    </row>
    <row r="6" spans="1:42">
      <c r="A6" t="s">
        <v>100</v>
      </c>
    </row>
    <row r="7" spans="1:42">
      <c r="A7" t="s">
        <v>101</v>
      </c>
      <c r="B7" s="7">
        <v>0</v>
      </c>
      <c r="C7" s="7">
        <v>0.006</v>
      </c>
      <c r="D7" s="7">
        <v>0.012</v>
      </c>
      <c r="E7" s="7">
        <v>0.018</v>
      </c>
      <c r="F7" s="7">
        <v>0.024</v>
      </c>
      <c r="G7" s="8">
        <v>0.03</v>
      </c>
      <c r="H7" s="8">
        <v>0.03</v>
      </c>
      <c r="I7" s="8">
        <v>0.03</v>
      </c>
      <c r="J7" s="8">
        <v>0.03</v>
      </c>
      <c r="K7" s="8">
        <v>0.03</v>
      </c>
      <c r="L7" s="8">
        <v>0.03</v>
      </c>
      <c r="M7" s="8">
        <v>0.03</v>
      </c>
      <c r="N7" s="8">
        <v>0.03</v>
      </c>
      <c r="O7" s="8">
        <v>0.03</v>
      </c>
      <c r="P7" s="8">
        <v>0.03</v>
      </c>
      <c r="Q7" s="8">
        <v>0.03</v>
      </c>
      <c r="R7" s="8">
        <v>0.03</v>
      </c>
      <c r="S7" s="8">
        <v>0.03</v>
      </c>
      <c r="T7" s="8">
        <v>0.03</v>
      </c>
      <c r="U7" s="8">
        <v>0.03</v>
      </c>
      <c r="V7" s="8">
        <v>0.03</v>
      </c>
      <c r="W7" s="8">
        <v>0.03</v>
      </c>
      <c r="X7" s="8">
        <v>0.03</v>
      </c>
      <c r="Y7" s="8">
        <v>0.03</v>
      </c>
      <c r="Z7" s="8">
        <v>0.03</v>
      </c>
      <c r="AA7" s="8">
        <v>0.03</v>
      </c>
      <c r="AB7" s="8">
        <v>0.03</v>
      </c>
      <c r="AC7" s="8">
        <v>0.03</v>
      </c>
      <c r="AD7" s="8">
        <v>0.03</v>
      </c>
      <c r="AE7" s="8">
        <v>0.03</v>
      </c>
      <c r="AF7" s="8">
        <v>0.03</v>
      </c>
      <c r="AG7" s="8">
        <v>0.03</v>
      </c>
      <c r="AH7" s="8">
        <v>0.03</v>
      </c>
      <c r="AI7" s="8">
        <v>0.03</v>
      </c>
      <c r="AJ7" s="8">
        <v>0.03</v>
      </c>
      <c r="AK7" s="8">
        <v>0.03</v>
      </c>
      <c r="AL7" s="8">
        <v>0.03</v>
      </c>
      <c r="AM7" s="8">
        <v>0.03</v>
      </c>
      <c r="AN7" s="8">
        <v>0.03</v>
      </c>
      <c r="AO7" s="8">
        <v>0.03</v>
      </c>
      <c r="AP7" s="8">
        <v>0.03</v>
      </c>
    </row>
    <row r="8" spans="1:42">
      <c r="A8" t="s">
        <v>102</v>
      </c>
      <c r="B8" s="8">
        <f t="shared" ref="B8:AP8" si="3">B15</f>
        <v>0.04</v>
      </c>
      <c r="C8" s="8">
        <f t="shared" si="3"/>
        <v>0.046</v>
      </c>
      <c r="D8" s="8">
        <f t="shared" si="3"/>
        <v>0.052</v>
      </c>
      <c r="E8" s="8">
        <f t="shared" si="3"/>
        <v>0.058</v>
      </c>
      <c r="F8" s="8">
        <f t="shared" si="3"/>
        <v>0.064</v>
      </c>
      <c r="G8" s="8">
        <f t="shared" si="3"/>
        <v>0.07</v>
      </c>
      <c r="H8" s="8">
        <f t="shared" si="3"/>
        <v>0.076</v>
      </c>
      <c r="I8" s="8">
        <f t="shared" si="3"/>
        <v>0.082</v>
      </c>
      <c r="J8" s="8">
        <f t="shared" si="3"/>
        <v>0.088</v>
      </c>
      <c r="K8" s="8">
        <f t="shared" si="3"/>
        <v>0.094</v>
      </c>
      <c r="L8" s="8">
        <f t="shared" si="3"/>
        <v>0.1</v>
      </c>
      <c r="M8" s="8">
        <f t="shared" si="3"/>
        <v>0.105</v>
      </c>
      <c r="N8" s="8">
        <f t="shared" si="3"/>
        <v>0.11</v>
      </c>
      <c r="O8" s="8">
        <f t="shared" si="3"/>
        <v>0.115</v>
      </c>
      <c r="P8" s="8">
        <f t="shared" si="3"/>
        <v>0.12</v>
      </c>
      <c r="Q8" s="8">
        <f t="shared" si="3"/>
        <v>0.125</v>
      </c>
      <c r="R8" s="8">
        <f t="shared" si="3"/>
        <v>0.13</v>
      </c>
      <c r="S8" s="8">
        <f t="shared" si="3"/>
        <v>0.135</v>
      </c>
      <c r="T8" s="8">
        <f t="shared" si="3"/>
        <v>0.14</v>
      </c>
      <c r="U8" s="8">
        <f t="shared" si="3"/>
        <v>0.145</v>
      </c>
      <c r="V8" s="8">
        <f t="shared" si="3"/>
        <v>0.15</v>
      </c>
      <c r="W8" s="8">
        <f t="shared" si="3"/>
        <v>0.155</v>
      </c>
      <c r="X8" s="8">
        <f t="shared" si="3"/>
        <v>0.16</v>
      </c>
      <c r="Y8" s="8">
        <f t="shared" si="3"/>
        <v>0.165</v>
      </c>
      <c r="Z8" s="8">
        <f t="shared" si="3"/>
        <v>0.17</v>
      </c>
      <c r="AA8" s="8">
        <f t="shared" si="3"/>
        <v>0.175</v>
      </c>
      <c r="AB8" s="8">
        <f t="shared" si="3"/>
        <v>0.18</v>
      </c>
      <c r="AC8" s="8">
        <f t="shared" si="3"/>
        <v>0.185</v>
      </c>
      <c r="AD8" s="8">
        <f t="shared" si="3"/>
        <v>0.19</v>
      </c>
      <c r="AE8" s="8">
        <f t="shared" si="3"/>
        <v>0.195</v>
      </c>
      <c r="AF8" s="8">
        <f t="shared" si="3"/>
        <v>0.2</v>
      </c>
      <c r="AG8" s="8">
        <f t="shared" si="3"/>
        <v>0.2</v>
      </c>
      <c r="AH8" s="8">
        <f t="shared" si="3"/>
        <v>0.2</v>
      </c>
      <c r="AI8" s="8">
        <f t="shared" si="3"/>
        <v>0.2</v>
      </c>
      <c r="AJ8" s="8">
        <f t="shared" si="3"/>
        <v>0.2</v>
      </c>
      <c r="AK8" s="8">
        <f t="shared" si="3"/>
        <v>0.2</v>
      </c>
      <c r="AL8" s="8">
        <f t="shared" si="3"/>
        <v>0.2</v>
      </c>
      <c r="AM8" s="8">
        <f t="shared" si="3"/>
        <v>0.2</v>
      </c>
      <c r="AN8" s="8">
        <f t="shared" si="3"/>
        <v>0.2</v>
      </c>
      <c r="AO8" s="8">
        <f t="shared" si="3"/>
        <v>0.2</v>
      </c>
      <c r="AP8" s="8">
        <f t="shared" si="3"/>
        <v>0.2</v>
      </c>
    </row>
    <row r="9" spans="1:42">
      <c r="A9" t="s">
        <v>103</v>
      </c>
      <c r="B9" s="8">
        <f>B8-B7</f>
        <v>0.04</v>
      </c>
      <c r="C9" s="8">
        <f t="shared" ref="B9:F9" si="4">C8-C7</f>
        <v>0.04</v>
      </c>
      <c r="D9" s="8">
        <f t="shared" si="4"/>
        <v>0.04</v>
      </c>
      <c r="E9" s="8">
        <f t="shared" si="4"/>
        <v>0.04</v>
      </c>
      <c r="F9" s="8">
        <f t="shared" si="4"/>
        <v>0.04</v>
      </c>
      <c r="G9" s="8">
        <f t="shared" ref="G9:AO9" si="5">G8-G7</f>
        <v>0.04</v>
      </c>
      <c r="H9" s="8">
        <f t="shared" si="5"/>
        <v>0.046</v>
      </c>
      <c r="I9" s="8">
        <f t="shared" si="5"/>
        <v>0.052</v>
      </c>
      <c r="J9" s="8">
        <f t="shared" si="5"/>
        <v>0.058</v>
      </c>
      <c r="K9" s="8">
        <f t="shared" si="5"/>
        <v>0.064</v>
      </c>
      <c r="L9" s="8">
        <f t="shared" si="5"/>
        <v>0.07</v>
      </c>
      <c r="M9" s="8">
        <f t="shared" si="5"/>
        <v>0.075</v>
      </c>
      <c r="N9" s="8">
        <f t="shared" si="5"/>
        <v>0.08</v>
      </c>
      <c r="O9" s="8">
        <f t="shared" si="5"/>
        <v>0.085</v>
      </c>
      <c r="P9" s="8">
        <f t="shared" si="5"/>
        <v>0.09</v>
      </c>
      <c r="Q9" s="8">
        <f t="shared" si="5"/>
        <v>0.095</v>
      </c>
      <c r="R9" s="8">
        <f t="shared" si="5"/>
        <v>0.1</v>
      </c>
      <c r="S9" s="8">
        <f t="shared" si="5"/>
        <v>0.105</v>
      </c>
      <c r="T9" s="8">
        <f t="shared" si="5"/>
        <v>0.11</v>
      </c>
      <c r="U9" s="8">
        <f t="shared" si="5"/>
        <v>0.115</v>
      </c>
      <c r="V9" s="8">
        <f t="shared" si="5"/>
        <v>0.12</v>
      </c>
      <c r="W9" s="8">
        <f t="shared" si="5"/>
        <v>0.125</v>
      </c>
      <c r="X9" s="8">
        <f t="shared" si="5"/>
        <v>0.13</v>
      </c>
      <c r="Y9" s="8">
        <f t="shared" si="5"/>
        <v>0.135</v>
      </c>
      <c r="Z9" s="8">
        <f t="shared" si="5"/>
        <v>0.14</v>
      </c>
      <c r="AA9" s="8">
        <f t="shared" si="5"/>
        <v>0.145</v>
      </c>
      <c r="AB9" s="8">
        <f t="shared" si="5"/>
        <v>0.15</v>
      </c>
      <c r="AC9" s="8">
        <f t="shared" si="5"/>
        <v>0.155</v>
      </c>
      <c r="AD9" s="8">
        <f t="shared" si="5"/>
        <v>0.16</v>
      </c>
      <c r="AE9" s="8">
        <f t="shared" si="5"/>
        <v>0.165</v>
      </c>
      <c r="AF9" s="8">
        <f t="shared" si="5"/>
        <v>0.17</v>
      </c>
      <c r="AG9" s="8">
        <f t="shared" si="5"/>
        <v>0.17</v>
      </c>
      <c r="AH9" s="8">
        <f t="shared" si="5"/>
        <v>0.17</v>
      </c>
      <c r="AI9" s="8">
        <f t="shared" si="5"/>
        <v>0.17</v>
      </c>
      <c r="AJ9" s="8">
        <f t="shared" si="5"/>
        <v>0.17</v>
      </c>
      <c r="AK9" s="8">
        <f t="shared" si="5"/>
        <v>0.17</v>
      </c>
      <c r="AL9" s="8">
        <f t="shared" si="5"/>
        <v>0.17</v>
      </c>
      <c r="AM9" s="8">
        <f t="shared" si="5"/>
        <v>0.17</v>
      </c>
      <c r="AN9" s="8">
        <f t="shared" si="5"/>
        <v>0.17</v>
      </c>
      <c r="AO9" s="8">
        <f t="shared" si="5"/>
        <v>0.17</v>
      </c>
      <c r="AP9" s="8">
        <f t="shared" ref="AP9" si="6">AP8-AP7</f>
        <v>0.17</v>
      </c>
    </row>
    <row r="11" spans="1:42">
      <c r="A11" t="s">
        <v>104</v>
      </c>
      <c r="B11" s="8">
        <v>1.5</v>
      </c>
    </row>
    <row r="14" hidden="1"/>
    <row r="15" hidden="1" spans="1:42">
      <c r="A15" t="s">
        <v>105</v>
      </c>
      <c r="B15" s="9">
        <v>0.04</v>
      </c>
      <c r="C15" s="10">
        <f>$B$15+($L$15-$B$15)*(C2-$B$2)/($L$2-$B$2)</f>
        <v>0.046</v>
      </c>
      <c r="D15" s="10">
        <f t="shared" ref="D15:K15" si="7">$B$15+($L$15-$B$15)*(D2-$B$2)/($L$2-$B$2)</f>
        <v>0.052</v>
      </c>
      <c r="E15" s="10">
        <f t="shared" si="7"/>
        <v>0.058</v>
      </c>
      <c r="F15" s="10">
        <f t="shared" si="7"/>
        <v>0.064</v>
      </c>
      <c r="G15" s="10">
        <f t="shared" si="7"/>
        <v>0.07</v>
      </c>
      <c r="H15" s="10">
        <f t="shared" si="7"/>
        <v>0.076</v>
      </c>
      <c r="I15" s="10">
        <f t="shared" si="7"/>
        <v>0.082</v>
      </c>
      <c r="J15" s="10">
        <f t="shared" si="7"/>
        <v>0.088</v>
      </c>
      <c r="K15" s="10">
        <f t="shared" si="7"/>
        <v>0.094</v>
      </c>
      <c r="L15" s="11">
        <v>0.1</v>
      </c>
      <c r="M15" s="10">
        <f>$L$15+($AF$15-$L$15)*(M2-$L$2)/($AF$2-$L$2)</f>
        <v>0.105</v>
      </c>
      <c r="N15" s="10">
        <f t="shared" ref="N15:AE15" si="8">$L$15+($AF$15-$L$15)*(N2-$L$2)/($AF$2-$L$2)</f>
        <v>0.11</v>
      </c>
      <c r="O15" s="10">
        <f t="shared" si="8"/>
        <v>0.115</v>
      </c>
      <c r="P15" s="10">
        <f t="shared" si="8"/>
        <v>0.12</v>
      </c>
      <c r="Q15" s="10">
        <f t="shared" si="8"/>
        <v>0.125</v>
      </c>
      <c r="R15" s="10">
        <f t="shared" si="8"/>
        <v>0.13</v>
      </c>
      <c r="S15" s="10">
        <f t="shared" si="8"/>
        <v>0.135</v>
      </c>
      <c r="T15" s="10">
        <f t="shared" si="8"/>
        <v>0.14</v>
      </c>
      <c r="U15" s="10">
        <f t="shared" si="8"/>
        <v>0.145</v>
      </c>
      <c r="V15" s="10">
        <f t="shared" si="8"/>
        <v>0.15</v>
      </c>
      <c r="W15" s="10">
        <f t="shared" si="8"/>
        <v>0.155</v>
      </c>
      <c r="X15" s="10">
        <f t="shared" si="8"/>
        <v>0.16</v>
      </c>
      <c r="Y15" s="10">
        <f t="shared" si="8"/>
        <v>0.165</v>
      </c>
      <c r="Z15" s="10">
        <f t="shared" si="8"/>
        <v>0.17</v>
      </c>
      <c r="AA15" s="10">
        <f t="shared" si="8"/>
        <v>0.175</v>
      </c>
      <c r="AB15" s="10">
        <f t="shared" si="8"/>
        <v>0.18</v>
      </c>
      <c r="AC15" s="10">
        <f t="shared" si="8"/>
        <v>0.185</v>
      </c>
      <c r="AD15" s="10">
        <f t="shared" si="8"/>
        <v>0.19</v>
      </c>
      <c r="AE15" s="10">
        <f t="shared" si="8"/>
        <v>0.195</v>
      </c>
      <c r="AF15" s="11">
        <v>0.2</v>
      </c>
      <c r="AG15" s="11">
        <v>0.2</v>
      </c>
      <c r="AH15" s="11">
        <v>0.2</v>
      </c>
      <c r="AI15" s="11">
        <v>0.2</v>
      </c>
      <c r="AJ15" s="11">
        <v>0.2</v>
      </c>
      <c r="AK15" s="11">
        <v>0.2</v>
      </c>
      <c r="AL15" s="11">
        <v>0.2</v>
      </c>
      <c r="AM15" s="11">
        <v>0.2</v>
      </c>
      <c r="AN15" s="11">
        <v>0.2</v>
      </c>
      <c r="AO15" s="11">
        <v>0.2</v>
      </c>
      <c r="AP15" s="11">
        <v>0.2</v>
      </c>
    </row>
    <row r="16" hidden="1" spans="1:42">
      <c r="A16" t="s">
        <v>103</v>
      </c>
      <c r="B16" s="10">
        <f>B15-B7</f>
        <v>0.04</v>
      </c>
      <c r="C16" s="10">
        <f t="shared" ref="C16:AP16" si="9">C15-C7</f>
        <v>0.04</v>
      </c>
      <c r="D16" s="10">
        <f t="shared" si="9"/>
        <v>0.04</v>
      </c>
      <c r="E16" s="10">
        <f t="shared" si="9"/>
        <v>0.04</v>
      </c>
      <c r="F16" s="10">
        <f t="shared" si="9"/>
        <v>0.04</v>
      </c>
      <c r="G16" s="10">
        <f t="shared" si="9"/>
        <v>0.04</v>
      </c>
      <c r="H16" s="10">
        <f t="shared" si="9"/>
        <v>0.046</v>
      </c>
      <c r="I16" s="10">
        <f t="shared" si="9"/>
        <v>0.052</v>
      </c>
      <c r="J16" s="10">
        <f t="shared" si="9"/>
        <v>0.058</v>
      </c>
      <c r="K16" s="10">
        <f t="shared" si="9"/>
        <v>0.064</v>
      </c>
      <c r="L16" s="10">
        <f t="shared" si="9"/>
        <v>0.07</v>
      </c>
      <c r="M16" s="10">
        <f t="shared" si="9"/>
        <v>0.075</v>
      </c>
      <c r="N16" s="10">
        <f t="shared" si="9"/>
        <v>0.08</v>
      </c>
      <c r="O16" s="10">
        <f t="shared" si="9"/>
        <v>0.085</v>
      </c>
      <c r="P16" s="10">
        <f t="shared" si="9"/>
        <v>0.09</v>
      </c>
      <c r="Q16" s="10">
        <f t="shared" si="9"/>
        <v>0.095</v>
      </c>
      <c r="R16" s="10">
        <f t="shared" si="9"/>
        <v>0.1</v>
      </c>
      <c r="S16" s="10">
        <f t="shared" si="9"/>
        <v>0.105</v>
      </c>
      <c r="T16" s="10">
        <f t="shared" si="9"/>
        <v>0.11</v>
      </c>
      <c r="U16" s="10">
        <f t="shared" si="9"/>
        <v>0.115</v>
      </c>
      <c r="V16" s="10">
        <f t="shared" si="9"/>
        <v>0.12</v>
      </c>
      <c r="W16" s="10">
        <f t="shared" si="9"/>
        <v>0.125</v>
      </c>
      <c r="X16" s="10">
        <f t="shared" si="9"/>
        <v>0.13</v>
      </c>
      <c r="Y16" s="10">
        <f t="shared" si="9"/>
        <v>0.135</v>
      </c>
      <c r="Z16" s="10">
        <f t="shared" si="9"/>
        <v>0.14</v>
      </c>
      <c r="AA16" s="10">
        <f t="shared" si="9"/>
        <v>0.145</v>
      </c>
      <c r="AB16" s="10">
        <f t="shared" si="9"/>
        <v>0.15</v>
      </c>
      <c r="AC16" s="10">
        <f t="shared" si="9"/>
        <v>0.155</v>
      </c>
      <c r="AD16" s="10">
        <f t="shared" si="9"/>
        <v>0.16</v>
      </c>
      <c r="AE16" s="10">
        <f t="shared" si="9"/>
        <v>0.165</v>
      </c>
      <c r="AF16" s="10">
        <f t="shared" si="9"/>
        <v>0.17</v>
      </c>
      <c r="AG16" s="10">
        <f t="shared" si="9"/>
        <v>0.17</v>
      </c>
      <c r="AH16" s="10">
        <f t="shared" si="9"/>
        <v>0.17</v>
      </c>
      <c r="AI16" s="10">
        <f t="shared" si="9"/>
        <v>0.17</v>
      </c>
      <c r="AJ16" s="10">
        <f t="shared" si="9"/>
        <v>0.17</v>
      </c>
      <c r="AK16" s="10">
        <f t="shared" si="9"/>
        <v>0.17</v>
      </c>
      <c r="AL16" s="10">
        <f t="shared" si="9"/>
        <v>0.17</v>
      </c>
      <c r="AM16" s="10">
        <f t="shared" si="9"/>
        <v>0.17</v>
      </c>
      <c r="AN16" s="10">
        <f t="shared" si="9"/>
        <v>0.17</v>
      </c>
      <c r="AO16" s="10">
        <f t="shared" si="9"/>
        <v>0.17</v>
      </c>
      <c r="AP16" s="10">
        <f t="shared" si="9"/>
        <v>0.17</v>
      </c>
    </row>
    <row r="17" hidden="1" spans="1:42">
      <c r="B17" s="10">
        <f>B16/B9</f>
        <v>1</v>
      </c>
      <c r="C17" s="10">
        <f t="shared" ref="C17:AP17" si="10">C16/C9</f>
        <v>1</v>
      </c>
      <c r="D17" s="10">
        <f t="shared" si="10"/>
        <v>1</v>
      </c>
      <c r="E17" s="10">
        <f t="shared" si="10"/>
        <v>1</v>
      </c>
      <c r="F17" s="10">
        <f t="shared" si="10"/>
        <v>1</v>
      </c>
      <c r="G17" s="10">
        <f t="shared" si="10"/>
        <v>1</v>
      </c>
      <c r="H17" s="10">
        <f t="shared" si="10"/>
        <v>1</v>
      </c>
      <c r="I17" s="10">
        <f t="shared" si="10"/>
        <v>1</v>
      </c>
      <c r="J17" s="10">
        <f t="shared" si="10"/>
        <v>1</v>
      </c>
      <c r="K17" s="10">
        <f t="shared" si="10"/>
        <v>1</v>
      </c>
      <c r="L17" s="10">
        <f t="shared" si="10"/>
        <v>1</v>
      </c>
      <c r="M17" s="10">
        <f t="shared" si="10"/>
        <v>1</v>
      </c>
      <c r="N17" s="10">
        <f t="shared" si="10"/>
        <v>1</v>
      </c>
      <c r="O17" s="10">
        <f t="shared" si="10"/>
        <v>1</v>
      </c>
      <c r="P17" s="10">
        <f t="shared" si="10"/>
        <v>1</v>
      </c>
      <c r="Q17" s="10">
        <f t="shared" si="10"/>
        <v>1</v>
      </c>
      <c r="R17" s="10">
        <f t="shared" si="10"/>
        <v>1</v>
      </c>
      <c r="S17" s="10">
        <f t="shared" si="10"/>
        <v>1</v>
      </c>
      <c r="T17" s="10">
        <f t="shared" si="10"/>
        <v>1</v>
      </c>
      <c r="U17" s="10">
        <f t="shared" si="10"/>
        <v>1</v>
      </c>
      <c r="V17" s="10">
        <f t="shared" si="10"/>
        <v>1</v>
      </c>
      <c r="W17" s="10">
        <f t="shared" si="10"/>
        <v>1</v>
      </c>
      <c r="X17" s="10">
        <f t="shared" si="10"/>
        <v>1</v>
      </c>
      <c r="Y17" s="10">
        <f t="shared" si="10"/>
        <v>1</v>
      </c>
      <c r="Z17" s="10">
        <f t="shared" si="10"/>
        <v>1</v>
      </c>
      <c r="AA17" s="10">
        <f t="shared" si="10"/>
        <v>1</v>
      </c>
      <c r="AB17" s="10">
        <f t="shared" si="10"/>
        <v>1</v>
      </c>
      <c r="AC17" s="10">
        <f t="shared" si="10"/>
        <v>1</v>
      </c>
      <c r="AD17" s="10">
        <f t="shared" si="10"/>
        <v>1</v>
      </c>
      <c r="AE17" s="10">
        <f t="shared" si="10"/>
        <v>1</v>
      </c>
      <c r="AF17" s="10">
        <f t="shared" si="10"/>
        <v>1</v>
      </c>
      <c r="AG17" s="10">
        <f t="shared" si="10"/>
        <v>1</v>
      </c>
      <c r="AH17" s="10">
        <f t="shared" si="10"/>
        <v>1</v>
      </c>
      <c r="AI17" s="10">
        <f t="shared" si="10"/>
        <v>1</v>
      </c>
      <c r="AJ17" s="10">
        <f t="shared" si="10"/>
        <v>1</v>
      </c>
      <c r="AK17" s="10">
        <f t="shared" si="10"/>
        <v>1</v>
      </c>
      <c r="AL17" s="10">
        <f t="shared" si="10"/>
        <v>1</v>
      </c>
      <c r="AM17" s="10">
        <f t="shared" si="10"/>
        <v>1</v>
      </c>
      <c r="AN17" s="10">
        <f t="shared" si="10"/>
        <v>1</v>
      </c>
      <c r="AO17" s="10">
        <f t="shared" si="10"/>
        <v>1</v>
      </c>
      <c r="AP17" s="10">
        <f t="shared" si="10"/>
        <v>1</v>
      </c>
    </row>
    <row r="18" hidden="1" spans="1:42">
      <c r="A18" t="s">
        <v>106</v>
      </c>
      <c r="B18" s="8">
        <f>MAX(B16:AP16)</f>
        <v>0.17</v>
      </c>
    </row>
    <row r="19" hidden="1" spans="1:42">
      <c r="A19" s="12" t="s">
        <v>107</v>
      </c>
      <c r="B19" s="10">
        <f t="shared" ref="B19:AP19" si="11">B16/$B$18</f>
        <v>0.235294117647059</v>
      </c>
      <c r="C19" s="10">
        <f t="shared" si="11"/>
        <v>0.235294117647059</v>
      </c>
      <c r="D19" s="10">
        <f t="shared" si="11"/>
        <v>0.235294117647059</v>
      </c>
      <c r="E19" s="10">
        <f t="shared" si="11"/>
        <v>0.235294117647059</v>
      </c>
      <c r="F19" s="10">
        <f t="shared" si="11"/>
        <v>0.235294117647059</v>
      </c>
      <c r="G19" s="10">
        <f t="shared" si="11"/>
        <v>0.235294117647059</v>
      </c>
      <c r="H19" s="10">
        <f t="shared" si="11"/>
        <v>0.270588235294118</v>
      </c>
      <c r="I19" s="10">
        <f t="shared" si="11"/>
        <v>0.305882352941176</v>
      </c>
      <c r="J19" s="10">
        <f t="shared" si="11"/>
        <v>0.341176470588235</v>
      </c>
      <c r="K19" s="10">
        <f t="shared" si="11"/>
        <v>0.376470588235294</v>
      </c>
      <c r="L19" s="10">
        <f t="shared" si="11"/>
        <v>0.411764705882353</v>
      </c>
      <c r="M19" s="10">
        <f t="shared" si="11"/>
        <v>0.441176470588235</v>
      </c>
      <c r="N19" s="10">
        <f t="shared" si="11"/>
        <v>0.470588235294118</v>
      </c>
      <c r="O19" s="10">
        <f t="shared" si="11"/>
        <v>0.5</v>
      </c>
      <c r="P19" s="10">
        <f t="shared" si="11"/>
        <v>0.529411764705882</v>
      </c>
      <c r="Q19" s="10">
        <f t="shared" si="11"/>
        <v>0.558823529411765</v>
      </c>
      <c r="R19" s="10">
        <f t="shared" si="11"/>
        <v>0.588235294117647</v>
      </c>
      <c r="S19" s="10">
        <f t="shared" si="11"/>
        <v>0.617647058823529</v>
      </c>
      <c r="T19" s="10">
        <f t="shared" si="11"/>
        <v>0.647058823529412</v>
      </c>
      <c r="U19" s="10">
        <f t="shared" si="11"/>
        <v>0.676470588235294</v>
      </c>
      <c r="V19" s="10">
        <f t="shared" si="11"/>
        <v>0.705882352941177</v>
      </c>
      <c r="W19" s="10">
        <f t="shared" si="11"/>
        <v>0.735294117647059</v>
      </c>
      <c r="X19" s="10">
        <f t="shared" si="11"/>
        <v>0.764705882352941</v>
      </c>
      <c r="Y19" s="10">
        <f t="shared" si="11"/>
        <v>0.794117647058823</v>
      </c>
      <c r="Z19" s="10">
        <f t="shared" si="11"/>
        <v>0.823529411764706</v>
      </c>
      <c r="AA19" s="10">
        <f t="shared" si="11"/>
        <v>0.852941176470588</v>
      </c>
      <c r="AB19" s="10">
        <f t="shared" si="11"/>
        <v>0.88235294117647</v>
      </c>
      <c r="AC19" s="10">
        <f t="shared" si="11"/>
        <v>0.911764705882353</v>
      </c>
      <c r="AD19" s="10">
        <f t="shared" si="11"/>
        <v>0.941176470588235</v>
      </c>
      <c r="AE19" s="10">
        <f t="shared" si="11"/>
        <v>0.970588235294118</v>
      </c>
      <c r="AF19" s="10">
        <f t="shared" si="11"/>
        <v>1</v>
      </c>
      <c r="AG19" s="10">
        <f t="shared" si="11"/>
        <v>1</v>
      </c>
      <c r="AH19" s="10">
        <f t="shared" si="11"/>
        <v>1</v>
      </c>
      <c r="AI19" s="10">
        <f t="shared" si="11"/>
        <v>1</v>
      </c>
      <c r="AJ19" s="10">
        <f t="shared" si="11"/>
        <v>1</v>
      </c>
      <c r="AK19" s="10">
        <f t="shared" si="11"/>
        <v>1</v>
      </c>
      <c r="AL19" s="10">
        <f t="shared" si="11"/>
        <v>1</v>
      </c>
      <c r="AM19" s="10">
        <f t="shared" si="11"/>
        <v>1</v>
      </c>
      <c r="AN19" s="10">
        <f t="shared" si="11"/>
        <v>1</v>
      </c>
      <c r="AO19" s="10">
        <f t="shared" si="11"/>
        <v>1</v>
      </c>
      <c r="AP19" s="10">
        <f t="shared" si="11"/>
        <v>1</v>
      </c>
    </row>
    <row r="20" hidden="1"/>
    <row r="21" hidden="1"/>
    <row r="22" hidden="1" spans="1:42">
      <c r="A22" t="s">
        <v>108</v>
      </c>
      <c r="B22">
        <f>B3*B7</f>
        <v>0</v>
      </c>
      <c r="C22">
        <f t="shared" ref="C22:AP22" si="12">C3*C7</f>
        <v>714.972</v>
      </c>
      <c r="D22">
        <f t="shared" si="12"/>
        <v>1547.568</v>
      </c>
      <c r="E22">
        <f t="shared" si="12"/>
        <v>2412</v>
      </c>
      <c r="F22">
        <f t="shared" si="12"/>
        <v>3480</v>
      </c>
      <c r="G22">
        <f t="shared" si="12"/>
        <v>4890</v>
      </c>
      <c r="H22">
        <f t="shared" si="12"/>
        <v>5046</v>
      </c>
      <c r="I22">
        <f t="shared" si="12"/>
        <v>5202</v>
      </c>
      <c r="J22">
        <f t="shared" si="12"/>
        <v>5358</v>
      </c>
      <c r="K22">
        <f t="shared" si="12"/>
        <v>5514</v>
      </c>
      <c r="L22">
        <f t="shared" si="12"/>
        <v>5670</v>
      </c>
      <c r="M22">
        <f t="shared" si="12"/>
        <v>5760.99999999999</v>
      </c>
      <c r="N22">
        <f t="shared" si="12"/>
        <v>5852.00000000001</v>
      </c>
      <c r="O22">
        <f t="shared" si="12"/>
        <v>5943</v>
      </c>
      <c r="P22">
        <f t="shared" si="12"/>
        <v>6033.99999999999</v>
      </c>
      <c r="Q22">
        <f t="shared" si="12"/>
        <v>6125.00000000001</v>
      </c>
      <c r="R22">
        <f t="shared" si="12"/>
        <v>6216</v>
      </c>
      <c r="S22">
        <f t="shared" si="12"/>
        <v>6306.99999999999</v>
      </c>
      <c r="T22">
        <f t="shared" si="12"/>
        <v>6398.00000000001</v>
      </c>
      <c r="U22">
        <f t="shared" si="12"/>
        <v>6489</v>
      </c>
      <c r="V22">
        <f t="shared" si="12"/>
        <v>6579.99999999999</v>
      </c>
      <c r="W22">
        <f t="shared" si="12"/>
        <v>6671.00000000001</v>
      </c>
      <c r="X22">
        <f t="shared" si="12"/>
        <v>6762</v>
      </c>
      <c r="Y22">
        <f t="shared" si="12"/>
        <v>6852.99999999999</v>
      </c>
      <c r="Z22">
        <f t="shared" si="12"/>
        <v>6944.00000000001</v>
      </c>
      <c r="AA22">
        <f t="shared" si="12"/>
        <v>7035</v>
      </c>
      <c r="AB22">
        <f t="shared" si="12"/>
        <v>7125.99999999999</v>
      </c>
      <c r="AC22">
        <f t="shared" si="12"/>
        <v>7217.00000000001</v>
      </c>
      <c r="AD22">
        <f t="shared" si="12"/>
        <v>7308</v>
      </c>
      <c r="AE22">
        <f t="shared" si="12"/>
        <v>7398.99999999999</v>
      </c>
      <c r="AF22">
        <f t="shared" si="12"/>
        <v>7490.00000000001</v>
      </c>
      <c r="AG22">
        <f t="shared" si="12"/>
        <v>7581</v>
      </c>
      <c r="AH22">
        <f t="shared" si="12"/>
        <v>7671.99999999999</v>
      </c>
      <c r="AI22">
        <f t="shared" si="12"/>
        <v>7763.00000000001</v>
      </c>
      <c r="AJ22">
        <f t="shared" si="12"/>
        <v>7854</v>
      </c>
      <c r="AK22">
        <f t="shared" si="12"/>
        <v>7944.99999999999</v>
      </c>
      <c r="AL22">
        <f t="shared" si="12"/>
        <v>8036.00000000001</v>
      </c>
      <c r="AM22">
        <f t="shared" si="12"/>
        <v>8127</v>
      </c>
      <c r="AN22">
        <f t="shared" si="12"/>
        <v>8217.99999999999</v>
      </c>
      <c r="AO22">
        <f t="shared" si="12"/>
        <v>8309.00000000001</v>
      </c>
      <c r="AP22">
        <f t="shared" si="12"/>
        <v>8400</v>
      </c>
    </row>
    <row r="23" hidden="1" spans="1:42">
      <c r="A23" t="s">
        <v>109</v>
      </c>
      <c r="B23">
        <f>B3*B9</f>
        <v>4419.08</v>
      </c>
      <c r="C23">
        <f t="shared" ref="C23:AP23" si="13">C3*C9</f>
        <v>4766.48</v>
      </c>
      <c r="D23">
        <f t="shared" si="13"/>
        <v>5158.56</v>
      </c>
      <c r="E23">
        <f t="shared" si="13"/>
        <v>5360</v>
      </c>
      <c r="F23">
        <f t="shared" si="13"/>
        <v>5800</v>
      </c>
      <c r="G23">
        <f t="shared" si="13"/>
        <v>6520</v>
      </c>
      <c r="H23">
        <f t="shared" si="13"/>
        <v>7737.2</v>
      </c>
      <c r="I23">
        <f t="shared" si="13"/>
        <v>9016.8</v>
      </c>
      <c r="J23">
        <f t="shared" si="13"/>
        <v>10358.8</v>
      </c>
      <c r="K23">
        <f t="shared" si="13"/>
        <v>11763.2</v>
      </c>
      <c r="L23">
        <f t="shared" si="13"/>
        <v>13230</v>
      </c>
      <c r="M23">
        <f t="shared" si="13"/>
        <v>14402.5</v>
      </c>
      <c r="N23">
        <f t="shared" si="13"/>
        <v>15605.3333333334</v>
      </c>
      <c r="O23">
        <f t="shared" si="13"/>
        <v>16838.5</v>
      </c>
      <c r="P23">
        <f t="shared" si="13"/>
        <v>18102</v>
      </c>
      <c r="Q23">
        <f t="shared" si="13"/>
        <v>19395.8333333334</v>
      </c>
      <c r="R23">
        <f t="shared" si="13"/>
        <v>20720</v>
      </c>
      <c r="S23">
        <f t="shared" si="13"/>
        <v>22074.5</v>
      </c>
      <c r="T23">
        <f t="shared" si="13"/>
        <v>23459.3333333334</v>
      </c>
      <c r="U23">
        <f t="shared" si="13"/>
        <v>24874.5</v>
      </c>
      <c r="V23">
        <f t="shared" si="13"/>
        <v>26320</v>
      </c>
      <c r="W23">
        <f t="shared" si="13"/>
        <v>27795.8333333334</v>
      </c>
      <c r="X23">
        <f t="shared" si="13"/>
        <v>29302</v>
      </c>
      <c r="Y23">
        <f t="shared" si="13"/>
        <v>30838.5</v>
      </c>
      <c r="Z23">
        <f t="shared" si="13"/>
        <v>32405.3333333334</v>
      </c>
      <c r="AA23">
        <f t="shared" si="13"/>
        <v>34002.5</v>
      </c>
      <c r="AB23">
        <f t="shared" si="13"/>
        <v>35629.9999999999</v>
      </c>
      <c r="AC23">
        <f t="shared" si="13"/>
        <v>37287.8333333334</v>
      </c>
      <c r="AD23">
        <f t="shared" si="13"/>
        <v>38976</v>
      </c>
      <c r="AE23">
        <f t="shared" si="13"/>
        <v>40694.4999999999</v>
      </c>
      <c r="AF23">
        <f t="shared" si="13"/>
        <v>42443.3333333334</v>
      </c>
      <c r="AG23">
        <f t="shared" si="13"/>
        <v>42959</v>
      </c>
      <c r="AH23">
        <f t="shared" si="13"/>
        <v>43474.6666666666</v>
      </c>
      <c r="AI23">
        <f t="shared" si="13"/>
        <v>43990.3333333334</v>
      </c>
      <c r="AJ23">
        <f t="shared" si="13"/>
        <v>44506</v>
      </c>
      <c r="AK23">
        <f t="shared" si="13"/>
        <v>45021.6666666666</v>
      </c>
      <c r="AL23">
        <f t="shared" si="13"/>
        <v>45537.3333333334</v>
      </c>
      <c r="AM23">
        <f t="shared" si="13"/>
        <v>46053</v>
      </c>
      <c r="AN23">
        <f t="shared" si="13"/>
        <v>46568.6666666666</v>
      </c>
      <c r="AO23">
        <f t="shared" si="13"/>
        <v>47084.3333333334</v>
      </c>
      <c r="AP23">
        <f t="shared" si="13"/>
        <v>47600</v>
      </c>
    </row>
    <row r="24" hidden="1"/>
    <row r="25" hidden="1" spans="1:42">
      <c r="A25" t="s">
        <v>107</v>
      </c>
      <c r="B25">
        <f>B19</f>
        <v>0.235294117647059</v>
      </c>
      <c r="C25">
        <f t="shared" ref="C25:AP25" si="14">C19</f>
        <v>0.235294117647059</v>
      </c>
      <c r="D25">
        <f t="shared" si="14"/>
        <v>0.235294117647059</v>
      </c>
      <c r="E25">
        <f t="shared" si="14"/>
        <v>0.235294117647059</v>
      </c>
      <c r="F25">
        <f t="shared" si="14"/>
        <v>0.235294117647059</v>
      </c>
      <c r="G25">
        <f t="shared" si="14"/>
        <v>0.235294117647059</v>
      </c>
      <c r="H25">
        <f t="shared" si="14"/>
        <v>0.270588235294118</v>
      </c>
      <c r="I25">
        <f t="shared" si="14"/>
        <v>0.305882352941176</v>
      </c>
      <c r="J25">
        <f t="shared" si="14"/>
        <v>0.341176470588235</v>
      </c>
      <c r="K25">
        <f t="shared" si="14"/>
        <v>0.376470588235294</v>
      </c>
      <c r="L25">
        <f t="shared" si="14"/>
        <v>0.411764705882353</v>
      </c>
      <c r="M25">
        <f t="shared" si="14"/>
        <v>0.441176470588235</v>
      </c>
      <c r="N25">
        <f t="shared" si="14"/>
        <v>0.470588235294118</v>
      </c>
      <c r="O25">
        <f t="shared" si="14"/>
        <v>0.5</v>
      </c>
      <c r="P25">
        <f t="shared" si="14"/>
        <v>0.529411764705882</v>
      </c>
      <c r="Q25">
        <f t="shared" si="14"/>
        <v>0.558823529411765</v>
      </c>
      <c r="R25">
        <f t="shared" si="14"/>
        <v>0.588235294117647</v>
      </c>
      <c r="S25">
        <f t="shared" si="14"/>
        <v>0.617647058823529</v>
      </c>
      <c r="T25">
        <f t="shared" si="14"/>
        <v>0.647058823529412</v>
      </c>
      <c r="U25">
        <f t="shared" si="14"/>
        <v>0.676470588235294</v>
      </c>
      <c r="V25">
        <f t="shared" si="14"/>
        <v>0.705882352941177</v>
      </c>
      <c r="W25">
        <f t="shared" si="14"/>
        <v>0.735294117647059</v>
      </c>
      <c r="X25">
        <f t="shared" si="14"/>
        <v>0.764705882352941</v>
      </c>
      <c r="Y25">
        <f t="shared" si="14"/>
        <v>0.794117647058823</v>
      </c>
      <c r="Z25">
        <f t="shared" si="14"/>
        <v>0.823529411764706</v>
      </c>
      <c r="AA25">
        <f t="shared" si="14"/>
        <v>0.852941176470588</v>
      </c>
      <c r="AB25">
        <f t="shared" si="14"/>
        <v>0.88235294117647</v>
      </c>
      <c r="AC25">
        <f t="shared" si="14"/>
        <v>0.911764705882353</v>
      </c>
      <c r="AD25">
        <f t="shared" si="14"/>
        <v>0.941176470588235</v>
      </c>
      <c r="AE25">
        <f t="shared" si="14"/>
        <v>0.970588235294118</v>
      </c>
      <c r="AF25">
        <f t="shared" si="14"/>
        <v>1</v>
      </c>
      <c r="AG25">
        <f t="shared" si="14"/>
        <v>1</v>
      </c>
      <c r="AH25">
        <f t="shared" si="14"/>
        <v>1</v>
      </c>
      <c r="AI25">
        <f t="shared" si="14"/>
        <v>1</v>
      </c>
      <c r="AJ25">
        <f t="shared" si="14"/>
        <v>1</v>
      </c>
      <c r="AK25">
        <f t="shared" si="14"/>
        <v>1</v>
      </c>
      <c r="AL25">
        <f t="shared" si="14"/>
        <v>1</v>
      </c>
      <c r="AM25">
        <f t="shared" si="14"/>
        <v>1</v>
      </c>
      <c r="AN25">
        <f t="shared" si="14"/>
        <v>1</v>
      </c>
      <c r="AO25">
        <f t="shared" si="14"/>
        <v>1</v>
      </c>
      <c r="AP25">
        <f t="shared" si="14"/>
        <v>1</v>
      </c>
    </row>
    <row r="26" hidden="1" spans="1:42">
      <c r="A26" t="s">
        <v>110</v>
      </c>
      <c r="B26" s="8">
        <v>1</v>
      </c>
    </row>
    <row r="27" hidden="1"/>
    <row r="28" hidden="1" spans="1:42">
      <c r="B28">
        <f>$B26*B25*B23</f>
        <v>1039.78352941176</v>
      </c>
      <c r="C28">
        <f t="shared" ref="C28:AP28" si="15">$B26*C25*C23</f>
        <v>1121.52470588235</v>
      </c>
      <c r="D28">
        <f t="shared" si="15"/>
        <v>1213.77882352941</v>
      </c>
      <c r="E28">
        <f t="shared" si="15"/>
        <v>1261.17647058824</v>
      </c>
      <c r="F28">
        <f t="shared" si="15"/>
        <v>1364.70588235294</v>
      </c>
      <c r="G28">
        <f t="shared" si="15"/>
        <v>1534.11764705882</v>
      </c>
      <c r="H28">
        <f t="shared" si="15"/>
        <v>2093.59529411765</v>
      </c>
      <c r="I28">
        <f t="shared" si="15"/>
        <v>2758.08</v>
      </c>
      <c r="J28">
        <f t="shared" si="15"/>
        <v>3534.17882352941</v>
      </c>
      <c r="K28">
        <f t="shared" si="15"/>
        <v>4428.49882352941</v>
      </c>
      <c r="L28">
        <f t="shared" si="15"/>
        <v>5447.64705882353</v>
      </c>
      <c r="M28">
        <f t="shared" si="15"/>
        <v>6354.04411764705</v>
      </c>
      <c r="N28">
        <f t="shared" si="15"/>
        <v>7343.68627450982</v>
      </c>
      <c r="O28">
        <f t="shared" si="15"/>
        <v>8419.25</v>
      </c>
      <c r="P28">
        <f t="shared" si="15"/>
        <v>9583.41176470587</v>
      </c>
      <c r="Q28">
        <f t="shared" si="15"/>
        <v>10838.8480392157</v>
      </c>
      <c r="R28">
        <f t="shared" si="15"/>
        <v>12188.2352941176</v>
      </c>
      <c r="S28">
        <f t="shared" si="15"/>
        <v>13634.25</v>
      </c>
      <c r="T28">
        <f t="shared" si="15"/>
        <v>15179.568627451</v>
      </c>
      <c r="U28">
        <f t="shared" si="15"/>
        <v>16826.8676470588</v>
      </c>
      <c r="V28">
        <f t="shared" si="15"/>
        <v>18578.8235294117</v>
      </c>
      <c r="W28">
        <f t="shared" si="15"/>
        <v>20438.1127450981</v>
      </c>
      <c r="X28">
        <f t="shared" si="15"/>
        <v>22407.4117647059</v>
      </c>
      <c r="Y28">
        <f t="shared" si="15"/>
        <v>24489.3970588235</v>
      </c>
      <c r="Z28">
        <f t="shared" si="15"/>
        <v>26686.7450980393</v>
      </c>
      <c r="AA28">
        <f t="shared" si="15"/>
        <v>29002.1323529412</v>
      </c>
      <c r="AB28">
        <f t="shared" si="15"/>
        <v>31438.2352941176</v>
      </c>
      <c r="AC28">
        <f t="shared" si="15"/>
        <v>33997.7303921569</v>
      </c>
      <c r="AD28">
        <f t="shared" si="15"/>
        <v>36683.2941176471</v>
      </c>
      <c r="AE28">
        <f t="shared" si="15"/>
        <v>39497.6029411764</v>
      </c>
      <c r="AF28">
        <f t="shared" si="15"/>
        <v>42443.3333333334</v>
      </c>
      <c r="AG28">
        <f t="shared" si="15"/>
        <v>42959</v>
      </c>
      <c r="AH28">
        <f t="shared" si="15"/>
        <v>43474.6666666666</v>
      </c>
      <c r="AI28">
        <f t="shared" si="15"/>
        <v>43990.3333333334</v>
      </c>
      <c r="AJ28">
        <f t="shared" si="15"/>
        <v>44506</v>
      </c>
      <c r="AK28">
        <f t="shared" si="15"/>
        <v>45021.6666666666</v>
      </c>
      <c r="AL28">
        <f t="shared" si="15"/>
        <v>45537.3333333334</v>
      </c>
      <c r="AM28">
        <f t="shared" si="15"/>
        <v>46053</v>
      </c>
      <c r="AN28">
        <f t="shared" si="15"/>
        <v>46568.6666666666</v>
      </c>
      <c r="AO28">
        <f t="shared" si="15"/>
        <v>47084.3333333334</v>
      </c>
      <c r="AP28">
        <f t="shared" si="15"/>
        <v>47600</v>
      </c>
    </row>
    <row r="29" hidden="1"/>
    <row r="30" hidden="1" spans="1:42">
      <c r="B30">
        <f t="shared" ref="B30:AP30" si="16">B28+B22</f>
        <v>1039.78352941176</v>
      </c>
      <c r="C30">
        <f t="shared" si="16"/>
        <v>1836.49670588235</v>
      </c>
      <c r="D30">
        <f t="shared" si="16"/>
        <v>2761.34682352941</v>
      </c>
      <c r="E30">
        <f t="shared" si="16"/>
        <v>3673.17647058824</v>
      </c>
      <c r="F30">
        <f t="shared" si="16"/>
        <v>4844.70588235294</v>
      </c>
      <c r="G30">
        <f t="shared" si="16"/>
        <v>6424.11764705882</v>
      </c>
      <c r="H30">
        <f t="shared" si="16"/>
        <v>7139.59529411765</v>
      </c>
      <c r="I30">
        <f t="shared" si="16"/>
        <v>7960.08</v>
      </c>
      <c r="J30">
        <f t="shared" si="16"/>
        <v>8892.17882352941</v>
      </c>
      <c r="K30">
        <f t="shared" si="16"/>
        <v>9942.49882352941</v>
      </c>
      <c r="L30">
        <f t="shared" si="16"/>
        <v>11117.6470588235</v>
      </c>
      <c r="M30">
        <f t="shared" si="16"/>
        <v>12115.044117647</v>
      </c>
      <c r="N30">
        <f t="shared" si="16"/>
        <v>13195.6862745098</v>
      </c>
      <c r="O30">
        <f t="shared" si="16"/>
        <v>14362.25</v>
      </c>
      <c r="P30">
        <f t="shared" si="16"/>
        <v>15617.4117647059</v>
      </c>
      <c r="Q30">
        <f t="shared" si="16"/>
        <v>16963.8480392157</v>
      </c>
      <c r="R30">
        <f t="shared" si="16"/>
        <v>18404.2352941176</v>
      </c>
      <c r="S30">
        <f t="shared" si="16"/>
        <v>19941.25</v>
      </c>
      <c r="T30">
        <f t="shared" si="16"/>
        <v>21577.568627451</v>
      </c>
      <c r="U30">
        <f t="shared" si="16"/>
        <v>23315.8676470588</v>
      </c>
      <c r="V30">
        <f t="shared" si="16"/>
        <v>25158.8235294117</v>
      </c>
      <c r="W30">
        <f t="shared" si="16"/>
        <v>27109.1127450981</v>
      </c>
      <c r="X30">
        <f t="shared" si="16"/>
        <v>29169.4117647059</v>
      </c>
      <c r="Y30">
        <f t="shared" si="16"/>
        <v>31342.3970588235</v>
      </c>
      <c r="Z30">
        <f t="shared" si="16"/>
        <v>33630.7450980393</v>
      </c>
      <c r="AA30">
        <f t="shared" si="16"/>
        <v>36037.1323529412</v>
      </c>
      <c r="AB30">
        <f t="shared" si="16"/>
        <v>38564.2352941176</v>
      </c>
      <c r="AC30">
        <f t="shared" si="16"/>
        <v>41214.7303921569</v>
      </c>
      <c r="AD30">
        <f t="shared" si="16"/>
        <v>43991.2941176471</v>
      </c>
      <c r="AE30">
        <f t="shared" si="16"/>
        <v>46896.6029411764</v>
      </c>
      <c r="AF30">
        <f t="shared" si="16"/>
        <v>49933.3333333334</v>
      </c>
      <c r="AG30">
        <f t="shared" si="16"/>
        <v>50540</v>
      </c>
      <c r="AH30">
        <f t="shared" si="16"/>
        <v>51146.6666666666</v>
      </c>
      <c r="AI30">
        <f t="shared" si="16"/>
        <v>51753.3333333334</v>
      </c>
      <c r="AJ30">
        <f t="shared" si="16"/>
        <v>52360</v>
      </c>
      <c r="AK30">
        <f t="shared" si="16"/>
        <v>52966.6666666666</v>
      </c>
      <c r="AL30">
        <f t="shared" si="16"/>
        <v>53573.3333333334</v>
      </c>
      <c r="AM30">
        <f t="shared" si="16"/>
        <v>54180</v>
      </c>
      <c r="AN30">
        <f t="shared" si="16"/>
        <v>54786.6666666666</v>
      </c>
      <c r="AO30">
        <f t="shared" si="16"/>
        <v>55393.3333333334</v>
      </c>
      <c r="AP30">
        <f t="shared" si="16"/>
        <v>56000</v>
      </c>
    </row>
    <row r="31" hidden="1" spans="1:42">
      <c r="B31">
        <f t="shared" ref="B31:AP31" si="17">B30/B3</f>
        <v>0.00941176470588235</v>
      </c>
      <c r="C31">
        <f t="shared" si="17"/>
        <v>0.0154117647058824</v>
      </c>
      <c r="D31">
        <f t="shared" si="17"/>
        <v>0.0214117647058824</v>
      </c>
      <c r="E31">
        <f t="shared" si="17"/>
        <v>0.0274117647058824</v>
      </c>
      <c r="F31">
        <f t="shared" si="17"/>
        <v>0.0334117647058824</v>
      </c>
      <c r="G31">
        <f t="shared" si="17"/>
        <v>0.0394117647058824</v>
      </c>
      <c r="H31">
        <f t="shared" si="17"/>
        <v>0.0424470588235294</v>
      </c>
      <c r="I31">
        <f t="shared" si="17"/>
        <v>0.0459058823529412</v>
      </c>
      <c r="J31">
        <f t="shared" si="17"/>
        <v>0.0497882352941176</v>
      </c>
      <c r="K31">
        <f t="shared" si="17"/>
        <v>0.0540941176470588</v>
      </c>
      <c r="L31">
        <f t="shared" si="17"/>
        <v>0.0588235294117647</v>
      </c>
      <c r="M31">
        <f t="shared" si="17"/>
        <v>0.0630882352941177</v>
      </c>
      <c r="N31">
        <f t="shared" si="17"/>
        <v>0.0676470588235294</v>
      </c>
      <c r="O31">
        <f t="shared" si="17"/>
        <v>0.0725</v>
      </c>
      <c r="P31">
        <f t="shared" si="17"/>
        <v>0.0776470588235294</v>
      </c>
      <c r="Q31">
        <f t="shared" si="17"/>
        <v>0.0830882352941176</v>
      </c>
      <c r="R31">
        <f t="shared" si="17"/>
        <v>0.0888235294117647</v>
      </c>
      <c r="S31">
        <f t="shared" si="17"/>
        <v>0.0948529411764706</v>
      </c>
      <c r="T31">
        <f t="shared" si="17"/>
        <v>0.101176470588235</v>
      </c>
      <c r="U31">
        <f t="shared" si="17"/>
        <v>0.107794117647059</v>
      </c>
      <c r="V31">
        <f t="shared" si="17"/>
        <v>0.114705882352941</v>
      </c>
      <c r="W31">
        <f t="shared" si="17"/>
        <v>0.121911764705882</v>
      </c>
      <c r="X31">
        <f t="shared" si="17"/>
        <v>0.129411764705882</v>
      </c>
      <c r="Y31">
        <f t="shared" si="17"/>
        <v>0.137205882352941</v>
      </c>
      <c r="Z31">
        <f t="shared" si="17"/>
        <v>0.145294117647059</v>
      </c>
      <c r="AA31">
        <f t="shared" si="17"/>
        <v>0.153676470588235</v>
      </c>
      <c r="AB31">
        <f t="shared" si="17"/>
        <v>0.162352941176471</v>
      </c>
      <c r="AC31">
        <f t="shared" si="17"/>
        <v>0.171323529411765</v>
      </c>
      <c r="AD31">
        <f t="shared" si="17"/>
        <v>0.180588235294118</v>
      </c>
      <c r="AE31">
        <f t="shared" si="17"/>
        <v>0.190147058823529</v>
      </c>
      <c r="AF31">
        <f t="shared" si="17"/>
        <v>0.2</v>
      </c>
      <c r="AG31">
        <f t="shared" si="17"/>
        <v>0.2</v>
      </c>
      <c r="AH31">
        <f t="shared" si="17"/>
        <v>0.2</v>
      </c>
      <c r="AI31">
        <f t="shared" si="17"/>
        <v>0.2</v>
      </c>
      <c r="AJ31">
        <f t="shared" si="17"/>
        <v>0.2</v>
      </c>
      <c r="AK31">
        <f t="shared" si="17"/>
        <v>0.2</v>
      </c>
      <c r="AL31">
        <f t="shared" si="17"/>
        <v>0.2</v>
      </c>
      <c r="AM31">
        <f t="shared" si="17"/>
        <v>0.2</v>
      </c>
      <c r="AN31">
        <f t="shared" si="17"/>
        <v>0.2</v>
      </c>
      <c r="AO31">
        <f t="shared" si="17"/>
        <v>0.2</v>
      </c>
      <c r="AP31">
        <f t="shared" si="17"/>
        <v>0.2</v>
      </c>
    </row>
    <row r="32" hidden="1"/>
    <row r="33" spans="1:17">
      <c r="A33" t="s">
        <v>111</v>
      </c>
      <c r="B33">
        <f t="shared" ref="B33:G33" si="18">B7</f>
        <v>0</v>
      </c>
      <c r="C33">
        <f t="shared" si="18"/>
        <v>0.006</v>
      </c>
      <c r="D33">
        <f t="shared" si="18"/>
        <v>0.012</v>
      </c>
      <c r="E33">
        <f t="shared" si="18"/>
        <v>0.018</v>
      </c>
      <c r="F33">
        <f t="shared" si="18"/>
        <v>0.024</v>
      </c>
      <c r="G33">
        <f t="shared" si="18"/>
        <v>0.03</v>
      </c>
      <c r="H33">
        <f>G33+($L$33-$G$33)/($L$2-$G$2)</f>
        <v>0.034</v>
      </c>
      <c r="I33">
        <f>H33+($L$33-$G$33)/($L$2-$G$2)</f>
        <v>0.038</v>
      </c>
      <c r="J33">
        <f>I33+($L$33-$G$33)/($L$2-$G$2)</f>
        <v>0.042</v>
      </c>
      <c r="K33">
        <f>J33+($L$33-$G$33)/($L$2-$G$2)</f>
        <v>0.046</v>
      </c>
      <c r="L33">
        <v>0.05</v>
      </c>
      <c r="M33">
        <f>L33+($Q$33-$L$33)/($Q$2-$L$2)</f>
        <v>0.06</v>
      </c>
      <c r="N33">
        <f>M33+($Q$33-$L$33)/($Q$2-$L$2)</f>
        <v>0.07</v>
      </c>
      <c r="O33">
        <f>N33+($Q$33-$L$33)/($Q$2-$L$2)</f>
        <v>0.08</v>
      </c>
      <c r="P33">
        <f>O33+($Q$33-$L$33)/($Q$2-$L$2)</f>
        <v>0.09</v>
      </c>
      <c r="Q33">
        <v>0.1</v>
      </c>
    </row>
    <row r="34" spans="1:17">
      <c r="A34" t="s">
        <v>112</v>
      </c>
      <c r="B34">
        <f>B33*B4</f>
        <v>0</v>
      </c>
      <c r="C34">
        <f t="shared" ref="C34:Q34" si="19">C33*C4</f>
        <v>7149.72</v>
      </c>
      <c r="D34">
        <f t="shared" si="19"/>
        <v>15475.68</v>
      </c>
      <c r="E34">
        <f t="shared" si="19"/>
        <v>24120</v>
      </c>
      <c r="F34">
        <f t="shared" si="19"/>
        <v>34800</v>
      </c>
      <c r="G34">
        <f t="shared" si="19"/>
        <v>48900</v>
      </c>
      <c r="H34">
        <f t="shared" si="19"/>
        <v>57188</v>
      </c>
      <c r="I34">
        <f t="shared" si="19"/>
        <v>65892</v>
      </c>
      <c r="J34">
        <f t="shared" si="19"/>
        <v>75012</v>
      </c>
      <c r="K34">
        <f t="shared" si="19"/>
        <v>84548</v>
      </c>
      <c r="L34">
        <f t="shared" si="19"/>
        <v>94500</v>
      </c>
      <c r="M34">
        <f t="shared" si="19"/>
        <v>115220</v>
      </c>
      <c r="N34">
        <f t="shared" si="19"/>
        <v>136546.666666667</v>
      </c>
      <c r="O34">
        <f t="shared" si="19"/>
        <v>158480</v>
      </c>
      <c r="P34">
        <f t="shared" si="19"/>
        <v>181020</v>
      </c>
      <c r="Q34">
        <f t="shared" si="19"/>
        <v>204166.666666667</v>
      </c>
    </row>
    <row r="36" spans="1:17">
      <c r="A36" t="s">
        <v>113</v>
      </c>
      <c r="B36">
        <f>B34-'DRC-BDRC'!C2</f>
        <v>0</v>
      </c>
      <c r="C36">
        <f>C34-'DRC-BDRC'!D2</f>
        <v>0</v>
      </c>
      <c r="D36">
        <f>D34-'DRC-BDRC'!E2</f>
        <v>0</v>
      </c>
      <c r="E36">
        <f>E34-'DRC-BDRC'!F2</f>
        <v>0</v>
      </c>
      <c r="F36">
        <f>F34-'DRC-BDRC'!G2</f>
        <v>0</v>
      </c>
      <c r="G36">
        <f>G34-'DRC-BDRC'!H2</f>
        <v>0</v>
      </c>
      <c r="H36">
        <f>H34-'DRC-BDRC'!I2</f>
        <v>6728.00000000001</v>
      </c>
      <c r="I36">
        <f>I34-'DRC-BDRC'!J2</f>
        <v>13872</v>
      </c>
      <c r="J36">
        <f>J34-'DRC-BDRC'!K2</f>
        <v>21432</v>
      </c>
      <c r="K36">
        <f>K34-'DRC-BDRC'!L2</f>
        <v>29408</v>
      </c>
      <c r="L36">
        <f>L34-'DRC-BDRC'!M2</f>
        <v>37800</v>
      </c>
      <c r="M36">
        <f>M34-'DRC-BDRC'!N2</f>
        <v>57609.9999999999</v>
      </c>
      <c r="N36">
        <f>N34-'DRC-BDRC'!O2</f>
        <v>78026.6666666668</v>
      </c>
      <c r="O36">
        <f>O34-'DRC-BDRC'!P2</f>
        <v>99050</v>
      </c>
      <c r="P36">
        <f>P34-'DRC-BDRC'!Q2</f>
        <v>120680</v>
      </c>
      <c r="Q36">
        <f>Q34-'DRC-BDRC'!R2</f>
        <v>142916.666666667</v>
      </c>
    </row>
    <row r="38" spans="1:17">
      <c r="A38" t="s">
        <v>114</v>
      </c>
      <c r="B38">
        <f>B36/'DRC-PADRC'!C2</f>
        <v>0</v>
      </c>
      <c r="C38">
        <f>C36/'DRC-PADRC'!D2</f>
        <v>0</v>
      </c>
      <c r="D38">
        <f>D36/'DRC-PADRC'!E2</f>
        <v>0</v>
      </c>
      <c r="E38">
        <f>E36/'DRC-PADRC'!F2</f>
        <v>0</v>
      </c>
      <c r="F38">
        <f>F36/'DRC-PADRC'!G2</f>
        <v>0</v>
      </c>
      <c r="G38">
        <f>G36/'DRC-PADRC'!H2</f>
        <v>0</v>
      </c>
      <c r="H38">
        <f>H36/'DRC-PADRC'!I2</f>
        <v>0.0869565217391305</v>
      </c>
      <c r="I38">
        <f>I36/'DRC-PADRC'!J2</f>
        <v>0.153846153846154</v>
      </c>
      <c r="J38">
        <f>J36/'DRC-PADRC'!K2</f>
        <v>0.206896551724138</v>
      </c>
      <c r="K38">
        <f>K36/'DRC-PADRC'!L2</f>
        <v>0.25</v>
      </c>
      <c r="L38">
        <f>L36/'DRC-PADRC'!M2</f>
        <v>0.285714285714286</v>
      </c>
      <c r="M38">
        <f>M36/'DRC-PADRC'!N2</f>
        <v>0.4</v>
      </c>
      <c r="N38">
        <f>N36/'DRC-PADRC'!O2</f>
        <v>0.5</v>
      </c>
      <c r="O38">
        <f>O36/'DRC-PADRC'!P2</f>
        <v>0.588235294117647</v>
      </c>
      <c r="P38">
        <f>P36/'DRC-PADRC'!Q2</f>
        <v>0.666666666666667</v>
      </c>
      <c r="Q38">
        <f>Q36/'DRC-PADRC'!R2</f>
        <v>0.736842105263158</v>
      </c>
    </row>
    <row r="40" spans="1:17">
      <c r="A40" t="s">
        <v>107</v>
      </c>
      <c r="B40">
        <f>B38/MAX($B$38:$Q$38)</f>
        <v>0</v>
      </c>
      <c r="C40">
        <f t="shared" ref="C40:Q40" si="20">C38/MAX($B$38:$Q$38)</f>
        <v>0</v>
      </c>
      <c r="D40">
        <f t="shared" si="20"/>
        <v>0</v>
      </c>
      <c r="E40">
        <f t="shared" si="20"/>
        <v>0</v>
      </c>
      <c r="F40">
        <f t="shared" si="20"/>
        <v>0</v>
      </c>
      <c r="G40">
        <f t="shared" si="20"/>
        <v>0</v>
      </c>
      <c r="H40">
        <f t="shared" si="20"/>
        <v>0.118012422360249</v>
      </c>
      <c r="I40">
        <f t="shared" si="20"/>
        <v>0.208791208791209</v>
      </c>
      <c r="J40">
        <f t="shared" si="20"/>
        <v>0.280788177339902</v>
      </c>
      <c r="K40">
        <f t="shared" si="20"/>
        <v>0.339285714285715</v>
      </c>
      <c r="L40">
        <f t="shared" si="20"/>
        <v>0.387755102040816</v>
      </c>
      <c r="M40">
        <f t="shared" si="20"/>
        <v>0.542857142857143</v>
      </c>
      <c r="N40">
        <f t="shared" si="20"/>
        <v>0.678571428571429</v>
      </c>
      <c r="O40">
        <f t="shared" si="20"/>
        <v>0.798319327731092</v>
      </c>
      <c r="P40">
        <f t="shared" si="20"/>
        <v>0.904761904761904</v>
      </c>
      <c r="Q40">
        <f t="shared" si="20"/>
        <v>1</v>
      </c>
    </row>
    <row r="42" spans="1:17">
      <c r="A42" t="s">
        <v>115</v>
      </c>
      <c r="B42">
        <f>MAX($B$38:$Q$38)</f>
        <v>0.736842105263158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AQ2"/>
  <sheetViews>
    <sheetView workbookViewId="0">
      <selection activeCell="H2" sqref="H2"/>
    </sheetView>
  </sheetViews>
  <sheetFormatPr defaultColWidth="9" defaultRowHeight="13.5" outlineLevelRow="1"/>
  <cols>
    <col min="1" max="1" width="19.2212389380531" customWidth="1"/>
  </cols>
  <sheetData>
    <row r="1" spans="1:43">
      <c r="A1" s="1" t="s">
        <v>27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>
      <c r="A2" s="1" t="s">
        <v>116</v>
      </c>
      <c r="B2" s="3">
        <v>0</v>
      </c>
      <c r="C2" s="3">
        <f>Calculations!B4*Calculations!B7</f>
        <v>0</v>
      </c>
      <c r="D2" s="3">
        <f>Calculations!C4*Calculations!C7</f>
        <v>7149.72</v>
      </c>
      <c r="E2" s="3">
        <f>Calculations!D4*Calculations!D7</f>
        <v>15475.68</v>
      </c>
      <c r="F2" s="3">
        <f>Calculations!E4*Calculations!E7</f>
        <v>24120</v>
      </c>
      <c r="G2" s="3">
        <f>Calculations!F4*Calculations!F7</f>
        <v>34800</v>
      </c>
      <c r="H2" s="3">
        <f>Calculations!G4*Calculations!G7</f>
        <v>48900</v>
      </c>
      <c r="I2" s="3">
        <f>Calculations!H4*Calculations!H7</f>
        <v>50460</v>
      </c>
      <c r="J2" s="3">
        <f>Calculations!I4*Calculations!I7</f>
        <v>52020</v>
      </c>
      <c r="K2" s="3">
        <f>Calculations!J4*Calculations!J7</f>
        <v>53580</v>
      </c>
      <c r="L2" s="3">
        <f>Calculations!K4*Calculations!K7</f>
        <v>55140</v>
      </c>
      <c r="M2" s="3">
        <f>Calculations!L4*Calculations!L7</f>
        <v>56700</v>
      </c>
      <c r="N2" s="3">
        <f>Calculations!M4*Calculations!M7</f>
        <v>57609.9999999999</v>
      </c>
      <c r="O2" s="3">
        <f>Calculations!N4*Calculations!N7</f>
        <v>58520.0000000001</v>
      </c>
      <c r="P2" s="3">
        <f>Calculations!O4*Calculations!O7</f>
        <v>59430</v>
      </c>
      <c r="Q2" s="3">
        <f>Calculations!P4*Calculations!P7</f>
        <v>60339.9999999999</v>
      </c>
      <c r="R2" s="3">
        <f>Calculations!Q4*Calculations!Q7</f>
        <v>61250.0000000001</v>
      </c>
      <c r="S2" s="3">
        <f>Calculations!R4*Calculations!R7</f>
        <v>62160</v>
      </c>
      <c r="T2" s="3">
        <f>Calculations!S4*Calculations!S7</f>
        <v>63069.9999999999</v>
      </c>
      <c r="U2" s="3">
        <f>Calculations!T4*Calculations!T7</f>
        <v>63980.0000000001</v>
      </c>
      <c r="V2" s="3">
        <f>Calculations!U4*Calculations!U7</f>
        <v>64890</v>
      </c>
      <c r="W2" s="3">
        <f>Calculations!V4*Calculations!V7</f>
        <v>65799.9999999999</v>
      </c>
      <c r="X2" s="3">
        <f>Calculations!W4*Calculations!W7</f>
        <v>66710.0000000001</v>
      </c>
      <c r="Y2" s="3">
        <f>Calculations!X4*Calculations!X7</f>
        <v>67620</v>
      </c>
      <c r="Z2" s="3">
        <f>Calculations!Y4*Calculations!Y7</f>
        <v>68529.9999999999</v>
      </c>
      <c r="AA2" s="3">
        <f>Calculations!Z4*Calculations!Z7</f>
        <v>69440.0000000001</v>
      </c>
      <c r="AB2" s="3">
        <f>Calculations!AA4*Calculations!AA7</f>
        <v>70350</v>
      </c>
      <c r="AC2" s="3">
        <f>Calculations!AB4*Calculations!AB7</f>
        <v>71259.9999999999</v>
      </c>
      <c r="AD2" s="3">
        <f>Calculations!AC4*Calculations!AC7</f>
        <v>72170.0000000001</v>
      </c>
      <c r="AE2" s="3">
        <f>Calculations!AD4*Calculations!AD7</f>
        <v>73080</v>
      </c>
      <c r="AF2" s="3">
        <f>Calculations!AE4*Calculations!AE7</f>
        <v>73989.9999999999</v>
      </c>
      <c r="AG2" s="3">
        <f>Calculations!AF4*Calculations!AF7</f>
        <v>74900.0000000001</v>
      </c>
      <c r="AH2" s="3">
        <f>Calculations!AG4*Calculations!AG7</f>
        <v>75810</v>
      </c>
      <c r="AI2" s="3">
        <f>Calculations!AH4*Calculations!AH7</f>
        <v>76719.9999999999</v>
      </c>
      <c r="AJ2" s="3">
        <f>Calculations!AI4*Calculations!AI7</f>
        <v>77630.0000000001</v>
      </c>
      <c r="AK2" s="3">
        <f>Calculations!AJ4*Calculations!AJ7</f>
        <v>78540</v>
      </c>
      <c r="AL2" s="3">
        <f>Calculations!AK4*Calculations!AK7</f>
        <v>79449.9999999999</v>
      </c>
      <c r="AM2" s="3">
        <f>Calculations!AL4*Calculations!AL7</f>
        <v>80360.0000000001</v>
      </c>
      <c r="AN2" s="3">
        <f>Calculations!AM4*Calculations!AM7</f>
        <v>81270</v>
      </c>
      <c r="AO2" s="3">
        <f>Calculations!AN4*Calculations!AN7</f>
        <v>82179.9999999999</v>
      </c>
      <c r="AP2" s="3">
        <f>Calculations!AO4*Calculations!AO7</f>
        <v>83090.0000000001</v>
      </c>
      <c r="AQ2" s="3">
        <f>Calculations!AP4*Calculations!AP7</f>
        <v>84000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AQ3"/>
  <sheetViews>
    <sheetView workbookViewId="0">
      <selection activeCell="AO12" sqref="AO12"/>
    </sheetView>
  </sheetViews>
  <sheetFormatPr defaultColWidth="9" defaultRowHeight="13.5" outlineLevelRow="2"/>
  <cols>
    <col min="1" max="1" width="21" customWidth="1"/>
  </cols>
  <sheetData>
    <row r="1" spans="1:43">
      <c r="A1" s="1" t="s">
        <v>27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ht="40.5" spans="1:43">
      <c r="A2" s="2" t="s">
        <v>117</v>
      </c>
      <c r="B2" s="3">
        <v>0</v>
      </c>
      <c r="C2" s="3">
        <f>Calculations!B4*Calculations!B9</f>
        <v>44190.8</v>
      </c>
      <c r="D2" s="3">
        <f>Calculations!C4*Calculations!C9</f>
        <v>47664.8</v>
      </c>
      <c r="E2" s="3">
        <f>Calculations!D4*Calculations!D9</f>
        <v>51585.6</v>
      </c>
      <c r="F2" s="3">
        <f>Calculations!E4*Calculations!E9</f>
        <v>53600</v>
      </c>
      <c r="G2" s="3">
        <f>Calculations!F4*Calculations!F9</f>
        <v>58000</v>
      </c>
      <c r="H2" s="3">
        <f>Calculations!G4*Calculations!G9</f>
        <v>65200</v>
      </c>
      <c r="I2" s="3">
        <f>Calculations!H4*Calculations!H9</f>
        <v>77372</v>
      </c>
      <c r="J2" s="3">
        <f>Calculations!I4*Calculations!I9</f>
        <v>90168</v>
      </c>
      <c r="K2" s="3">
        <f>Calculations!J4*Calculations!J9</f>
        <v>103588</v>
      </c>
      <c r="L2" s="3">
        <f>Calculations!K4*Calculations!K9</f>
        <v>117632</v>
      </c>
      <c r="M2" s="3">
        <f>Calculations!L4*Calculations!L9</f>
        <v>132300</v>
      </c>
      <c r="N2" s="3">
        <f>Calculations!M4*Calculations!M9</f>
        <v>144025</v>
      </c>
      <c r="O2" s="3">
        <f>Calculations!N4*Calculations!N9</f>
        <v>156053.333333334</v>
      </c>
      <c r="P2" s="3">
        <f>Calculations!O4*Calculations!O9</f>
        <v>168385</v>
      </c>
      <c r="Q2" s="3">
        <f>Calculations!P4*Calculations!P9</f>
        <v>181020</v>
      </c>
      <c r="R2" s="3">
        <f>Calculations!Q4*Calculations!Q9</f>
        <v>193958.333333334</v>
      </c>
      <c r="S2" s="3">
        <f>Calculations!R4*Calculations!R9</f>
        <v>207200</v>
      </c>
      <c r="T2" s="3">
        <f>Calculations!S4*Calculations!S9</f>
        <v>220745</v>
      </c>
      <c r="U2" s="3">
        <f>Calculations!T4*Calculations!T9</f>
        <v>234593.333333334</v>
      </c>
      <c r="V2" s="3">
        <f>Calculations!U4*Calculations!U9</f>
        <v>248745</v>
      </c>
      <c r="W2" s="3">
        <f>Calculations!V4*Calculations!V9</f>
        <v>263200</v>
      </c>
      <c r="X2" s="3">
        <f>Calculations!W4*Calculations!W9</f>
        <v>277958.333333334</v>
      </c>
      <c r="Y2" s="3">
        <f>Calculations!X4*Calculations!X9</f>
        <v>293020</v>
      </c>
      <c r="Z2" s="3">
        <f>Calculations!Y4*Calculations!Y9</f>
        <v>308385</v>
      </c>
      <c r="AA2" s="3">
        <f>Calculations!Z4*Calculations!Z9</f>
        <v>324053.333333334</v>
      </c>
      <c r="AB2" s="3">
        <f>Calculations!AA4*Calculations!AA9</f>
        <v>340025</v>
      </c>
      <c r="AC2" s="3">
        <f>Calculations!AB4*Calculations!AB9</f>
        <v>356300</v>
      </c>
      <c r="AD2" s="3">
        <f>Calculations!AC4*Calculations!AC9</f>
        <v>372878.333333334</v>
      </c>
      <c r="AE2" s="3">
        <f>Calculations!AD4*Calculations!AD9</f>
        <v>389760</v>
      </c>
      <c r="AF2" s="3">
        <f>Calculations!AE4*Calculations!AE9</f>
        <v>406945</v>
      </c>
      <c r="AG2" s="3">
        <f>Calculations!AF4*Calculations!AF9</f>
        <v>424433.333333334</v>
      </c>
      <c r="AH2" s="3">
        <f>Calculations!AG4*Calculations!AG9</f>
        <v>429590</v>
      </c>
      <c r="AI2" s="3">
        <f>Calculations!AH4*Calculations!AH9</f>
        <v>434746.666666666</v>
      </c>
      <c r="AJ2" s="3">
        <f>Calculations!AI4*Calculations!AI9</f>
        <v>439903.333333334</v>
      </c>
      <c r="AK2" s="3">
        <f>Calculations!AJ4*Calculations!AJ9</f>
        <v>445060</v>
      </c>
      <c r="AL2" s="3">
        <f>Calculations!AK4*Calculations!AK9</f>
        <v>450216.666666666</v>
      </c>
      <c r="AM2" s="3">
        <f>Calculations!AL4*Calculations!AL9</f>
        <v>455373.333333334</v>
      </c>
      <c r="AN2" s="3">
        <f>Calculations!AM4*Calculations!AM9</f>
        <v>460530</v>
      </c>
      <c r="AO2" s="3">
        <f>Calculations!AN4*Calculations!AN9</f>
        <v>465686.666666666</v>
      </c>
      <c r="AP2" s="3">
        <f>Calculations!AO4*Calculations!AO9</f>
        <v>470843.333333334</v>
      </c>
      <c r="AQ2" s="3">
        <f>Calculations!AP4*Calculations!AP9</f>
        <v>476000</v>
      </c>
    </row>
    <row r="3" spans="1:4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EnergyInnovation.org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About</vt:lpstr>
      <vt:lpstr>Current Capacity</vt:lpstr>
      <vt:lpstr>Calculations</vt:lpstr>
      <vt:lpstr>DRC-BDRC</vt:lpstr>
      <vt:lpstr>DRC-PADRC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仰望星空✨✨</cp:lastModifiedBy>
  <dcterms:created xsi:type="dcterms:W3CDTF">2014-08-26T00:34:00Z</dcterms:created>
  <dcterms:modified xsi:type="dcterms:W3CDTF">2026-08-12T09:15:12Z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C799813F11884C56A9E78361950F648C_13</vt:lpwstr>
  </property>
  <property fmtid="{D5CDD505-2E9C-101B-9397-08002B2CF9AE}" pid="4" name="CalculationRule">
    <vt:i4>0</vt:i4>
  </property>
</Properties>
</file>